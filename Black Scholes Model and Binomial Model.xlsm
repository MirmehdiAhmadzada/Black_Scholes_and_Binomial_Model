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workbookPr filterPrivacy="1"/>
  <xr:revisionPtr revIDLastSave="0" documentId="13_ncr:1_{BD20EC02-62D4-438A-A706-A6CA047554B8}" xr6:coauthVersionLast="47" xr6:coauthVersionMax="47" xr10:uidLastSave="{00000000-0000-0000-0000-000000000000}"/>
  <bookViews>
    <workbookView xWindow="-110" yWindow="-110" windowWidth="19420" windowHeight="10300" tabRatio="896" firstSheet="1" activeTab="1" xr2:uid="{00000000-000D-0000-FFFF-FFFF00000000}"/>
  </bookViews>
  <sheets>
    <sheet name="_CIQHiddenCacheSheet" sheetId="5" state="veryHidden" r:id="rId1"/>
    <sheet name="Black Scholes Model Question" sheetId="13" r:id="rId2"/>
    <sheet name="Black Scholes Model " sheetId="6" r:id="rId3"/>
    <sheet name="Binomial Model Question" sheetId="14" r:id="rId4"/>
    <sheet name="Binomial Model" sheetId="9" r:id="rId5"/>
    <sheet name="Data---&gt;" sheetId="7" r:id="rId6"/>
    <sheet name="Share Price" sheetId="2" r:id="rId7"/>
    <sheet name="Risk-Free" sheetId="4"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s>
  <definedNames>
    <definedName name="_______________MRG2" hidden="1">{"INCOME",#N/A,FALSE,"ProNet";"VALUE",#N/A,FALSE,"ProNet"}</definedName>
    <definedName name="_______________PRN2" hidden="1">{"adj95mult",#N/A,FALSE,"COMPCO";"adj95est",#N/A,FALSE,"COMPCO"}</definedName>
    <definedName name="______________PRN2" hidden="1">{"adj95mult",#N/A,FALSE,"COMPCO";"adj95est",#N/A,FALSE,"COMPCO"}</definedName>
    <definedName name="_____________MRG2" hidden="1">{"INCOME",#N/A,FALSE,"ProNet";"VALUE",#N/A,FALSE,"ProNet"}</definedName>
    <definedName name="_____________PRN2" hidden="1">{"adj95mult",#N/A,FALSE,"COMPCO";"adj95est",#N/A,FALSE,"COMPCO"}</definedName>
    <definedName name="____________MRG2" hidden="1">{"INCOME",#N/A,FALSE,"ProNet";"VALUE",#N/A,FALSE,"ProNet"}</definedName>
    <definedName name="____________PRN2" hidden="1">{"adj95mult",#N/A,FALSE,"COMPCO";"adj95est",#N/A,FALSE,"COMPCO"}</definedName>
    <definedName name="___________MRG2" hidden="1">{"INCOME",#N/A,FALSE,"ProNet";"VALUE",#N/A,FALSE,"ProNet"}</definedName>
    <definedName name="___________PRN2" hidden="1">{"adj95mult",#N/A,FALSE,"COMPCO";"adj95est",#N/A,FALSE,"COMPCO"}</definedName>
    <definedName name="__________MRG2" hidden="1">{"INCOME",#N/A,FALSE,"ProNet";"VALUE",#N/A,FALSE,"ProNet"}</definedName>
    <definedName name="__________PRN2" hidden="1">{"adj95mult",#N/A,FALSE,"COMPCO";"adj95est",#N/A,FALSE,"COMPCO"}</definedName>
    <definedName name="_________MRG2" hidden="1">{"INCOME",#N/A,FALSE,"ProNet";"VALUE",#N/A,FALSE,"ProNet"}</definedName>
    <definedName name="_________PRN2" hidden="1">{"adj95mult",#N/A,FALSE,"COMPCO";"adj95est",#N/A,FALSE,"COMPCO"}</definedName>
    <definedName name="________MRG2" hidden="1">{"INCOME",#N/A,FALSE,"ProNet";"VALUE",#N/A,FALSE,"ProNet"}</definedName>
    <definedName name="________PRN2" hidden="1">{"adj95mult",#N/A,FALSE,"COMPCO";"adj95est",#N/A,FALSE,"COMPCO"}</definedName>
    <definedName name="_______MRG2" hidden="1">{"INCOME",#N/A,FALSE,"ProNet";"VALUE",#N/A,FALSE,"ProNet"}</definedName>
    <definedName name="_______PRN2" hidden="1">{"adj95mult",#N/A,FALSE,"COMPCO";"adj95est",#N/A,FALSE,"COMPCO"}</definedName>
    <definedName name="______MRG2" hidden="1">{"INCOME",#N/A,FALSE,"ProNet";"VALUE",#N/A,FALSE,"ProNet"}</definedName>
    <definedName name="______PRN2" hidden="1">{"adj95mult",#N/A,FALSE,"COMPCO";"adj95est",#N/A,FALSE,"COMPCO"}</definedName>
    <definedName name="_____MRG2" hidden="1">{"INCOME",#N/A,FALSE,"ProNet";"VALUE",#N/A,FALSE,"ProNet"}</definedName>
    <definedName name="_____PRN2" hidden="1">{"adj95mult",#N/A,FALSE,"COMPCO";"adj95est",#N/A,FALSE,"COMPCO"}</definedName>
    <definedName name="____mfg2" hidden="1">{"PAGE 1",#N/A,FALSE,"WEST_OT"}</definedName>
    <definedName name="____mfg3" hidden="1">{"PAGE 1",#N/A,FALSE,"WEST_OT"}</definedName>
    <definedName name="____mfg4" hidden="1">{"PAGE 1",#N/A,FALSE,"WEST_OT"}</definedName>
    <definedName name="____mfg5" hidden="1">{"PAGE 1",#N/A,FALSE,"WEST_OT"}</definedName>
    <definedName name="____MRG2" hidden="1">{"INCOME",#N/A,FALSE,"ProNet";"VALUE",#N/A,FALSE,"ProNet"}</definedName>
    <definedName name="____PRN2" hidden="1">{"adj95mult",#N/A,FALSE,"COMPCO";"adj95est",#N/A,FALSE,"COMPCO"}</definedName>
    <definedName name="___MRG2" hidden="1">{"INCOME",#N/A,FALSE,"ProNet";"VALUE",#N/A,FALSE,"ProNet"}</definedName>
    <definedName name="___PRN2" hidden="1">{"adj95mult",#N/A,FALSE,"COMPCO";"adj95est",#N/A,FALSE,"COMPCO"}</definedName>
    <definedName name="__1_0__123Grap" hidden="1">'[1]Comp. Transaction'!#REF!</definedName>
    <definedName name="__123Graph_A" hidden="1">[2]Original!#REF!</definedName>
    <definedName name="__123Graph_B" hidden="1">[2]Original!#REF!</definedName>
    <definedName name="__123Graph_C" hidden="1">[2]Original!#REF!</definedName>
    <definedName name="__123Graph_D" hidden="1">'[3]Comp. Transaction'!#REF!</definedName>
    <definedName name="__3_0__123Grap" hidden="1">'[1]Comp. Transaction'!#REF!</definedName>
    <definedName name="__4_0__123Grap" hidden="1">#N/A</definedName>
    <definedName name="__Actual_Total_208_209_210_Act_v_Budget_01" hidden="1">[4]pcQueryData!$A$3</definedName>
    <definedName name="__FDS_HYPERLINK_TOGGLE_STATE__" hidden="1">"ON"</definedName>
    <definedName name="__FDS_UNIQUE_RANGE_ID_GENERATOR_COUNTER" hidden="1">1</definedName>
    <definedName name="__mfg2" hidden="1">{"PAGE 1",#N/A,FALSE,"WEST_OT"}</definedName>
    <definedName name="__mfg3" hidden="1">{"PAGE 1",#N/A,FALSE,"WEST_OT"}</definedName>
    <definedName name="__mfg4" hidden="1">{"PAGE 1",#N/A,FALSE,"WEST_OT"}</definedName>
    <definedName name="__mfg5" hidden="1">{"PAGE 1",#N/A,FALSE,"WEST_OT"}</definedName>
    <definedName name="__MRG2" hidden="1">{"INCOME",#N/A,FALSE,"ProNet";"VALUE",#N/A,FALSE,"ProNet"}</definedName>
    <definedName name="__PRN2" hidden="1">{"adj95mult",#N/A,FALSE,"COMPCO";"adj95est",#N/A,FALSE,"COMPCO"}</definedName>
    <definedName name="__Total_208_209_210_Level6member_Name_by_Fiscal_00_00" hidden="1">[5]pcQueryData!$A$3</definedName>
    <definedName name="__Total_208_209_210_Level6member_Name_by_Fiscal_00_01" hidden="1">[6]pcQueryData!$A$4</definedName>
    <definedName name="__Total_208_209_210_Level6member_Name_by_Fiscal_01" hidden="1">[7]pcQueryData!$A$38</definedName>
    <definedName name="__xlfn.BAHTTEXT" hidden="1">#NAME?</definedName>
    <definedName name="__xlfn.RTD" hidden="1">#NAME?</definedName>
    <definedName name="_1__FDSAUDITLINK__" hidden="1">{"fdsup://IBCentral/FAT Viewer?action=UPDATE&amp;creator=factset&amp;DOC_NAME=fat:reuters_qtrly_source_window.fat&amp;display_string=Audit&amp;DYN_ARGS=TRUE&amp;VAR:ID1=88579Y10&amp;VAR:RCODE=STLD&amp;VAR:SDATE=20090699&amp;VAR:FREQ=Quarterly&amp;VAR:RELITEM=RP&amp;VAR:CURRENCY=&amp;VAR:CURRSOURCE=EX","SHARE&amp;VAR:NATFREQ=QUARTERLY&amp;VAR:RFIELD=FINALIZED&amp;VAR:DB_TYPE=&amp;VAR:UNITS=M&amp;window=popup&amp;width=450&amp;height=300&amp;START_MAXIMIZED=FALSE"}</definedName>
    <definedName name="_1_0__123Grap" hidden="1">'[1]Comp. Transaction'!#REF!</definedName>
    <definedName name="_10__FDSAUDITLINK__" hidden="1">{"fdsup://Directions/FactSet Auditing Viewer?action=AUDIT_VALUE&amp;DB=129&amp;ID1=44980Y30&amp;VALUEID=02999&amp;SDATE=200903&amp;PERIODTYPE=QTR_STD&amp;window=popup_no_bar&amp;width=385&amp;height=120&amp;START_MAXIMIZED=FALSE&amp;creator=factset&amp;display_string=Audit"}</definedName>
    <definedName name="_10_0__123Grap" hidden="1">'[8]Comp. Transaction'!#REF!</definedName>
    <definedName name="_100__FDSAUDITLINK__" hidden="1">{"fdsup://Directions/FactSet Auditing Viewer?action=AUDIT_VALUE&amp;DB=129&amp;ID1=06738310&amp;VALUEID=02999&amp;SDATE=201001&amp;PERIODTYPE=QTR_STD&amp;window=popup_no_bar&amp;width=385&amp;height=120&amp;START_MAXIMIZED=FALSE&amp;creator=factset&amp;display_string=Audit"}</definedName>
    <definedName name="_1000__FDSAUDITLINK__" hidden="1">{"fdsup://IBCentral/FAT Viewer?action=UPDATE&amp;creator=factset&amp;DOC_NAME=fat:reuters_qtrly_source_window.fat&amp;display_string=Audit&amp;DYN_ARGS=TRUE&amp;VAR:ID1=12705510&amp;VAR:RCODE=ATOT&amp;VAR:SDATE=20081299&amp;VAR:FREQ=DAILY&amp;VAR:RELITEM=&amp;VAR:CURRENCY=&amp;VAR:CURRSOURCE=EXSHARE&amp;","VAR:NATFREQ=QUARTERLY&amp;VAR:RFIELD=FINALIZED&amp;VAR:DB_TYPE=&amp;VAR:UNITS=M&amp;window=popup&amp;width=450&amp;height=300&amp;START_MAXIMIZED=FALSE"}</definedName>
    <definedName name="_1001__FDSAUDITLINK__" hidden="1">{"fdsup://IBCentral/FAT Viewer?action=UPDATE&amp;creator=factset&amp;DOC_NAME=fat:reuters_qtrly_source_window.fat&amp;display_string=Audit&amp;DYN_ARGS=TRUE&amp;VAR:ID1=12189T10&amp;VAR:RCODE=LTLL&amp;VAR:SDATE=20081299&amp;VAR:FREQ=DAILY&amp;VAR:RELITEM=&amp;VAR:CURRENCY=&amp;VAR:CURRSOURCE=EXSHARE&amp;","VAR:NATFREQ=QUARTERLY&amp;VAR:RFIELD=FINALIZED&amp;VAR:DB_TYPE=&amp;VAR:UNITS=M&amp;window=popup&amp;width=450&amp;height=300&amp;START_MAXIMIZED=FALSE"}</definedName>
    <definedName name="_1002__FDSAUDITLINK__" hidden="1">{"fdsup://IBCentral/FAT Viewer?action=UPDATE&amp;creator=factset&amp;DOC_NAME=fat:reuters_qtrly_source_window.fat&amp;display_string=Audit&amp;DYN_ARGS=TRUE&amp;VAR:ID1=12189T10&amp;VAR:RCODE=LTCL&amp;VAR:SDATE=20081299&amp;VAR:FREQ=DAILY&amp;VAR:RELITEM=&amp;VAR:CURRENCY=&amp;VAR:CURRSOURCE=EXSHARE&amp;","VAR:NATFREQ=QUARTERLY&amp;VAR:RFIELD=FINALIZED&amp;VAR:DB_TYPE=&amp;VAR:UNITS=M&amp;window=popup&amp;width=450&amp;height=300&amp;START_MAXIMIZED=FALSE"}</definedName>
    <definedName name="_1003__FDSAUDITLINK__" hidden="1">{"fdsup://IBCentral/FAT Viewer?action=UPDATE&amp;creator=factset&amp;DOC_NAME=fat:reuters_qtrly_source_window.fat&amp;display_string=Audit&amp;DYN_ARGS=TRUE&amp;VAR:ID1=12189T10&amp;VAR:RCODE=ATCA&amp;VAR:SDATE=20081299&amp;VAR:FREQ=DAILY&amp;VAR:RELITEM=&amp;VAR:CURRENCY=&amp;VAR:CURRSOURCE=EXSHARE&amp;","VAR:NATFREQ=QUARTERLY&amp;VAR:RFIELD=FINALIZED&amp;VAR:DB_TYPE=&amp;VAR:UNITS=M&amp;window=popup&amp;width=450&amp;height=300&amp;START_MAXIMIZED=FALSE"}</definedName>
    <definedName name="_1004__FDSAUDITLINK__" hidden="1">{"fdsup://IBCentral/FAT Viewer?action=UPDATE&amp;creator=factset&amp;DOC_NAME=fat:reuters_qtrly_source_window.fat&amp;display_string=Audit&amp;DYN_ARGS=TRUE&amp;VAR:ID1=12189T10&amp;VAR:RCODE=ATOT&amp;VAR:SDATE=20081299&amp;VAR:FREQ=DAILY&amp;VAR:RELITEM=&amp;VAR:CURRENCY=&amp;VAR:CURRSOURCE=EXSHARE&amp;","VAR:NATFREQ=QUARTERLY&amp;VAR:RFIELD=FINALIZED&amp;VAR:DB_TYPE=&amp;VAR:UNITS=M&amp;window=popup&amp;width=450&amp;height=300&amp;START_MAXIMIZED=FALSE"}</definedName>
    <definedName name="_1005__FDSAUDITLINK__" hidden="1">{"fdsup://IBCentral/FAT Viewer?action=UPDATE&amp;creator=factset&amp;DOC_NAME=fat:reuters_qtrly_source_window.fat&amp;display_string=Audit&amp;DYN_ARGS=TRUE&amp;VAR:ID1=05548210&amp;VAR:RCODE=LTLL&amp;VAR:SDATE=20081299&amp;VAR:FREQ=DAILY&amp;VAR:RELITEM=&amp;VAR:CURRENCY=&amp;VAR:CURRSOURCE=EXSHARE&amp;","VAR:NATFREQ=QUARTERLY&amp;VAR:RFIELD=FINALIZED&amp;VAR:DB_TYPE=&amp;VAR:UNITS=M&amp;window=popup&amp;width=450&amp;height=300&amp;START_MAXIMIZED=FALSE"}</definedName>
    <definedName name="_1006__FDSAUDITLINK__" hidden="1">{"fdsup://IBCentral/FAT Viewer?action=UPDATE&amp;creator=factset&amp;DOC_NAME=fat:reuters_qtrly_source_window.fat&amp;display_string=Audit&amp;DYN_ARGS=TRUE&amp;VAR:ID1=05548210&amp;VAR:RCODE=LTCL&amp;VAR:SDATE=20081299&amp;VAR:FREQ=DAILY&amp;VAR:RELITEM=&amp;VAR:CURRENCY=&amp;VAR:CURRSOURCE=EXSHARE&amp;","VAR:NATFREQ=QUARTERLY&amp;VAR:RFIELD=FINALIZED&amp;VAR:DB_TYPE=&amp;VAR:UNITS=M&amp;window=popup&amp;width=450&amp;height=300&amp;START_MAXIMIZED=FALSE"}</definedName>
    <definedName name="_1007__FDSAUDITLINK__" hidden="1">{"fdsup://IBCentral/FAT Viewer?action=UPDATE&amp;creator=factset&amp;DOC_NAME=fat:reuters_qtrly_source_window.fat&amp;display_string=Audit&amp;DYN_ARGS=TRUE&amp;VAR:ID1=05548210&amp;VAR:RCODE=ATCA&amp;VAR:SDATE=20081299&amp;VAR:FREQ=DAILY&amp;VAR:RELITEM=&amp;VAR:CURRENCY=&amp;VAR:CURRSOURCE=EXSHARE&amp;","VAR:NATFREQ=QUARTERLY&amp;VAR:RFIELD=FINALIZED&amp;VAR:DB_TYPE=&amp;VAR:UNITS=M&amp;window=popup&amp;width=450&amp;height=300&amp;START_MAXIMIZED=FALSE"}</definedName>
    <definedName name="_1008__FDSAUDITLINK__" hidden="1">{"fdsup://IBCentral/FAT Viewer?action=UPDATE&amp;creator=factset&amp;DOC_NAME=fat:reuters_qtrly_source_window.fat&amp;display_string=Audit&amp;DYN_ARGS=TRUE&amp;VAR:ID1=05548210&amp;VAR:RCODE=ATOT&amp;VAR:SDATE=20081299&amp;VAR:FREQ=DAILY&amp;VAR:RELITEM=&amp;VAR:CURRENCY=&amp;VAR:CURRSOURCE=EXSHARE&amp;","VAR:NATFREQ=QUARTERLY&amp;VAR:RFIELD=FINALIZED&amp;VAR:DB_TYPE=&amp;VAR:UNITS=M&amp;window=popup&amp;width=450&amp;height=300&amp;START_MAXIMIZED=FALSE"}</definedName>
    <definedName name="_1009__FDSAUDITLINK__" hidden="1">{"fdsup://IBCentral/FAT Viewer?action=UPDATE&amp;creator=factset&amp;DOC_NAME=fat:reuters_qtrly_source_window.fat&amp;display_string=Audit&amp;DYN_ARGS=TRUE&amp;VAR:ID1=08143710&amp;VAR:RCODE=LTLL&amp;VAR:SDATE=20081299&amp;VAR:FREQ=DAILY&amp;VAR:RELITEM=&amp;VAR:CURRENCY=&amp;VAR:CURRSOURCE=EXSHARE&amp;","VAR:NATFREQ=QUARTERLY&amp;VAR:RFIELD=FINALIZED&amp;VAR:DB_TYPE=&amp;VAR:UNITS=M&amp;window=popup&amp;width=450&amp;height=300&amp;START_MAXIMIZED=FALSE"}</definedName>
    <definedName name="_101__FDSAUDITLINK__" hidden="1">{"fdsup://Directions/FactSet Auditing Viewer?action=AUDIT_VALUE&amp;DB=129&amp;ID1=12686C10&amp;VALUEID=02999&amp;SDATE=201001&amp;PERIODTYPE=QTR_STD&amp;window=popup_no_bar&amp;width=385&amp;height=120&amp;START_MAXIMIZED=FALSE&amp;creator=factset&amp;display_string=Audit"}</definedName>
    <definedName name="_1010__FDSAUDITLINK__" hidden="1">{"fdsup://IBCentral/FAT Viewer?action=UPDATE&amp;creator=factset&amp;DOC_NAME=fat:reuters_qtrly_source_window.fat&amp;display_string=Audit&amp;DYN_ARGS=TRUE&amp;VAR:ID1=08143710&amp;VAR:RCODE=LTCL&amp;VAR:SDATE=20081299&amp;VAR:FREQ=DAILY&amp;VAR:RELITEM=&amp;VAR:CURRENCY=&amp;VAR:CURRSOURCE=EXSHARE&amp;","VAR:NATFREQ=QUARTERLY&amp;VAR:RFIELD=FINALIZED&amp;VAR:DB_TYPE=&amp;VAR:UNITS=M&amp;window=popup&amp;width=450&amp;height=300&amp;START_MAXIMIZED=FALSE"}</definedName>
    <definedName name="_1011__FDSAUDITLINK__" hidden="1">{"fdsup://IBCentral/FAT Viewer?action=UPDATE&amp;creator=factset&amp;DOC_NAME=fat:reuters_qtrly_source_window.fat&amp;display_string=Audit&amp;DYN_ARGS=TRUE&amp;VAR:ID1=08143710&amp;VAR:RCODE=ATCA&amp;VAR:SDATE=20081299&amp;VAR:FREQ=DAILY&amp;VAR:RELITEM=&amp;VAR:CURRENCY=&amp;VAR:CURRSOURCE=EXSHARE&amp;","VAR:NATFREQ=QUARTERLY&amp;VAR:RFIELD=FINALIZED&amp;VAR:DB_TYPE=&amp;VAR:UNITS=M&amp;window=popup&amp;width=450&amp;height=300&amp;START_MAXIMIZED=FALSE"}</definedName>
    <definedName name="_1012__FDSAUDITLINK__" hidden="1">{"fdsup://IBCentral/FAT Viewer?action=UPDATE&amp;creator=factset&amp;DOC_NAME=fat:reuters_qtrly_source_window.fat&amp;display_string=Audit&amp;DYN_ARGS=TRUE&amp;VAR:ID1=08143710&amp;VAR:RCODE=ATOT&amp;VAR:SDATE=20081299&amp;VAR:FREQ=DAILY&amp;VAR:RELITEM=&amp;VAR:CURRENCY=&amp;VAR:CURRSOURCE=EXSHARE&amp;","VAR:NATFREQ=QUARTERLY&amp;VAR:RFIELD=FINALIZED&amp;VAR:DB_TYPE=&amp;VAR:UNITS=M&amp;window=popup&amp;width=450&amp;height=300&amp;START_MAXIMIZED=FALSE"}</definedName>
    <definedName name="_1013__FDSAUDITLINK__" hidden="1">{"fdsup://IBCentral/FAT Viewer?action=UPDATE&amp;creator=factset&amp;DOC_NAME=fat:reuters_qtrly_source_window.fat&amp;display_string=Audit&amp;DYN_ARGS=TRUE&amp;VAR:ID1=05361110&amp;VAR:RCODE=LTLL&amp;VAR:SDATE=20081299&amp;VAR:FREQ=DAILY&amp;VAR:RELITEM=&amp;VAR:CURRENCY=&amp;VAR:CURRSOURCE=EXSHARE&amp;","VAR:NATFREQ=QUARTERLY&amp;VAR:RFIELD=FINALIZED&amp;VAR:DB_TYPE=&amp;VAR:UNITS=M&amp;window=popup&amp;width=450&amp;height=300&amp;START_MAXIMIZED=FALSE"}</definedName>
    <definedName name="_1014__FDSAUDITLINK__" hidden="1">{"fdsup://IBCentral/FAT Viewer?action=UPDATE&amp;creator=factset&amp;DOC_NAME=fat:reuters_qtrly_source_window.fat&amp;display_string=Audit&amp;DYN_ARGS=TRUE&amp;VAR:ID1=05361110&amp;VAR:RCODE=LTCL&amp;VAR:SDATE=20081299&amp;VAR:FREQ=DAILY&amp;VAR:RELITEM=&amp;VAR:CURRENCY=&amp;VAR:CURRSOURCE=EXSHARE&amp;","VAR:NATFREQ=QUARTERLY&amp;VAR:RFIELD=FINALIZED&amp;VAR:DB_TYPE=&amp;VAR:UNITS=M&amp;window=popup&amp;width=450&amp;height=300&amp;START_MAXIMIZED=FALSE"}</definedName>
    <definedName name="_1015__FDSAUDITLINK__" hidden="1">{"fdsup://IBCentral/FAT Viewer?action=UPDATE&amp;creator=factset&amp;DOC_NAME=fat:reuters_qtrly_source_window.fat&amp;display_string=Audit&amp;DYN_ARGS=TRUE&amp;VAR:ID1=05361110&amp;VAR:RCODE=ATCA&amp;VAR:SDATE=20081299&amp;VAR:FREQ=DAILY&amp;VAR:RELITEM=&amp;VAR:CURRENCY=&amp;VAR:CURRSOURCE=EXSHARE&amp;","VAR:NATFREQ=QUARTERLY&amp;VAR:RFIELD=FINALIZED&amp;VAR:DB_TYPE=&amp;VAR:UNITS=M&amp;window=popup&amp;width=450&amp;height=300&amp;START_MAXIMIZED=FALSE"}</definedName>
    <definedName name="_1016__FDSAUDITLINK__" hidden="1">{"fdsup://IBCentral/FAT Viewer?action=UPDATE&amp;creator=factset&amp;DOC_NAME=fat:reuters_qtrly_source_window.fat&amp;display_string=Audit&amp;DYN_ARGS=TRUE&amp;VAR:ID1=05361110&amp;VAR:RCODE=ATOT&amp;VAR:SDATE=20081299&amp;VAR:FREQ=DAILY&amp;VAR:RELITEM=&amp;VAR:CURRENCY=&amp;VAR:CURRSOURCE=EXSHARE&amp;","VAR:NATFREQ=QUARTERLY&amp;VAR:RFIELD=FINALIZED&amp;VAR:DB_TYPE=&amp;VAR:UNITS=M&amp;window=popup&amp;width=450&amp;height=300&amp;START_MAXIMIZED=FALSE"}</definedName>
    <definedName name="_1017__FDSAUDITLINK__" hidden="1">{"fdsup://IBCentral/FAT Viewer?action=UPDATE&amp;creator=factset&amp;DOC_NAME=fat:reuters_qtrly_source_window.fat&amp;display_string=Audit&amp;DYN_ARGS=TRUE&amp;VAR:ID1=02209S10&amp;VAR:RCODE=LTLL&amp;VAR:SDATE=20081299&amp;VAR:FREQ=DAILY&amp;VAR:RELITEM=&amp;VAR:CURRENCY=&amp;VAR:CURRSOURCE=EXSHARE&amp;","VAR:NATFREQ=QUARTERLY&amp;VAR:RFIELD=FINALIZED&amp;VAR:DB_TYPE=&amp;VAR:UNITS=M&amp;window=popup&amp;width=450&amp;height=300&amp;START_MAXIMIZED=FALSE"}</definedName>
    <definedName name="_1018__FDSAUDITLINK__" hidden="1">{"fdsup://IBCentral/FAT Viewer?action=UPDATE&amp;creator=factset&amp;DOC_NAME=fat:reuters_qtrly_source_window.fat&amp;display_string=Audit&amp;DYN_ARGS=TRUE&amp;VAR:ID1=02209S10&amp;VAR:RCODE=LTCL&amp;VAR:SDATE=20081299&amp;VAR:FREQ=DAILY&amp;VAR:RELITEM=&amp;VAR:CURRENCY=&amp;VAR:CURRSOURCE=EXSHARE&amp;","VAR:NATFREQ=QUARTERLY&amp;VAR:RFIELD=FINALIZED&amp;VAR:DB_TYPE=&amp;VAR:UNITS=M&amp;window=popup&amp;width=450&amp;height=300&amp;START_MAXIMIZED=FALSE"}</definedName>
    <definedName name="_1019__FDSAUDITLINK__" hidden="1">{"fdsup://IBCentral/FAT Viewer?action=UPDATE&amp;creator=factset&amp;DOC_NAME=fat:reuters_qtrly_source_window.fat&amp;display_string=Audit&amp;DYN_ARGS=TRUE&amp;VAR:ID1=02209S10&amp;VAR:RCODE=ATCA&amp;VAR:SDATE=20081299&amp;VAR:FREQ=DAILY&amp;VAR:RELITEM=&amp;VAR:CURRENCY=&amp;VAR:CURRSOURCE=EXSHARE&amp;","VAR:NATFREQ=QUARTERLY&amp;VAR:RFIELD=FINALIZED&amp;VAR:DB_TYPE=&amp;VAR:UNITS=M&amp;window=popup&amp;width=450&amp;height=300&amp;START_MAXIMIZED=FALSE"}</definedName>
    <definedName name="_102__FDSAUDITLINK__" hidden="1">{"fdsup://Directions/FactSet Auditing Viewer?action=AUDIT_VALUE&amp;DB=129&amp;ID1=12705510&amp;VALUEID=02999&amp;SDATE=201002&amp;PERIODTYPE=QTR_STD&amp;window=popup_no_bar&amp;width=385&amp;height=120&amp;START_MAXIMIZED=FALSE&amp;creator=factset&amp;display_string=Audit"}</definedName>
    <definedName name="_1020__FDSAUDITLINK__" hidden="1">{"fdsup://IBCentral/FAT Viewer?action=UPDATE&amp;creator=factset&amp;DOC_NAME=fat:reuters_qtrly_source_window.fat&amp;display_string=Audit&amp;DYN_ARGS=TRUE&amp;VAR:ID1=02209S10&amp;VAR:RCODE=ATOT&amp;VAR:SDATE=20081299&amp;VAR:FREQ=DAILY&amp;VAR:RELITEM=&amp;VAR:CURRENCY=&amp;VAR:CURRSOURCE=EXSHARE&amp;","VAR:NATFREQ=QUARTERLY&amp;VAR:RFIELD=FINALIZED&amp;VAR:DB_TYPE=&amp;VAR:UNITS=M&amp;window=popup&amp;width=450&amp;height=300&amp;START_MAXIMIZED=FALSE"}</definedName>
    <definedName name="_1021__FDSAUDITLINK__" hidden="1">{"fdsup://IBCentral/FAT Viewer?action=UPDATE&amp;creator=factset&amp;DOC_NAME=fat:reuters_qtrly_source_window.fat&amp;display_string=Audit&amp;DYN_ARGS=TRUE&amp;VAR:ID1=01381710&amp;VAR:RCODE=LTLL&amp;VAR:SDATE=20081299&amp;VAR:FREQ=DAILY&amp;VAR:RELITEM=&amp;VAR:CURRENCY=&amp;VAR:CURRSOURCE=EXSHARE&amp;","VAR:NATFREQ=QUARTERLY&amp;VAR:RFIELD=FINALIZED&amp;VAR:DB_TYPE=&amp;VAR:UNITS=M&amp;window=popup&amp;width=450&amp;height=300&amp;START_MAXIMIZED=FALSE"}</definedName>
    <definedName name="_1022__FDSAUDITLINK__" hidden="1">{"fdsup://IBCentral/FAT Viewer?action=UPDATE&amp;creator=factset&amp;DOC_NAME=fat:reuters_qtrly_source_window.fat&amp;display_string=Audit&amp;DYN_ARGS=TRUE&amp;VAR:ID1=01381710&amp;VAR:RCODE=LTCL&amp;VAR:SDATE=20081299&amp;VAR:FREQ=DAILY&amp;VAR:RELITEM=&amp;VAR:CURRENCY=&amp;VAR:CURRSOURCE=EXSHARE&amp;","VAR:NATFREQ=QUARTERLY&amp;VAR:RFIELD=FINALIZED&amp;VAR:DB_TYPE=&amp;VAR:UNITS=M&amp;window=popup&amp;width=450&amp;height=300&amp;START_MAXIMIZED=FALSE"}</definedName>
    <definedName name="_1023__FDSAUDITLINK__" hidden="1">{"fdsup://IBCentral/FAT Viewer?action=UPDATE&amp;creator=factset&amp;DOC_NAME=fat:reuters_qtrly_source_window.fat&amp;display_string=Audit&amp;DYN_ARGS=TRUE&amp;VAR:ID1=01381710&amp;VAR:RCODE=ATCA&amp;VAR:SDATE=20081299&amp;VAR:FREQ=DAILY&amp;VAR:RELITEM=&amp;VAR:CURRENCY=&amp;VAR:CURRSOURCE=EXSHARE&amp;","VAR:NATFREQ=QUARTERLY&amp;VAR:RFIELD=FINALIZED&amp;VAR:DB_TYPE=&amp;VAR:UNITS=M&amp;window=popup&amp;width=450&amp;height=300&amp;START_MAXIMIZED=FALSE"}</definedName>
    <definedName name="_1024__FDSAUDITLINK__" hidden="1">{"fdsup://IBCentral/FAT Viewer?action=UPDATE&amp;creator=factset&amp;DOC_NAME=fat:reuters_qtrly_source_window.fat&amp;display_string=Audit&amp;DYN_ARGS=TRUE&amp;VAR:ID1=01381710&amp;VAR:RCODE=ATOT&amp;VAR:SDATE=20081299&amp;VAR:FREQ=DAILY&amp;VAR:RELITEM=&amp;VAR:CURRENCY=&amp;VAR:CURRSOURCE=EXSHARE&amp;","VAR:NATFREQ=QUARTERLY&amp;VAR:RFIELD=FINALIZED&amp;VAR:DB_TYPE=&amp;VAR:UNITS=M&amp;window=popup&amp;width=450&amp;height=300&amp;START_MAXIMIZED=FALSE"}</definedName>
    <definedName name="_1025__FDSAUDITLINK__" hidden="1">{"fdsup://IBCentral/FAT Viewer?action=UPDATE&amp;creator=factset&amp;DOC_NAME=fat:reuters_qtrly_source_window.fat&amp;display_string=Audit&amp;DYN_ARGS=TRUE&amp;VAR:ID1=97381W10&amp;VAR:RCODE=LTLL&amp;VAR:SDATE=20081299&amp;VAR:FREQ=DAILY&amp;VAR:RELITEM=&amp;VAR:CURRENCY=&amp;VAR:CURRSOURCE=EXSHARE&amp;","VAR:NATFREQ=QUARTERLY&amp;VAR:RFIELD=FINALIZED&amp;VAR:DB_TYPE=&amp;VAR:UNITS=M&amp;window=popup&amp;width=450&amp;height=300&amp;START_MAXIMIZED=FALSE"}</definedName>
    <definedName name="_1026__FDSAUDITLINK__" hidden="1">{"fdsup://IBCentral/FAT Viewer?action=UPDATE&amp;creator=factset&amp;DOC_NAME=fat:reuters_qtrly_source_window.fat&amp;display_string=Audit&amp;DYN_ARGS=TRUE&amp;VAR:ID1=97381W10&amp;VAR:RCODE=LTCL&amp;VAR:SDATE=20081299&amp;VAR:FREQ=DAILY&amp;VAR:RELITEM=&amp;VAR:CURRENCY=&amp;VAR:CURRSOURCE=EXSHARE&amp;","VAR:NATFREQ=QUARTERLY&amp;VAR:RFIELD=FINALIZED&amp;VAR:DB_TYPE=&amp;VAR:UNITS=M&amp;window=popup&amp;width=450&amp;height=300&amp;START_MAXIMIZED=FALSE"}</definedName>
    <definedName name="_1027__FDSAUDITLINK__" hidden="1">{"fdsup://IBCentral/FAT Viewer?action=UPDATE&amp;creator=factset&amp;DOC_NAME=fat:reuters_qtrly_source_window.fat&amp;display_string=Audit&amp;DYN_ARGS=TRUE&amp;VAR:ID1=97381W10&amp;VAR:RCODE=ATCA&amp;VAR:SDATE=20081299&amp;VAR:FREQ=DAILY&amp;VAR:RELITEM=&amp;VAR:CURRENCY=&amp;VAR:CURRSOURCE=EXSHARE&amp;","VAR:NATFREQ=QUARTERLY&amp;VAR:RFIELD=FINALIZED&amp;VAR:DB_TYPE=&amp;VAR:UNITS=M&amp;window=popup&amp;width=450&amp;height=300&amp;START_MAXIMIZED=FALSE"}</definedName>
    <definedName name="_1028__FDSAUDITLINK__" hidden="1">{"fdsup://IBCentral/FAT Viewer?action=UPDATE&amp;creator=factset&amp;DOC_NAME=fat:reuters_qtrly_source_window.fat&amp;display_string=Audit&amp;DYN_ARGS=TRUE&amp;VAR:ID1=97381W10&amp;VAR:RCODE=ATOT&amp;VAR:SDATE=20081299&amp;VAR:FREQ=DAILY&amp;VAR:RELITEM=&amp;VAR:CURRENCY=&amp;VAR:CURRSOURCE=EXSHARE&amp;","VAR:NATFREQ=QUARTERLY&amp;VAR:RFIELD=FINALIZED&amp;VAR:DB_TYPE=&amp;VAR:UNITS=M&amp;window=popup&amp;width=450&amp;height=300&amp;START_MAXIMIZED=FALSE"}</definedName>
    <definedName name="_1029__FDSAUDITLINK__" hidden="1">{"fdsup://IBCentral/FAT Viewer?action=UPDATE&amp;creator=factset&amp;DOC_NAME=fat:reuters_qtrly_source_window.fat&amp;display_string=Audit&amp;DYN_ARGS=TRUE&amp;VAR:ID1=96041310&amp;VAR:RCODE=LTLL&amp;VAR:SDATE=20081299&amp;VAR:FREQ=DAILY&amp;VAR:RELITEM=&amp;VAR:CURRENCY=&amp;VAR:CURRSOURCE=EXSHARE&amp;","VAR:NATFREQ=QUARTERLY&amp;VAR:RFIELD=FINALIZED&amp;VAR:DB_TYPE=&amp;VAR:UNITS=M&amp;window=popup&amp;width=450&amp;height=300&amp;START_MAXIMIZED=FALSE"}</definedName>
    <definedName name="_103__FDSAUDITLINK__" hidden="1">{"fdsup://Directions/FactSet Auditing Viewer?action=AUDIT_VALUE&amp;DB=129&amp;ID1=13442910&amp;VALUEID=02999&amp;SDATE=201003&amp;PERIODTYPE=QTR_STD&amp;window=popup_no_bar&amp;width=385&amp;height=120&amp;START_MAXIMIZED=FALSE&amp;creator=factset&amp;display_string=Audit"}</definedName>
    <definedName name="_1030__FDSAUDITLINK__" hidden="1">{"fdsup://IBCentral/FAT Viewer?action=UPDATE&amp;creator=factset&amp;DOC_NAME=fat:reuters_qtrly_source_window.fat&amp;display_string=Audit&amp;DYN_ARGS=TRUE&amp;VAR:ID1=96041310&amp;VAR:RCODE=LTCL&amp;VAR:SDATE=20081299&amp;VAR:FREQ=DAILY&amp;VAR:RELITEM=&amp;VAR:CURRENCY=&amp;VAR:CURRSOURCE=EXSHARE&amp;","VAR:NATFREQ=QUARTERLY&amp;VAR:RFIELD=FINALIZED&amp;VAR:DB_TYPE=&amp;VAR:UNITS=M&amp;window=popup&amp;width=450&amp;height=300&amp;START_MAXIMIZED=FALSE"}</definedName>
    <definedName name="_1031__FDSAUDITLINK__" hidden="1">{"fdsup://IBCentral/FAT Viewer?action=UPDATE&amp;creator=factset&amp;DOC_NAME=fat:reuters_qtrly_source_window.fat&amp;display_string=Audit&amp;DYN_ARGS=TRUE&amp;VAR:ID1=96041310&amp;VAR:RCODE=ATCA&amp;VAR:SDATE=20081299&amp;VAR:FREQ=DAILY&amp;VAR:RELITEM=&amp;VAR:CURRENCY=&amp;VAR:CURRSOURCE=EXSHARE&amp;","VAR:NATFREQ=QUARTERLY&amp;VAR:RFIELD=FINALIZED&amp;VAR:DB_TYPE=&amp;VAR:UNITS=M&amp;window=popup&amp;width=450&amp;height=300&amp;START_MAXIMIZED=FALSE"}</definedName>
    <definedName name="_1032__FDSAUDITLINK__" hidden="1">{"fdsup://IBCentral/FAT Viewer?action=UPDATE&amp;creator=factset&amp;DOC_NAME=fat:reuters_qtrly_source_window.fat&amp;display_string=Audit&amp;DYN_ARGS=TRUE&amp;VAR:ID1=96041310&amp;VAR:RCODE=ATOT&amp;VAR:SDATE=20081299&amp;VAR:FREQ=DAILY&amp;VAR:RELITEM=&amp;VAR:CURRENCY=&amp;VAR:CURRSOURCE=EXSHARE&amp;","VAR:NATFREQ=QUARTERLY&amp;VAR:RFIELD=FINALIZED&amp;VAR:DB_TYPE=&amp;VAR:UNITS=M&amp;window=popup&amp;width=450&amp;height=300&amp;START_MAXIMIZED=FALSE"}</definedName>
    <definedName name="_1033__FDSAUDITLINK__" hidden="1">{"fdsup://IBCentral/FAT Viewer?action=UPDATE&amp;creator=factset&amp;DOC_NAME=fat:reuters_qtrly_source_window.fat&amp;display_string=Audit&amp;DYN_ARGS=TRUE&amp;VAR:ID1=91879Q10&amp;VAR:RCODE=LTLL&amp;VAR:SDATE=20081099&amp;VAR:FREQ=DAILY&amp;VAR:RELITEM=&amp;VAR:CURRENCY=&amp;VAR:CURRSOURCE=EXSHARE&amp;","VAR:NATFREQ=QUARTERLY&amp;VAR:RFIELD=FINALIZED&amp;VAR:DB_TYPE=&amp;VAR:UNITS=M&amp;window=popup&amp;width=450&amp;height=300&amp;START_MAXIMIZED=FALSE"}</definedName>
    <definedName name="_1034__FDSAUDITLINK__" hidden="1">{"fdsup://IBCentral/FAT Viewer?action=UPDATE&amp;creator=factset&amp;DOC_NAME=fat:reuters_qtrly_source_window.fat&amp;display_string=Audit&amp;DYN_ARGS=TRUE&amp;VAR:ID1=91879Q10&amp;VAR:RCODE=LTCL&amp;VAR:SDATE=20081099&amp;VAR:FREQ=DAILY&amp;VAR:RELITEM=&amp;VAR:CURRENCY=&amp;VAR:CURRSOURCE=EXSHARE&amp;","VAR:NATFREQ=QUARTERLY&amp;VAR:RFIELD=FINALIZED&amp;VAR:DB_TYPE=&amp;VAR:UNITS=M&amp;window=popup&amp;width=450&amp;height=300&amp;START_MAXIMIZED=FALSE"}</definedName>
    <definedName name="_1035__FDSAUDITLINK__" hidden="1">{"fdsup://IBCentral/FAT Viewer?action=UPDATE&amp;creator=factset&amp;DOC_NAME=fat:reuters_qtrly_source_window.fat&amp;display_string=Audit&amp;DYN_ARGS=TRUE&amp;VAR:ID1=91879Q10&amp;VAR:RCODE=ATCA&amp;VAR:SDATE=20081099&amp;VAR:FREQ=DAILY&amp;VAR:RELITEM=&amp;VAR:CURRENCY=&amp;VAR:CURRSOURCE=EXSHARE&amp;","VAR:NATFREQ=QUARTERLY&amp;VAR:RFIELD=FINALIZED&amp;VAR:DB_TYPE=&amp;VAR:UNITS=M&amp;window=popup&amp;width=450&amp;height=300&amp;START_MAXIMIZED=FALSE"}</definedName>
    <definedName name="_1036__FDSAUDITLINK__" hidden="1">{"fdsup://IBCentral/FAT Viewer?action=UPDATE&amp;creator=factset&amp;DOC_NAME=fat:reuters_qtrly_source_window.fat&amp;display_string=Audit&amp;DYN_ARGS=TRUE&amp;VAR:ID1=91879Q10&amp;VAR:RCODE=ATOT&amp;VAR:SDATE=20081099&amp;VAR:FREQ=DAILY&amp;VAR:RELITEM=&amp;VAR:CURRENCY=&amp;VAR:CURRSOURCE=EXSHARE&amp;","VAR:NATFREQ=QUARTERLY&amp;VAR:RFIELD=FINALIZED&amp;VAR:DB_TYPE=&amp;VAR:UNITS=M&amp;window=popup&amp;width=450&amp;height=300&amp;START_MAXIMIZED=FALSE"}</definedName>
    <definedName name="_1037__FDSAUDITLINK__" hidden="1">{"fdsup://IBCentral/FAT Viewer?action=UPDATE&amp;creator=factset&amp;DOC_NAME=fat:reuters_qtrly_source_window.fat&amp;display_string=Audit&amp;DYN_ARGS=TRUE&amp;VAR:ID1=90323610&amp;VAR:RCODE=LTLL&amp;VAR:SDATE=20081299&amp;VAR:FREQ=DAILY&amp;VAR:RELITEM=&amp;VAR:CURRENCY=&amp;VAR:CURRSOURCE=EXSHARE&amp;","VAR:NATFREQ=QUARTERLY&amp;VAR:RFIELD=FINALIZED&amp;VAR:DB_TYPE=&amp;VAR:UNITS=M&amp;window=popup&amp;width=450&amp;height=300&amp;START_MAXIMIZED=FALSE"}</definedName>
    <definedName name="_1038__FDSAUDITLINK__" hidden="1">{"fdsup://IBCentral/FAT Viewer?action=UPDATE&amp;creator=factset&amp;DOC_NAME=fat:reuters_qtrly_source_window.fat&amp;display_string=Audit&amp;DYN_ARGS=TRUE&amp;VAR:ID1=90323610&amp;VAR:RCODE=LTCL&amp;VAR:SDATE=20081299&amp;VAR:FREQ=DAILY&amp;VAR:RELITEM=&amp;VAR:CURRENCY=&amp;VAR:CURRSOURCE=EXSHARE&amp;","VAR:NATFREQ=QUARTERLY&amp;VAR:RFIELD=FINALIZED&amp;VAR:DB_TYPE=&amp;VAR:UNITS=M&amp;window=popup&amp;width=450&amp;height=300&amp;START_MAXIMIZED=FALSE"}</definedName>
    <definedName name="_1039__FDSAUDITLINK__" hidden="1">{"fdsup://IBCentral/FAT Viewer?action=UPDATE&amp;creator=factset&amp;DOC_NAME=fat:reuters_qtrly_source_window.fat&amp;display_string=Audit&amp;DYN_ARGS=TRUE&amp;VAR:ID1=90323610&amp;VAR:RCODE=ATCA&amp;VAR:SDATE=20081299&amp;VAR:FREQ=DAILY&amp;VAR:RELITEM=&amp;VAR:CURRENCY=&amp;VAR:CURRSOURCE=EXSHARE&amp;","VAR:NATFREQ=QUARTERLY&amp;VAR:RFIELD=FINALIZED&amp;VAR:DB_TYPE=&amp;VAR:UNITS=M&amp;window=popup&amp;width=450&amp;height=300&amp;START_MAXIMIZED=FALSE"}</definedName>
    <definedName name="_104__FDSAUDITLINK__" hidden="1">{"fdsup://Directions/FactSet Auditing Viewer?action=AUDIT_VALUE&amp;DB=129&amp;ID1=14170T10&amp;VALUEID=02999&amp;SDATE=201003&amp;PERIODTYPE=QTR_STD&amp;window=popup_no_bar&amp;width=385&amp;height=120&amp;START_MAXIMIZED=FALSE&amp;creator=factset&amp;display_string=Audit"}</definedName>
    <definedName name="_1040__FDSAUDITLINK__" hidden="1">{"fdsup://IBCentral/FAT Viewer?action=UPDATE&amp;creator=factset&amp;DOC_NAME=fat:reuters_qtrly_source_window.fat&amp;display_string=Audit&amp;DYN_ARGS=TRUE&amp;VAR:ID1=90323610&amp;VAR:RCODE=ATOT&amp;VAR:SDATE=20081299&amp;VAR:FREQ=DAILY&amp;VAR:RELITEM=&amp;VAR:CURRENCY=&amp;VAR:CURRSOURCE=EXSHARE&amp;","VAR:NATFREQ=QUARTERLY&amp;VAR:RFIELD=FINALIZED&amp;VAR:DB_TYPE=&amp;VAR:UNITS=M&amp;window=popup&amp;width=450&amp;height=300&amp;START_MAXIMIZED=FALSE"}</definedName>
    <definedName name="_1041__FDSAUDITLINK__" hidden="1">{"fdsup://IBCentral/FAT Viewer?action=UPDATE&amp;creator=factset&amp;DOC_NAME=fat:reuters_qtrly_source_window.fat&amp;display_string=Audit&amp;DYN_ARGS=TRUE&amp;VAR:ID1=90920510&amp;VAR:RCODE=LTLL&amp;VAR:SDATE=20081299&amp;VAR:FREQ=DAILY&amp;VAR:RELITEM=&amp;VAR:CURRENCY=&amp;VAR:CURRSOURCE=EXSHARE&amp;","VAR:NATFREQ=QUARTERLY&amp;VAR:RFIELD=FINALIZED&amp;VAR:DB_TYPE=&amp;VAR:UNITS=M&amp;window=popup&amp;width=450&amp;height=300&amp;START_MAXIMIZED=FALSE"}</definedName>
    <definedName name="_1042__FDSAUDITLINK__" hidden="1">{"fdsup://IBCentral/FAT Viewer?action=UPDATE&amp;creator=factset&amp;DOC_NAME=fat:reuters_qtrly_source_window.fat&amp;display_string=Audit&amp;DYN_ARGS=TRUE&amp;VAR:ID1=90920510&amp;VAR:RCODE=LTCL&amp;VAR:SDATE=20081299&amp;VAR:FREQ=DAILY&amp;VAR:RELITEM=&amp;VAR:CURRENCY=&amp;VAR:CURRSOURCE=EXSHARE&amp;","VAR:NATFREQ=QUARTERLY&amp;VAR:RFIELD=FINALIZED&amp;VAR:DB_TYPE=&amp;VAR:UNITS=M&amp;window=popup&amp;width=450&amp;height=300&amp;START_MAXIMIZED=FALSE"}</definedName>
    <definedName name="_1043__FDSAUDITLINK__" hidden="1">{"fdsup://IBCentral/FAT Viewer?action=UPDATE&amp;creator=factset&amp;DOC_NAME=fat:reuters_qtrly_source_window.fat&amp;display_string=Audit&amp;DYN_ARGS=TRUE&amp;VAR:ID1=90920510&amp;VAR:RCODE=ATCA&amp;VAR:SDATE=20081299&amp;VAR:FREQ=DAILY&amp;VAR:RELITEM=&amp;VAR:CURRENCY=&amp;VAR:CURRSOURCE=EXSHARE&amp;","VAR:NATFREQ=QUARTERLY&amp;VAR:RFIELD=FINALIZED&amp;VAR:DB_TYPE=&amp;VAR:UNITS=M&amp;window=popup&amp;width=450&amp;height=300&amp;START_MAXIMIZED=FALSE"}</definedName>
    <definedName name="_1044__FDSAUDITLINK__" hidden="1">{"fdsup://IBCentral/FAT Viewer?action=UPDATE&amp;creator=factset&amp;DOC_NAME=fat:reuters_qtrly_source_window.fat&amp;display_string=Audit&amp;DYN_ARGS=TRUE&amp;VAR:ID1=90920510&amp;VAR:RCODE=ATOT&amp;VAR:SDATE=20081299&amp;VAR:FREQ=DAILY&amp;VAR:RELITEM=&amp;VAR:CURRENCY=&amp;VAR:CURRSOURCE=EXSHARE&amp;","VAR:NATFREQ=QUARTERLY&amp;VAR:RFIELD=FINALIZED&amp;VAR:DB_TYPE=&amp;VAR:UNITS=M&amp;window=popup&amp;width=450&amp;height=300&amp;START_MAXIMIZED=FALSE"}</definedName>
    <definedName name="_1045__FDSAUDITLINK__" hidden="1">{"fdsup://IBCentral/FAT Viewer?action=UPDATE&amp;creator=factset&amp;DOC_NAME=fat:reuters_qtrly_source_window.fat&amp;display_string=Audit&amp;DYN_ARGS=TRUE&amp;VAR:ID1=88249110&amp;VAR:RCODE=LTLL&amp;VAR:SDATE=20081199&amp;VAR:FREQ=DAILY&amp;VAR:RELITEM=&amp;VAR:CURRENCY=&amp;VAR:CURRSOURCE=EXSHARE&amp;","VAR:NATFREQ=QUARTERLY&amp;VAR:RFIELD=FINALIZED&amp;VAR:DB_TYPE=&amp;VAR:UNITS=M&amp;window=popup&amp;width=450&amp;height=300&amp;START_MAXIMIZED=FALSE"}</definedName>
    <definedName name="_1046__FDSAUDITLINK__" hidden="1">{"fdsup://IBCentral/FAT Viewer?action=UPDATE&amp;creator=factset&amp;DOC_NAME=fat:reuters_qtrly_source_window.fat&amp;display_string=Audit&amp;DYN_ARGS=TRUE&amp;VAR:ID1=88249110&amp;VAR:RCODE=LTCL&amp;VAR:SDATE=20081199&amp;VAR:FREQ=DAILY&amp;VAR:RELITEM=&amp;VAR:CURRENCY=&amp;VAR:CURRSOURCE=EXSHARE&amp;","VAR:NATFREQ=QUARTERLY&amp;VAR:RFIELD=FINALIZED&amp;VAR:DB_TYPE=&amp;VAR:UNITS=M&amp;window=popup&amp;width=450&amp;height=300&amp;START_MAXIMIZED=FALSE"}</definedName>
    <definedName name="_1047__FDSAUDITLINK__" hidden="1">{"fdsup://IBCentral/FAT Viewer?action=UPDATE&amp;creator=factset&amp;DOC_NAME=fat:reuters_qtrly_source_window.fat&amp;display_string=Audit&amp;DYN_ARGS=TRUE&amp;VAR:ID1=88249110&amp;VAR:RCODE=ATCA&amp;VAR:SDATE=20081199&amp;VAR:FREQ=DAILY&amp;VAR:RELITEM=&amp;VAR:CURRENCY=&amp;VAR:CURRSOURCE=EXSHARE&amp;","VAR:NATFREQ=QUARTERLY&amp;VAR:RFIELD=FINALIZED&amp;VAR:DB_TYPE=&amp;VAR:UNITS=M&amp;window=popup&amp;width=450&amp;height=300&amp;START_MAXIMIZED=FALSE"}</definedName>
    <definedName name="_1048__FDSAUDITLINK__" hidden="1">{"fdsup://IBCentral/FAT Viewer?action=UPDATE&amp;creator=factset&amp;DOC_NAME=fat:reuters_qtrly_source_window.fat&amp;display_string=Audit&amp;DYN_ARGS=TRUE&amp;VAR:ID1=88249110&amp;VAR:RCODE=ATOT&amp;VAR:SDATE=20081199&amp;VAR:FREQ=DAILY&amp;VAR:RELITEM=&amp;VAR:CURRENCY=&amp;VAR:CURRSOURCE=EXSHARE&amp;","VAR:NATFREQ=QUARTERLY&amp;VAR:RFIELD=FINALIZED&amp;VAR:DB_TYPE=&amp;VAR:UNITS=M&amp;window=popup&amp;width=450&amp;height=300&amp;START_MAXIMIZED=FALSE"}</definedName>
    <definedName name="_1049__FDSAUDITLINK__" hidden="1">{"fdsup://IBCentral/FAT Viewer?action=UPDATE&amp;creator=factset&amp;DOC_NAME=fat:reuters_qtrly_source_window.fat&amp;display_string=Audit&amp;DYN_ARGS=TRUE&amp;VAR:ID1=88077910&amp;VAR:RCODE=LTLL&amp;VAR:SDATE=20081299&amp;VAR:FREQ=DAILY&amp;VAR:RELITEM=&amp;VAR:CURRENCY=&amp;VAR:CURRSOURCE=EXSHARE&amp;","VAR:NATFREQ=QUARTERLY&amp;VAR:RFIELD=FINALIZED&amp;VAR:DB_TYPE=&amp;VAR:UNITS=M&amp;window=popup&amp;width=450&amp;height=300&amp;START_MAXIMIZED=FALSE"}</definedName>
    <definedName name="_105__FDSAUDITLINK__" hidden="1">{"fdsup://Directions/FactSet Auditing Viewer?action=AUDIT_VALUE&amp;DB=129&amp;ID1=14343640&amp;VALUEID=02999&amp;SDATE=201001&amp;PERIODTYPE=QTR_STD&amp;window=popup_no_bar&amp;width=385&amp;height=120&amp;START_MAXIMIZED=FALSE&amp;creator=factset&amp;display_string=Audit"}</definedName>
    <definedName name="_1050__FDSAUDITLINK__" hidden="1">{"fdsup://IBCentral/FAT Viewer?action=UPDATE&amp;creator=factset&amp;DOC_NAME=fat:reuters_qtrly_source_window.fat&amp;display_string=Audit&amp;DYN_ARGS=TRUE&amp;VAR:ID1=88077910&amp;VAR:RCODE=LTCL&amp;VAR:SDATE=20081299&amp;VAR:FREQ=DAILY&amp;VAR:RELITEM=&amp;VAR:CURRENCY=&amp;VAR:CURRSOURCE=EXSHARE&amp;","VAR:NATFREQ=QUARTERLY&amp;VAR:RFIELD=FINALIZED&amp;VAR:DB_TYPE=&amp;VAR:UNITS=M&amp;window=popup&amp;width=450&amp;height=300&amp;START_MAXIMIZED=FALSE"}</definedName>
    <definedName name="_1051__FDSAUDITLINK__" hidden="1">{"fdsup://IBCentral/FAT Viewer?action=UPDATE&amp;creator=factset&amp;DOC_NAME=fat:reuters_qtrly_source_window.fat&amp;display_string=Audit&amp;DYN_ARGS=TRUE&amp;VAR:ID1=88077910&amp;VAR:RCODE=ATCA&amp;VAR:SDATE=20081299&amp;VAR:FREQ=DAILY&amp;VAR:RELITEM=&amp;VAR:CURRENCY=&amp;VAR:CURRSOURCE=EXSHARE&amp;","VAR:NATFREQ=QUARTERLY&amp;VAR:RFIELD=FINALIZED&amp;VAR:DB_TYPE=&amp;VAR:UNITS=M&amp;window=popup&amp;width=450&amp;height=300&amp;START_MAXIMIZED=FALSE"}</definedName>
    <definedName name="_1052__FDSAUDITLINK__" hidden="1">{"fdsup://IBCentral/FAT Viewer?action=UPDATE&amp;creator=factset&amp;DOC_NAME=fat:reuters_qtrly_source_window.fat&amp;display_string=Audit&amp;DYN_ARGS=TRUE&amp;VAR:ID1=88077910&amp;VAR:RCODE=ATOT&amp;VAR:SDATE=20081299&amp;VAR:FREQ=DAILY&amp;VAR:RELITEM=&amp;VAR:CURRENCY=&amp;VAR:CURRSOURCE=EXSHARE&amp;","VAR:NATFREQ=QUARTERLY&amp;VAR:RFIELD=FINALIZED&amp;VAR:DB_TYPE=&amp;VAR:UNITS=M&amp;window=popup&amp;width=450&amp;height=300&amp;START_MAXIMIZED=FALSE"}</definedName>
    <definedName name="_1053__FDSAUDITLINK__" hidden="1">{"fdsup://IBCentral/FAT Viewer?action=UPDATE&amp;creator=factset&amp;DOC_NAME=fat:reuters_qtrly_source_window.fat&amp;display_string=Audit&amp;DYN_ARGS=TRUE&amp;VAR:ID1=86037010&amp;VAR:RCODE=LTLL&amp;VAR:SDATE=20081099&amp;VAR:FREQ=DAILY&amp;VAR:RELITEM=&amp;VAR:CURRENCY=&amp;VAR:CURRSOURCE=EXSHARE&amp;","VAR:NATFREQ=QUARTERLY&amp;VAR:RFIELD=FINALIZED&amp;VAR:DB_TYPE=&amp;VAR:UNITS=M&amp;window=popup&amp;width=450&amp;height=300&amp;START_MAXIMIZED=FALSE"}</definedName>
    <definedName name="_1054__FDSAUDITLINK__" hidden="1">{"fdsup://IBCentral/FAT Viewer?action=UPDATE&amp;creator=factset&amp;DOC_NAME=fat:reuters_qtrly_source_window.fat&amp;display_string=Audit&amp;DYN_ARGS=TRUE&amp;VAR:ID1=86037010&amp;VAR:RCODE=LTCL&amp;VAR:SDATE=20081099&amp;VAR:FREQ=DAILY&amp;VAR:RELITEM=&amp;VAR:CURRENCY=&amp;VAR:CURRSOURCE=EXSHARE&amp;","VAR:NATFREQ=QUARTERLY&amp;VAR:RFIELD=FINALIZED&amp;VAR:DB_TYPE=&amp;VAR:UNITS=M&amp;window=popup&amp;width=450&amp;height=300&amp;START_MAXIMIZED=FALSE"}</definedName>
    <definedName name="_1055__FDSAUDITLINK__" hidden="1">{"fdsup://IBCentral/FAT Viewer?action=UPDATE&amp;creator=factset&amp;DOC_NAME=fat:reuters_qtrly_source_window.fat&amp;display_string=Audit&amp;DYN_ARGS=TRUE&amp;VAR:ID1=86037010&amp;VAR:RCODE=ATCA&amp;VAR:SDATE=20081099&amp;VAR:FREQ=DAILY&amp;VAR:RELITEM=&amp;VAR:CURRENCY=&amp;VAR:CURRSOURCE=EXSHARE&amp;","VAR:NATFREQ=QUARTERLY&amp;VAR:RFIELD=FINALIZED&amp;VAR:DB_TYPE=&amp;VAR:UNITS=M&amp;window=popup&amp;width=450&amp;height=300&amp;START_MAXIMIZED=FALSE"}</definedName>
    <definedName name="_1056__FDSAUDITLINK__" hidden="1">{"fdsup://IBCentral/FAT Viewer?action=UPDATE&amp;creator=factset&amp;DOC_NAME=fat:reuters_qtrly_source_window.fat&amp;display_string=Audit&amp;DYN_ARGS=TRUE&amp;VAR:ID1=86037010&amp;VAR:RCODE=ATOT&amp;VAR:SDATE=20081099&amp;VAR:FREQ=DAILY&amp;VAR:RELITEM=&amp;VAR:CURRENCY=&amp;VAR:CURRSOURCE=EXSHARE&amp;","VAR:NATFREQ=QUARTERLY&amp;VAR:RFIELD=FINALIZED&amp;VAR:DB_TYPE=&amp;VAR:UNITS=M&amp;window=popup&amp;width=450&amp;height=300&amp;START_MAXIMIZED=FALSE"}</definedName>
    <definedName name="_1057__FDSAUDITLINK__" hidden="1">{"fdsup://IBCentral/FAT Viewer?action=UPDATE&amp;creator=factset&amp;DOC_NAME=fat:reuters_qtrly_source_window.fat&amp;display_string=Audit&amp;DYN_ARGS=TRUE&amp;VAR:ID1=83589810&amp;VAR:RCODE=LTLL&amp;VAR:SDATE=20081299&amp;VAR:FREQ=DAILY&amp;VAR:RELITEM=&amp;VAR:CURRENCY=&amp;VAR:CURRSOURCE=EXSHARE&amp;","VAR:NATFREQ=QUARTERLY&amp;VAR:RFIELD=FINALIZED&amp;VAR:DB_TYPE=&amp;VAR:UNITS=M&amp;window=popup&amp;width=450&amp;height=300&amp;START_MAXIMIZED=FALSE"}</definedName>
    <definedName name="_1058__FDSAUDITLINK__" hidden="1">{"fdsup://IBCentral/FAT Viewer?action=UPDATE&amp;creator=factset&amp;DOC_NAME=fat:reuters_qtrly_source_window.fat&amp;display_string=Audit&amp;DYN_ARGS=TRUE&amp;VAR:ID1=83589810&amp;VAR:RCODE=LTCL&amp;VAR:SDATE=20081299&amp;VAR:FREQ=DAILY&amp;VAR:RELITEM=&amp;VAR:CURRENCY=&amp;VAR:CURRSOURCE=EXSHARE&amp;","VAR:NATFREQ=QUARTERLY&amp;VAR:RFIELD=FINALIZED&amp;VAR:DB_TYPE=&amp;VAR:UNITS=M&amp;window=popup&amp;width=450&amp;height=300&amp;START_MAXIMIZED=FALSE"}</definedName>
    <definedName name="_1059__FDSAUDITLINK__" hidden="1">{"fdsup://IBCentral/FAT Viewer?action=UPDATE&amp;creator=factset&amp;DOC_NAME=fat:reuters_qtrly_source_window.fat&amp;display_string=Audit&amp;DYN_ARGS=TRUE&amp;VAR:ID1=83589810&amp;VAR:RCODE=ATCA&amp;VAR:SDATE=20081299&amp;VAR:FREQ=DAILY&amp;VAR:RELITEM=&amp;VAR:CURRENCY=&amp;VAR:CURRSOURCE=EXSHARE&amp;","VAR:NATFREQ=QUARTERLY&amp;VAR:RFIELD=FINALIZED&amp;VAR:DB_TYPE=&amp;VAR:UNITS=M&amp;window=popup&amp;width=450&amp;height=300&amp;START_MAXIMIZED=FALSE"}</definedName>
    <definedName name="_106__FDSAUDITLINK__" hidden="1">{"fdsup://Directions/FactSet Auditing Viewer?action=AUDIT_VALUE&amp;DB=129&amp;ID1=14365830&amp;VALUEID=02999&amp;SDATE=201002&amp;PERIODTYPE=QTR_STD&amp;window=popup_no_bar&amp;width=385&amp;height=120&amp;START_MAXIMIZED=FALSE&amp;creator=factset&amp;display_string=Audit"}</definedName>
    <definedName name="_1060__FDSAUDITLINK__" hidden="1">{"fdsup://IBCentral/FAT Viewer?action=UPDATE&amp;creator=factset&amp;DOC_NAME=fat:reuters_qtrly_source_window.fat&amp;display_string=Audit&amp;DYN_ARGS=TRUE&amp;VAR:ID1=83589810&amp;VAR:RCODE=ATOT&amp;VAR:SDATE=20081299&amp;VAR:FREQ=DAILY&amp;VAR:RELITEM=&amp;VAR:CURRENCY=&amp;VAR:CURRSOURCE=EXSHARE&amp;","VAR:NATFREQ=QUARTERLY&amp;VAR:RFIELD=FINALIZED&amp;VAR:DB_TYPE=&amp;VAR:UNITS=M&amp;window=popup&amp;width=450&amp;height=300&amp;START_MAXIMIZED=FALSE"}</definedName>
    <definedName name="_1061__FDSAUDITLINK__" hidden="1">{"fdsup://IBCentral/FAT Viewer?action=UPDATE&amp;creator=factset&amp;DOC_NAME=fat:reuters_qtrly_source_window.fat&amp;display_string=Audit&amp;DYN_ARGS=TRUE&amp;VAR:ID1=82704810&amp;VAR:RCODE=LTLL&amp;VAR:SDATE=20081299&amp;VAR:FREQ=DAILY&amp;VAR:RELITEM=&amp;VAR:CURRENCY=&amp;VAR:CURRSOURCE=EXSHARE&amp;","VAR:NATFREQ=QUARTERLY&amp;VAR:RFIELD=FINALIZED&amp;VAR:DB_TYPE=&amp;VAR:UNITS=M&amp;window=popup&amp;width=450&amp;height=300&amp;START_MAXIMIZED=FALSE"}</definedName>
    <definedName name="_1062__FDSAUDITLINK__" hidden="1">{"fdsup://IBCentral/FAT Viewer?action=UPDATE&amp;creator=factset&amp;DOC_NAME=fat:reuters_qtrly_source_window.fat&amp;display_string=Audit&amp;DYN_ARGS=TRUE&amp;VAR:ID1=82704810&amp;VAR:RCODE=LTCL&amp;VAR:SDATE=20081299&amp;VAR:FREQ=DAILY&amp;VAR:RELITEM=&amp;VAR:CURRENCY=&amp;VAR:CURRSOURCE=EXSHARE&amp;","VAR:NATFREQ=QUARTERLY&amp;VAR:RFIELD=FINALIZED&amp;VAR:DB_TYPE=&amp;VAR:UNITS=M&amp;window=popup&amp;width=450&amp;height=300&amp;START_MAXIMIZED=FALSE"}</definedName>
    <definedName name="_1063__FDSAUDITLINK__" hidden="1">{"fdsup://IBCentral/FAT Viewer?action=UPDATE&amp;creator=factset&amp;DOC_NAME=fat:reuters_qtrly_source_window.fat&amp;display_string=Audit&amp;DYN_ARGS=TRUE&amp;VAR:ID1=82704810&amp;VAR:RCODE=ATCA&amp;VAR:SDATE=20081299&amp;VAR:FREQ=DAILY&amp;VAR:RELITEM=&amp;VAR:CURRENCY=&amp;VAR:CURRSOURCE=EXSHARE&amp;","VAR:NATFREQ=QUARTERLY&amp;VAR:RFIELD=FINALIZED&amp;VAR:DB_TYPE=&amp;VAR:UNITS=M&amp;window=popup&amp;width=450&amp;height=300&amp;START_MAXIMIZED=FALSE"}</definedName>
    <definedName name="_1064__FDSAUDITLINK__" hidden="1">{"fdsup://IBCentral/FAT Viewer?action=UPDATE&amp;creator=factset&amp;DOC_NAME=fat:reuters_qtrly_source_window.fat&amp;display_string=Audit&amp;DYN_ARGS=TRUE&amp;VAR:ID1=82704810&amp;VAR:RCODE=ATOT&amp;VAR:SDATE=20081299&amp;VAR:FREQ=DAILY&amp;VAR:RELITEM=&amp;VAR:CURRENCY=&amp;VAR:CURRSOURCE=EXSHARE&amp;","VAR:NATFREQ=QUARTERLY&amp;VAR:RFIELD=FINALIZED&amp;VAR:DB_TYPE=&amp;VAR:UNITS=M&amp;window=popup&amp;width=450&amp;height=300&amp;START_MAXIMIZED=FALSE"}</definedName>
    <definedName name="_1065__FDSAUDITLINK__" hidden="1">{"fdsup://IBCentral/FAT Viewer?action=UPDATE&amp;creator=factset&amp;DOC_NAME=fat:reuters_qtrly_source_window.fat&amp;display_string=Audit&amp;DYN_ARGS=TRUE&amp;VAR:ID1=80874P10&amp;VAR:RCODE=LTLL&amp;VAR:SDATE=20081299&amp;VAR:FREQ=DAILY&amp;VAR:RELITEM=&amp;VAR:CURRENCY=&amp;VAR:CURRSOURCE=EXSHARE&amp;","VAR:NATFREQ=QUARTERLY&amp;VAR:RFIELD=FINALIZED&amp;VAR:DB_TYPE=&amp;VAR:UNITS=M&amp;window=popup&amp;width=450&amp;height=300&amp;START_MAXIMIZED=FALSE"}</definedName>
    <definedName name="_1066__FDSAUDITLINK__" hidden="1">{"fdsup://IBCentral/FAT Viewer?action=UPDATE&amp;creator=factset&amp;DOC_NAME=fat:reuters_qtrly_source_window.fat&amp;display_string=Audit&amp;DYN_ARGS=TRUE&amp;VAR:ID1=80874P10&amp;VAR:RCODE=LTCL&amp;VAR:SDATE=20081299&amp;VAR:FREQ=DAILY&amp;VAR:RELITEM=&amp;VAR:CURRENCY=&amp;VAR:CURRSOURCE=EXSHARE&amp;","VAR:NATFREQ=QUARTERLY&amp;VAR:RFIELD=FINALIZED&amp;VAR:DB_TYPE=&amp;VAR:UNITS=M&amp;window=popup&amp;width=450&amp;height=300&amp;START_MAXIMIZED=FALSE"}</definedName>
    <definedName name="_1067__FDSAUDITLINK__" hidden="1">{"fdsup://IBCentral/FAT Viewer?action=UPDATE&amp;creator=factset&amp;DOC_NAME=fat:reuters_qtrly_source_window.fat&amp;display_string=Audit&amp;DYN_ARGS=TRUE&amp;VAR:ID1=80874P10&amp;VAR:RCODE=ATCA&amp;VAR:SDATE=20081299&amp;VAR:FREQ=DAILY&amp;VAR:RELITEM=&amp;VAR:CURRENCY=&amp;VAR:CURRSOURCE=EXSHARE&amp;","VAR:NATFREQ=QUARTERLY&amp;VAR:RFIELD=FINALIZED&amp;VAR:DB_TYPE=&amp;VAR:UNITS=M&amp;window=popup&amp;width=450&amp;height=300&amp;START_MAXIMIZED=FALSE"}</definedName>
    <definedName name="_1068__FDSAUDITLINK__" hidden="1">{"fdsup://IBCentral/FAT Viewer?action=UPDATE&amp;creator=factset&amp;DOC_NAME=fat:reuters_qtrly_source_window.fat&amp;display_string=Audit&amp;DYN_ARGS=TRUE&amp;VAR:ID1=80874P10&amp;VAR:RCODE=ATOT&amp;VAR:SDATE=20081299&amp;VAR:FREQ=DAILY&amp;VAR:RELITEM=&amp;VAR:CURRENCY=&amp;VAR:CURRSOURCE=EXSHARE&amp;","VAR:NATFREQ=QUARTERLY&amp;VAR:RFIELD=FINALIZED&amp;VAR:DB_TYPE=&amp;VAR:UNITS=M&amp;window=popup&amp;width=450&amp;height=300&amp;START_MAXIMIZED=FALSE"}</definedName>
    <definedName name="_1069__FDSAUDITLINK__" hidden="1">{"fdsup://IBCentral/FAT Viewer?action=UPDATE&amp;creator=factset&amp;DOC_NAME=fat:reuters_qtrly_source_window.fat&amp;display_string=Audit&amp;DYN_ARGS=TRUE&amp;VAR:ID1=77273920&amp;VAR:RCODE=LTLL&amp;VAR:SDATE=20081299&amp;VAR:FREQ=DAILY&amp;VAR:RELITEM=&amp;VAR:CURRENCY=&amp;VAR:CURRSOURCE=EXSHARE&amp;","VAR:NATFREQ=QUARTERLY&amp;VAR:RFIELD=FINALIZED&amp;VAR:DB_TYPE=&amp;VAR:UNITS=M&amp;window=popup&amp;width=450&amp;height=300&amp;START_MAXIMIZED=FALSE"}</definedName>
    <definedName name="_107__FDSAUDITLINK__" hidden="1">{"fdsup://Directions/FactSet Auditing Viewer?action=AUDIT_VALUE&amp;DB=129&amp;ID1=14428510&amp;VALUEID=02999&amp;SDATE=201003&amp;PERIODTYPE=QTR_STD&amp;window=popup_no_bar&amp;width=385&amp;height=120&amp;START_MAXIMIZED=FALSE&amp;creator=factset&amp;display_string=Audit"}</definedName>
    <definedName name="_1070__FDSAUDITLINK__" hidden="1">{"fdsup://IBCentral/FAT Viewer?action=UPDATE&amp;creator=factset&amp;DOC_NAME=fat:reuters_qtrly_source_window.fat&amp;display_string=Audit&amp;DYN_ARGS=TRUE&amp;VAR:ID1=77273920&amp;VAR:RCODE=LTCL&amp;VAR:SDATE=20081299&amp;VAR:FREQ=DAILY&amp;VAR:RELITEM=&amp;VAR:CURRENCY=&amp;VAR:CURRSOURCE=EXSHARE&amp;","VAR:NATFREQ=QUARTERLY&amp;VAR:RFIELD=FINALIZED&amp;VAR:DB_TYPE=&amp;VAR:UNITS=M&amp;window=popup&amp;width=450&amp;height=300&amp;START_MAXIMIZED=FALSE"}</definedName>
    <definedName name="_1071__FDSAUDITLINK__" hidden="1">{"fdsup://IBCentral/FAT Viewer?action=UPDATE&amp;creator=factset&amp;DOC_NAME=fat:reuters_qtrly_source_window.fat&amp;display_string=Audit&amp;DYN_ARGS=TRUE&amp;VAR:ID1=77273920&amp;VAR:RCODE=ATCA&amp;VAR:SDATE=20081299&amp;VAR:FREQ=DAILY&amp;VAR:RELITEM=&amp;VAR:CURRENCY=&amp;VAR:CURRSOURCE=EXSHARE&amp;","VAR:NATFREQ=QUARTERLY&amp;VAR:RFIELD=FINALIZED&amp;VAR:DB_TYPE=&amp;VAR:UNITS=M&amp;window=popup&amp;width=450&amp;height=300&amp;START_MAXIMIZED=FALSE"}</definedName>
    <definedName name="_1072__FDSAUDITLINK__" hidden="1">{"fdsup://IBCentral/FAT Viewer?action=UPDATE&amp;creator=factset&amp;DOC_NAME=fat:reuters_qtrly_source_window.fat&amp;display_string=Audit&amp;DYN_ARGS=TRUE&amp;VAR:ID1=77273920&amp;VAR:RCODE=ATOT&amp;VAR:SDATE=20081299&amp;VAR:FREQ=DAILY&amp;VAR:RELITEM=&amp;VAR:CURRENCY=&amp;VAR:CURRSOURCE=EXSHARE&amp;","VAR:NATFREQ=QUARTERLY&amp;VAR:RFIELD=FINALIZED&amp;VAR:DB_TYPE=&amp;VAR:UNITS=M&amp;window=popup&amp;width=450&amp;height=300&amp;START_MAXIMIZED=FALSE"}</definedName>
    <definedName name="_1073__FDSAUDITLINK__" hidden="1">{"fdsup://IBCentral/FAT Viewer?action=UPDATE&amp;creator=factset&amp;DOC_NAME=fat:reuters_qtrly_source_window.fat&amp;display_string=Audit&amp;DYN_ARGS=TRUE&amp;VAR:ID1=75281A10&amp;VAR:RCODE=LTLL&amp;VAR:SDATE=20081299&amp;VAR:FREQ=DAILY&amp;VAR:RELITEM=&amp;VAR:CURRENCY=&amp;VAR:CURRSOURCE=EXSHARE&amp;","VAR:NATFREQ=QUARTERLY&amp;VAR:RFIELD=FINALIZED&amp;VAR:DB_TYPE=&amp;VAR:UNITS=M&amp;window=popup&amp;width=450&amp;height=300&amp;START_MAXIMIZED=FALSE"}</definedName>
    <definedName name="_1074__FDSAUDITLINK__" hidden="1">{"fdsup://IBCentral/FAT Viewer?action=UPDATE&amp;creator=factset&amp;DOC_NAME=fat:reuters_qtrly_source_window.fat&amp;display_string=Audit&amp;DYN_ARGS=TRUE&amp;VAR:ID1=75281A10&amp;VAR:RCODE=LTCL&amp;VAR:SDATE=20081299&amp;VAR:FREQ=DAILY&amp;VAR:RELITEM=&amp;VAR:CURRENCY=&amp;VAR:CURRSOURCE=EXSHARE&amp;","VAR:NATFREQ=QUARTERLY&amp;VAR:RFIELD=FINALIZED&amp;VAR:DB_TYPE=&amp;VAR:UNITS=M&amp;window=popup&amp;width=450&amp;height=300&amp;START_MAXIMIZED=FALSE"}</definedName>
    <definedName name="_1075__FDSAUDITLINK__" hidden="1">{"fdsup://IBCentral/FAT Viewer?action=UPDATE&amp;creator=factset&amp;DOC_NAME=fat:reuters_qtrly_source_window.fat&amp;display_string=Audit&amp;DYN_ARGS=TRUE&amp;VAR:ID1=75281A10&amp;VAR:RCODE=ATCA&amp;VAR:SDATE=20081299&amp;VAR:FREQ=DAILY&amp;VAR:RELITEM=&amp;VAR:CURRENCY=&amp;VAR:CURRSOURCE=EXSHARE&amp;","VAR:NATFREQ=QUARTERLY&amp;VAR:RFIELD=FINALIZED&amp;VAR:DB_TYPE=&amp;VAR:UNITS=M&amp;window=popup&amp;width=450&amp;height=300&amp;START_MAXIMIZED=FALSE"}</definedName>
    <definedName name="_1076__FDSAUDITLINK__" hidden="1">{"fdsup://IBCentral/FAT Viewer?action=UPDATE&amp;creator=factset&amp;DOC_NAME=fat:reuters_qtrly_source_window.fat&amp;display_string=Audit&amp;DYN_ARGS=TRUE&amp;VAR:ID1=75281A10&amp;VAR:RCODE=ATOT&amp;VAR:SDATE=20081299&amp;VAR:FREQ=DAILY&amp;VAR:RELITEM=&amp;VAR:CURRENCY=&amp;VAR:CURRSOURCE=EXSHARE&amp;","VAR:NATFREQ=QUARTERLY&amp;VAR:RFIELD=FINALIZED&amp;VAR:DB_TYPE=&amp;VAR:UNITS=M&amp;window=popup&amp;width=450&amp;height=300&amp;START_MAXIMIZED=FALSE"}</definedName>
    <definedName name="_1077__FDSAUDITLINK__" hidden="1">{"fdsup://IBCentral/FAT Viewer?action=UPDATE&amp;creator=factset&amp;DOC_NAME=fat:reuters_qtrly_source_window.fat&amp;display_string=Audit&amp;DYN_ARGS=TRUE&amp;VAR:ID1=74912110&amp;VAR:RCODE=LTLL&amp;VAR:SDATE=20081299&amp;VAR:FREQ=DAILY&amp;VAR:RELITEM=&amp;VAR:CURRENCY=&amp;VAR:CURRSOURCE=EXSHARE&amp;","VAR:NATFREQ=QUARTERLY&amp;VAR:RFIELD=FINALIZED&amp;VAR:DB_TYPE=&amp;VAR:UNITS=M&amp;window=popup&amp;width=450&amp;height=300&amp;START_MAXIMIZED=FALSE"}</definedName>
    <definedName name="_1078__FDSAUDITLINK__" hidden="1">{"fdsup://IBCentral/FAT Viewer?action=UPDATE&amp;creator=factset&amp;DOC_NAME=fat:reuters_qtrly_source_window.fat&amp;display_string=Audit&amp;DYN_ARGS=TRUE&amp;VAR:ID1=74912110&amp;VAR:RCODE=LTCL&amp;VAR:SDATE=20081299&amp;VAR:FREQ=DAILY&amp;VAR:RELITEM=&amp;VAR:CURRENCY=&amp;VAR:CURRSOURCE=EXSHARE&amp;","VAR:NATFREQ=QUARTERLY&amp;VAR:RFIELD=FINALIZED&amp;VAR:DB_TYPE=&amp;VAR:UNITS=M&amp;window=popup&amp;width=450&amp;height=300&amp;START_MAXIMIZED=FALSE"}</definedName>
    <definedName name="_1079__FDSAUDITLINK__" hidden="1">{"fdsup://IBCentral/FAT Viewer?action=UPDATE&amp;creator=factset&amp;DOC_NAME=fat:reuters_qtrly_source_window.fat&amp;display_string=Audit&amp;DYN_ARGS=TRUE&amp;VAR:ID1=74912110&amp;VAR:RCODE=ATCA&amp;VAR:SDATE=20081299&amp;VAR:FREQ=DAILY&amp;VAR:RELITEM=&amp;VAR:CURRENCY=&amp;VAR:CURRSOURCE=EXSHARE&amp;","VAR:NATFREQ=QUARTERLY&amp;VAR:RFIELD=FINALIZED&amp;VAR:DB_TYPE=&amp;VAR:UNITS=M&amp;window=popup&amp;width=450&amp;height=300&amp;START_MAXIMIZED=FALSE"}</definedName>
    <definedName name="_108__FDSAUDITLINK__" hidden="1">{"fdsup://Directions/FactSet Auditing Viewer?action=AUDIT_VALUE&amp;DB=129&amp;ID1=14912310&amp;VALUEID=02999&amp;SDATE=201001&amp;PERIODTYPE=QTR_STD&amp;window=popup_no_bar&amp;width=385&amp;height=120&amp;START_MAXIMIZED=FALSE&amp;creator=factset&amp;display_string=Audit"}</definedName>
    <definedName name="_1080__FDSAUDITLINK__" hidden="1">{"fdsup://IBCentral/FAT Viewer?action=UPDATE&amp;creator=factset&amp;DOC_NAME=fat:reuters_qtrly_source_window.fat&amp;display_string=Audit&amp;DYN_ARGS=TRUE&amp;VAR:ID1=74912110&amp;VAR:RCODE=ATOT&amp;VAR:SDATE=20081299&amp;VAR:FREQ=DAILY&amp;VAR:RELITEM=&amp;VAR:CURRENCY=&amp;VAR:CURRSOURCE=EXSHARE&amp;","VAR:NATFREQ=QUARTERLY&amp;VAR:RFIELD=FINALIZED&amp;VAR:DB_TYPE=&amp;VAR:UNITS=M&amp;window=popup&amp;width=450&amp;height=300&amp;START_MAXIMIZED=FALSE"}</definedName>
    <definedName name="_1081__FDSAUDITLINK__" hidden="1">{"fdsup://IBCentral/FAT Viewer?action=UPDATE&amp;creator=factset&amp;DOC_NAME=fat:reuters_qtrly_source_window.fat&amp;display_string=Audit&amp;DYN_ARGS=TRUE&amp;VAR:ID1=71859210&amp;VAR:RCODE=LTLL&amp;VAR:SDATE=20081099&amp;VAR:FREQ=DAILY&amp;VAR:RELITEM=&amp;VAR:CURRENCY=&amp;VAR:CURRSOURCE=EXSHARE&amp;","VAR:NATFREQ=QUARTERLY&amp;VAR:RFIELD=FINALIZED&amp;VAR:DB_TYPE=&amp;VAR:UNITS=M&amp;window=popup&amp;width=450&amp;height=300&amp;START_MAXIMIZED=FALSE"}</definedName>
    <definedName name="_1082__FDSAUDITLINK__" hidden="1">{"fdsup://IBCentral/FAT Viewer?action=UPDATE&amp;creator=factset&amp;DOC_NAME=fat:reuters_qtrly_source_window.fat&amp;display_string=Audit&amp;DYN_ARGS=TRUE&amp;VAR:ID1=71859210&amp;VAR:RCODE=LTCL&amp;VAR:SDATE=20081099&amp;VAR:FREQ=DAILY&amp;VAR:RELITEM=&amp;VAR:CURRENCY=&amp;VAR:CURRSOURCE=EXSHARE&amp;","VAR:NATFREQ=QUARTERLY&amp;VAR:RFIELD=FINALIZED&amp;VAR:DB_TYPE=&amp;VAR:UNITS=M&amp;window=popup&amp;width=450&amp;height=300&amp;START_MAXIMIZED=FALSE"}</definedName>
    <definedName name="_1083__FDSAUDITLINK__" hidden="1">{"fdsup://IBCentral/FAT Viewer?action=UPDATE&amp;creator=factset&amp;DOC_NAME=fat:reuters_qtrly_source_window.fat&amp;display_string=Audit&amp;DYN_ARGS=TRUE&amp;VAR:ID1=71859210&amp;VAR:RCODE=ATCA&amp;VAR:SDATE=20081099&amp;VAR:FREQ=DAILY&amp;VAR:RELITEM=&amp;VAR:CURRENCY=&amp;VAR:CURRSOURCE=EXSHARE&amp;","VAR:NATFREQ=QUARTERLY&amp;VAR:RFIELD=FINALIZED&amp;VAR:DB_TYPE=&amp;VAR:UNITS=M&amp;window=popup&amp;width=450&amp;height=300&amp;START_MAXIMIZED=FALSE"}</definedName>
    <definedName name="_1084__FDSAUDITLINK__" hidden="1">{"fdsup://IBCentral/FAT Viewer?action=UPDATE&amp;creator=factset&amp;DOC_NAME=fat:reuters_qtrly_source_window.fat&amp;display_string=Audit&amp;DYN_ARGS=TRUE&amp;VAR:ID1=71859210&amp;VAR:RCODE=ATOT&amp;VAR:SDATE=20081099&amp;VAR:FREQ=DAILY&amp;VAR:RELITEM=&amp;VAR:CURRENCY=&amp;VAR:CURRSOURCE=EXSHARE&amp;","VAR:NATFREQ=QUARTERLY&amp;VAR:RFIELD=FINALIZED&amp;VAR:DB_TYPE=&amp;VAR:UNITS=M&amp;window=popup&amp;width=450&amp;height=300&amp;START_MAXIMIZED=FALSE"}</definedName>
    <definedName name="_1085__FDSAUDITLINK__" hidden="1">{"fdsup://IBCentral/FAT Viewer?action=UPDATE&amp;creator=factset&amp;DOC_NAME=fat:reuters_qtrly_source_window.fat&amp;display_string=Audit&amp;DYN_ARGS=TRUE&amp;VAR:ID1=70756910&amp;VAR:RCODE=LTLL&amp;VAR:SDATE=20081299&amp;VAR:FREQ=DAILY&amp;VAR:RELITEM=&amp;VAR:CURRENCY=&amp;VAR:CURRSOURCE=EXSHARE&amp;","VAR:NATFREQ=QUARTERLY&amp;VAR:RFIELD=FINALIZED&amp;VAR:DB_TYPE=&amp;VAR:UNITS=M&amp;window=popup&amp;width=450&amp;height=300&amp;START_MAXIMIZED=FALSE"}</definedName>
    <definedName name="_1086__FDSAUDITLINK__" hidden="1">{"fdsup://IBCentral/FAT Viewer?action=UPDATE&amp;creator=factset&amp;DOC_NAME=fat:reuters_qtrly_source_window.fat&amp;display_string=Audit&amp;DYN_ARGS=TRUE&amp;VAR:ID1=70756910&amp;VAR:RCODE=LTCL&amp;VAR:SDATE=20081299&amp;VAR:FREQ=DAILY&amp;VAR:RELITEM=&amp;VAR:CURRENCY=&amp;VAR:CURRSOURCE=EXSHARE&amp;","VAR:NATFREQ=QUARTERLY&amp;VAR:RFIELD=FINALIZED&amp;VAR:DB_TYPE=&amp;VAR:UNITS=M&amp;window=popup&amp;width=450&amp;height=300&amp;START_MAXIMIZED=FALSE"}</definedName>
    <definedName name="_1087__FDSAUDITLINK__" hidden="1">{"fdsup://IBCentral/FAT Viewer?action=UPDATE&amp;creator=factset&amp;DOC_NAME=fat:reuters_qtrly_source_window.fat&amp;display_string=Audit&amp;DYN_ARGS=TRUE&amp;VAR:ID1=70756910&amp;VAR:RCODE=ATCA&amp;VAR:SDATE=20081299&amp;VAR:FREQ=DAILY&amp;VAR:RELITEM=&amp;VAR:CURRENCY=&amp;VAR:CURRSOURCE=EXSHARE&amp;","VAR:NATFREQ=QUARTERLY&amp;VAR:RFIELD=FINALIZED&amp;VAR:DB_TYPE=&amp;VAR:UNITS=M&amp;window=popup&amp;width=450&amp;height=300&amp;START_MAXIMIZED=FALSE"}</definedName>
    <definedName name="_1088__FDSAUDITLINK__" hidden="1">{"fdsup://IBCentral/FAT Viewer?action=UPDATE&amp;creator=factset&amp;DOC_NAME=fat:reuters_qtrly_source_window.fat&amp;display_string=Audit&amp;DYN_ARGS=TRUE&amp;VAR:ID1=70756910&amp;VAR:RCODE=ATOT&amp;VAR:SDATE=20081299&amp;VAR:FREQ=DAILY&amp;VAR:RELITEM=&amp;VAR:CURRENCY=&amp;VAR:CURRSOURCE=EXSHARE&amp;","VAR:NATFREQ=QUARTERLY&amp;VAR:RFIELD=FINALIZED&amp;VAR:DB_TYPE=&amp;VAR:UNITS=M&amp;window=popup&amp;width=450&amp;height=300&amp;START_MAXIMIZED=FALSE"}</definedName>
    <definedName name="_1089__FDSAUDITLINK__" hidden="1">{"fdsup://IBCentral/FAT Viewer?action=UPDATE&amp;creator=factset&amp;DOC_NAME=fat:reuters_qtrly_source_window.fat&amp;display_string=Audit&amp;DYN_ARGS=TRUE&amp;VAR:ID1=67073Y10&amp;VAR:RCODE=LTLL&amp;VAR:SDATE=20081299&amp;VAR:FREQ=DAILY&amp;VAR:RELITEM=&amp;VAR:CURRENCY=&amp;VAR:CURRSOURCE=EXSHARE&amp;","VAR:NATFREQ=QUARTERLY&amp;VAR:RFIELD=FINALIZED&amp;VAR:DB_TYPE=&amp;VAR:UNITS=M&amp;window=popup&amp;width=450&amp;height=300&amp;START_MAXIMIZED=FALSE"}</definedName>
    <definedName name="_109__FDSAUDITLINK__" hidden="1">{"fdsup://Directions/FactSet Auditing Viewer?action=AUDIT_VALUE&amp;DB=129&amp;ID1=12485720&amp;VALUEID=02999&amp;SDATE=201001&amp;PERIODTYPE=QTR_STD&amp;window=popup_no_bar&amp;width=385&amp;height=120&amp;START_MAXIMIZED=FALSE&amp;creator=factset&amp;display_string=Audit"}</definedName>
    <definedName name="_1090__FDSAUDITLINK__" hidden="1">{"fdsup://IBCentral/FAT Viewer?action=UPDATE&amp;creator=factset&amp;DOC_NAME=fat:reuters_qtrly_source_window.fat&amp;display_string=Audit&amp;DYN_ARGS=TRUE&amp;VAR:ID1=67073Y10&amp;VAR:RCODE=LTCL&amp;VAR:SDATE=20081299&amp;VAR:FREQ=DAILY&amp;VAR:RELITEM=&amp;VAR:CURRENCY=&amp;VAR:CURRSOURCE=EXSHARE&amp;","VAR:NATFREQ=QUARTERLY&amp;VAR:RFIELD=FINALIZED&amp;VAR:DB_TYPE=&amp;VAR:UNITS=M&amp;window=popup&amp;width=450&amp;height=300&amp;START_MAXIMIZED=FALSE"}</definedName>
    <definedName name="_1091__FDSAUDITLINK__" hidden="1">{"fdsup://IBCentral/FAT Viewer?action=UPDATE&amp;creator=factset&amp;DOC_NAME=fat:reuters_qtrly_source_window.fat&amp;display_string=Audit&amp;DYN_ARGS=TRUE&amp;VAR:ID1=67073Y10&amp;VAR:RCODE=ATCA&amp;VAR:SDATE=20081299&amp;VAR:FREQ=DAILY&amp;VAR:RELITEM=&amp;VAR:CURRENCY=&amp;VAR:CURRSOURCE=EXSHARE&amp;","VAR:NATFREQ=QUARTERLY&amp;VAR:RFIELD=FINALIZED&amp;VAR:DB_TYPE=&amp;VAR:UNITS=M&amp;window=popup&amp;width=450&amp;height=300&amp;START_MAXIMIZED=FALSE"}</definedName>
    <definedName name="_1092__FDSAUDITLINK__" hidden="1">{"fdsup://IBCentral/FAT Viewer?action=UPDATE&amp;creator=factset&amp;DOC_NAME=fat:reuters_qtrly_source_window.fat&amp;display_string=Audit&amp;DYN_ARGS=TRUE&amp;VAR:ID1=67073Y10&amp;VAR:RCODE=ATOT&amp;VAR:SDATE=20081299&amp;VAR:FREQ=DAILY&amp;VAR:RELITEM=&amp;VAR:CURRENCY=&amp;VAR:CURRSOURCE=EXSHARE&amp;","VAR:NATFREQ=QUARTERLY&amp;VAR:RFIELD=FINALIZED&amp;VAR:DB_TYPE=&amp;VAR:UNITS=M&amp;window=popup&amp;width=450&amp;height=300&amp;START_MAXIMIZED=FALSE"}</definedName>
    <definedName name="_1093__FDSAUDITLINK__" hidden="1">{"fdsup://IBCentral/FAT Viewer?action=UPDATE&amp;creator=factset&amp;DOC_NAME=fat:reuters_qtrly_source_window.fat&amp;display_string=Audit&amp;DYN_ARGS=TRUE&amp;VAR:ID1=65158710&amp;VAR:RCODE=LTLL&amp;VAR:SDATE=20081299&amp;VAR:FREQ=DAILY&amp;VAR:RELITEM=&amp;VAR:CURRENCY=&amp;VAR:CURRSOURCE=EXSHARE&amp;","VAR:NATFREQ=QUARTERLY&amp;VAR:RFIELD=FINALIZED&amp;VAR:DB_TYPE=&amp;VAR:UNITS=M&amp;window=popup&amp;width=450&amp;height=300&amp;START_MAXIMIZED=FALSE"}</definedName>
    <definedName name="_1094__FDSAUDITLINK__" hidden="1">{"fdsup://IBCentral/FAT Viewer?action=UPDATE&amp;creator=factset&amp;DOC_NAME=fat:reuters_qtrly_source_window.fat&amp;display_string=Audit&amp;DYN_ARGS=TRUE&amp;VAR:ID1=65158710&amp;VAR:RCODE=LTCL&amp;VAR:SDATE=20081299&amp;VAR:FREQ=DAILY&amp;VAR:RELITEM=&amp;VAR:CURRENCY=&amp;VAR:CURRSOURCE=EXSHARE&amp;","VAR:NATFREQ=QUARTERLY&amp;VAR:RFIELD=FINALIZED&amp;VAR:DB_TYPE=&amp;VAR:UNITS=M&amp;window=popup&amp;width=450&amp;height=300&amp;START_MAXIMIZED=FALSE"}</definedName>
    <definedName name="_1095__FDSAUDITLINK__" hidden="1">{"fdsup://IBCentral/FAT Viewer?action=UPDATE&amp;creator=factset&amp;DOC_NAME=fat:reuters_qtrly_source_window.fat&amp;display_string=Audit&amp;DYN_ARGS=TRUE&amp;VAR:ID1=65158710&amp;VAR:RCODE=ATCA&amp;VAR:SDATE=20081299&amp;VAR:FREQ=DAILY&amp;VAR:RELITEM=&amp;VAR:CURRENCY=&amp;VAR:CURRSOURCE=EXSHARE&amp;","VAR:NATFREQ=QUARTERLY&amp;VAR:RFIELD=FINALIZED&amp;VAR:DB_TYPE=&amp;VAR:UNITS=M&amp;window=popup&amp;width=450&amp;height=300&amp;START_MAXIMIZED=FALSE"}</definedName>
    <definedName name="_1096__FDSAUDITLINK__" hidden="1">{"fdsup://IBCentral/FAT Viewer?action=UPDATE&amp;creator=factset&amp;DOC_NAME=fat:reuters_qtrly_source_window.fat&amp;display_string=Audit&amp;DYN_ARGS=TRUE&amp;VAR:ID1=65158710&amp;VAR:RCODE=ATOT&amp;VAR:SDATE=20081299&amp;VAR:FREQ=DAILY&amp;VAR:RELITEM=&amp;VAR:CURRENCY=&amp;VAR:CURRSOURCE=EXSHARE&amp;","VAR:NATFREQ=QUARTERLY&amp;VAR:RFIELD=FINALIZED&amp;VAR:DB_TYPE=&amp;VAR:UNITS=M&amp;window=popup&amp;width=450&amp;height=300&amp;START_MAXIMIZED=FALSE"}</definedName>
    <definedName name="_1097__FDSAUDITLINK__" hidden="1">{"fdsup://IBCentral/FAT Viewer?action=UPDATE&amp;creator=factset&amp;DOC_NAME=fat:reuters_qtrly_source_window.fat&amp;display_string=Audit&amp;DYN_ARGS=TRUE&amp;VAR:ID1=62885210&amp;VAR:RCODE=LTLL&amp;VAR:SDATE=20081099&amp;VAR:FREQ=DAILY&amp;VAR:RELITEM=&amp;VAR:CURRENCY=&amp;VAR:CURRSOURCE=EXSHARE&amp;","VAR:NATFREQ=QUARTERLY&amp;VAR:RFIELD=FINALIZED&amp;VAR:DB_TYPE=&amp;VAR:UNITS=M&amp;window=popup&amp;width=450&amp;height=300&amp;START_MAXIMIZED=FALSE"}</definedName>
    <definedName name="_1098__FDSAUDITLINK__" hidden="1">{"fdsup://IBCentral/FAT Viewer?action=UPDATE&amp;creator=factset&amp;DOC_NAME=fat:reuters_qtrly_source_window.fat&amp;display_string=Audit&amp;DYN_ARGS=TRUE&amp;VAR:ID1=62885210&amp;VAR:RCODE=LTCL&amp;VAR:SDATE=20081099&amp;VAR:FREQ=DAILY&amp;VAR:RELITEM=&amp;VAR:CURRENCY=&amp;VAR:CURRSOURCE=EXSHARE&amp;","VAR:NATFREQ=QUARTERLY&amp;VAR:RFIELD=FINALIZED&amp;VAR:DB_TYPE=&amp;VAR:UNITS=M&amp;window=popup&amp;width=450&amp;height=300&amp;START_MAXIMIZED=FALSE"}</definedName>
    <definedName name="_1099__FDSAUDITLINK__" hidden="1">{"fdsup://IBCentral/FAT Viewer?action=UPDATE&amp;creator=factset&amp;DOC_NAME=fat:reuters_qtrly_source_window.fat&amp;display_string=Audit&amp;DYN_ARGS=TRUE&amp;VAR:ID1=62885210&amp;VAR:RCODE=ATCA&amp;VAR:SDATE=20081099&amp;VAR:FREQ=DAILY&amp;VAR:RELITEM=&amp;VAR:CURRENCY=&amp;VAR:CURRSOURCE=EXSHARE&amp;","VAR:NATFREQ=QUARTERLY&amp;VAR:RFIELD=FINALIZED&amp;VAR:DB_TYPE=&amp;VAR:UNITS=M&amp;window=popup&amp;width=450&amp;height=300&amp;START_MAXIMIZED=FALSE"}</definedName>
    <definedName name="_10IQ_CURRENCY_GAIN_INS" hidden="1">"c238"</definedName>
    <definedName name="_11__FDSAUDITLINK__" hidden="1">{"fdsup://Directions/FactSet Auditing Viewer?action=AUDIT_VALUE&amp;DB=129&amp;ID1=51466693&amp;VALUEID=02999&amp;SDATE=200903&amp;PERIODTYPE=QTR_STD&amp;window=popup_no_bar&amp;width=385&amp;height=120&amp;START_MAXIMIZED=FALSE&amp;creator=factset&amp;display_string=Audit"}</definedName>
    <definedName name="_11_0__123Grap" hidden="1">#N/A</definedName>
    <definedName name="_110__FDSAUDITLINK__" hidden="1">{"fdsup://Directions/FactSet Auditing Viewer?action=AUDIT_VALUE&amp;DB=129&amp;ID1=15018510&amp;VALUEID=02999&amp;SDATE=201001&amp;PERIODTYPE=QTR_STD&amp;window=popup_no_bar&amp;width=385&amp;height=120&amp;START_MAXIMIZED=FALSE&amp;creator=factset&amp;display_string=Audit"}</definedName>
    <definedName name="_1100__FDSAUDITLINK__" hidden="1">{"fdsup://IBCentral/FAT Viewer?action=UPDATE&amp;creator=factset&amp;DOC_NAME=fat:reuters_qtrly_source_window.fat&amp;display_string=Audit&amp;DYN_ARGS=TRUE&amp;VAR:ID1=62885210&amp;VAR:RCODE=ATOT&amp;VAR:SDATE=20081099&amp;VAR:FREQ=DAILY&amp;VAR:RELITEM=&amp;VAR:CURRENCY=&amp;VAR:CURRSOURCE=EXSHARE&amp;","VAR:NATFREQ=QUARTERLY&amp;VAR:RFIELD=FINALIZED&amp;VAR:DB_TYPE=&amp;VAR:UNITS=M&amp;window=popup&amp;width=450&amp;height=300&amp;START_MAXIMIZED=FALSE"}</definedName>
    <definedName name="_1101__FDSAUDITLINK__" hidden="1">{"fdsup://IBCentral/FAT Viewer?action=UPDATE&amp;creator=factset&amp;DOC_NAME=fat:reuters_qtrly_source_window.fat&amp;display_string=Audit&amp;DYN_ARGS=TRUE&amp;VAR:ID1=62878210&amp;VAR:RCODE=LTLL&amp;VAR:SDATE=20081299&amp;VAR:FREQ=DAILY&amp;VAR:RELITEM=&amp;VAR:CURRENCY=&amp;VAR:CURRSOURCE=EXSHARE&amp;","VAR:NATFREQ=QUARTERLY&amp;VAR:RFIELD=FINALIZED&amp;VAR:DB_TYPE=&amp;VAR:UNITS=M&amp;window=popup&amp;width=450&amp;height=300&amp;START_MAXIMIZED=FALSE"}</definedName>
    <definedName name="_1102__FDSAUDITLINK__" hidden="1">{"fdsup://IBCentral/FAT Viewer?action=UPDATE&amp;creator=factset&amp;DOC_NAME=fat:reuters_qtrly_source_window.fat&amp;display_string=Audit&amp;DYN_ARGS=TRUE&amp;VAR:ID1=62878210&amp;VAR:RCODE=LTCL&amp;VAR:SDATE=20081299&amp;VAR:FREQ=DAILY&amp;VAR:RELITEM=&amp;VAR:CURRENCY=&amp;VAR:CURRSOURCE=EXSHARE&amp;","VAR:NATFREQ=QUARTERLY&amp;VAR:RFIELD=FINALIZED&amp;VAR:DB_TYPE=&amp;VAR:UNITS=M&amp;window=popup&amp;width=450&amp;height=300&amp;START_MAXIMIZED=FALSE"}</definedName>
    <definedName name="_1103__FDSAUDITLINK__" hidden="1">{"fdsup://IBCentral/FAT Viewer?action=UPDATE&amp;creator=factset&amp;DOC_NAME=fat:reuters_qtrly_source_window.fat&amp;display_string=Audit&amp;DYN_ARGS=TRUE&amp;VAR:ID1=62878210&amp;VAR:RCODE=ATCA&amp;VAR:SDATE=20081299&amp;VAR:FREQ=DAILY&amp;VAR:RELITEM=&amp;VAR:CURRENCY=&amp;VAR:CURRSOURCE=EXSHARE&amp;","VAR:NATFREQ=QUARTERLY&amp;VAR:RFIELD=FINALIZED&amp;VAR:DB_TYPE=&amp;VAR:UNITS=M&amp;window=popup&amp;width=450&amp;height=300&amp;START_MAXIMIZED=FALSE"}</definedName>
    <definedName name="_1104__FDSAUDITLINK__" hidden="1">{"fdsup://IBCentral/FAT Viewer?action=UPDATE&amp;creator=factset&amp;DOC_NAME=fat:reuters_qtrly_source_window.fat&amp;display_string=Audit&amp;DYN_ARGS=TRUE&amp;VAR:ID1=62878210&amp;VAR:RCODE=ATOT&amp;VAR:SDATE=20081299&amp;VAR:FREQ=DAILY&amp;VAR:RELITEM=&amp;VAR:CURRENCY=&amp;VAR:CURRSOURCE=EXSHARE&amp;","VAR:NATFREQ=QUARTERLY&amp;VAR:RFIELD=FINALIZED&amp;VAR:DB_TYPE=&amp;VAR:UNITS=M&amp;window=popup&amp;width=450&amp;height=300&amp;START_MAXIMIZED=FALSE"}</definedName>
    <definedName name="_1105__FDSAUDITLINK__" hidden="1">{"fdsup://IBCentral/FAT Viewer?action=UPDATE&amp;creator=factset&amp;DOC_NAME=fat:reuters_qtrly_source_window.fat&amp;display_string=Audit&amp;DYN_ARGS=TRUE&amp;VAR:ID1=55295310&amp;VAR:RCODE=LTLL&amp;VAR:SDATE=20081299&amp;VAR:FREQ=DAILY&amp;VAR:RELITEM=&amp;VAR:CURRENCY=&amp;VAR:CURRSOURCE=EXSHARE&amp;","VAR:NATFREQ=QUARTERLY&amp;VAR:RFIELD=FINALIZED&amp;VAR:DB_TYPE=&amp;VAR:UNITS=M&amp;window=popup&amp;width=450&amp;height=300&amp;START_MAXIMIZED=FALSE"}</definedName>
    <definedName name="_1106__FDSAUDITLINK__" hidden="1">{"fdsup://IBCentral/FAT Viewer?action=UPDATE&amp;creator=factset&amp;DOC_NAME=fat:reuters_qtrly_source_window.fat&amp;display_string=Audit&amp;DYN_ARGS=TRUE&amp;VAR:ID1=55295310&amp;VAR:RCODE=LTCL&amp;VAR:SDATE=20081299&amp;VAR:FREQ=DAILY&amp;VAR:RELITEM=&amp;VAR:CURRENCY=&amp;VAR:CURRSOURCE=EXSHARE&amp;","VAR:NATFREQ=QUARTERLY&amp;VAR:RFIELD=FINALIZED&amp;VAR:DB_TYPE=&amp;VAR:UNITS=M&amp;window=popup&amp;width=450&amp;height=300&amp;START_MAXIMIZED=FALSE"}</definedName>
    <definedName name="_1107__FDSAUDITLINK__" hidden="1">{"fdsup://IBCentral/FAT Viewer?action=UPDATE&amp;creator=factset&amp;DOC_NAME=fat:reuters_qtrly_source_window.fat&amp;display_string=Audit&amp;DYN_ARGS=TRUE&amp;VAR:ID1=55295310&amp;VAR:RCODE=ATCA&amp;VAR:SDATE=20081299&amp;VAR:FREQ=DAILY&amp;VAR:RELITEM=&amp;VAR:CURRENCY=&amp;VAR:CURRSOURCE=EXSHARE&amp;","VAR:NATFREQ=QUARTERLY&amp;VAR:RFIELD=FINALIZED&amp;VAR:DB_TYPE=&amp;VAR:UNITS=M&amp;window=popup&amp;width=450&amp;height=300&amp;START_MAXIMIZED=FALSE"}</definedName>
    <definedName name="_1108__FDSAUDITLINK__" hidden="1">{"fdsup://IBCentral/FAT Viewer?action=UPDATE&amp;creator=factset&amp;DOC_NAME=fat:reuters_qtrly_source_window.fat&amp;display_string=Audit&amp;DYN_ARGS=TRUE&amp;VAR:ID1=55295310&amp;VAR:RCODE=ATOT&amp;VAR:SDATE=20081299&amp;VAR:FREQ=DAILY&amp;VAR:RELITEM=&amp;VAR:CURRENCY=&amp;VAR:CURRSOURCE=EXSHARE&amp;","VAR:NATFREQ=QUARTERLY&amp;VAR:RFIELD=FINALIZED&amp;VAR:DB_TYPE=&amp;VAR:UNITS=M&amp;window=popup&amp;width=450&amp;height=300&amp;START_MAXIMIZED=FALSE"}</definedName>
    <definedName name="_1109__FDSAUDITLINK__" hidden="1">{"fdsup://IBCentral/FAT Viewer?action=UPDATE&amp;creator=factset&amp;DOC_NAME=fat:reuters_qtrly_source_window.fat&amp;display_string=Audit&amp;DYN_ARGS=TRUE&amp;VAR:ID1=54634710&amp;VAR:RCODE=LTLL&amp;VAR:SDATE=20081299&amp;VAR:FREQ=DAILY&amp;VAR:RELITEM=&amp;VAR:CURRENCY=&amp;VAR:CURRSOURCE=EXSHARE&amp;","VAR:NATFREQ=QUARTERLY&amp;VAR:RFIELD=FINALIZED&amp;VAR:DB_TYPE=&amp;VAR:UNITS=M&amp;window=popup&amp;width=450&amp;height=300&amp;START_MAXIMIZED=FALSE"}</definedName>
    <definedName name="_111__FDSAUDITLINK__" hidden="1">{"fdsup://Directions/FactSet Auditing Viewer?action=AUDIT_VALUE&amp;DB=129&amp;ID1=15343510&amp;VALUEID=02999&amp;SDATE=201001&amp;PERIODTYPE=QTR_STD&amp;window=popup_no_bar&amp;width=385&amp;height=120&amp;START_MAXIMIZED=FALSE&amp;creator=factset&amp;display_string=Audit"}</definedName>
    <definedName name="_1110__FDSAUDITLINK__" hidden="1">{"fdsup://IBCentral/FAT Viewer?action=UPDATE&amp;creator=factset&amp;DOC_NAME=fat:reuters_qtrly_source_window.fat&amp;display_string=Audit&amp;DYN_ARGS=TRUE&amp;VAR:ID1=54634710&amp;VAR:RCODE=LTCL&amp;VAR:SDATE=20081299&amp;VAR:FREQ=DAILY&amp;VAR:RELITEM=&amp;VAR:CURRENCY=&amp;VAR:CURRSOURCE=EXSHARE&amp;","VAR:NATFREQ=QUARTERLY&amp;VAR:RFIELD=FINALIZED&amp;VAR:DB_TYPE=&amp;VAR:UNITS=M&amp;window=popup&amp;width=450&amp;height=300&amp;START_MAXIMIZED=FALSE"}</definedName>
    <definedName name="_1111__FDSAUDITLINK__" hidden="1">{"fdsup://IBCentral/FAT Viewer?action=UPDATE&amp;creator=factset&amp;DOC_NAME=fat:reuters_qtrly_source_window.fat&amp;display_string=Audit&amp;DYN_ARGS=TRUE&amp;VAR:ID1=54634710&amp;VAR:RCODE=ATCA&amp;VAR:SDATE=20081299&amp;VAR:FREQ=DAILY&amp;VAR:RELITEM=&amp;VAR:CURRENCY=&amp;VAR:CURRSOURCE=EXSHARE&amp;","VAR:NATFREQ=QUARTERLY&amp;VAR:RFIELD=FINALIZED&amp;VAR:DB_TYPE=&amp;VAR:UNITS=M&amp;window=popup&amp;width=450&amp;height=300&amp;START_MAXIMIZED=FALSE"}</definedName>
    <definedName name="_1112__FDSAUDITLINK__" hidden="1">{"fdsup://IBCentral/FAT Viewer?action=UPDATE&amp;creator=factset&amp;DOC_NAME=fat:reuters_qtrly_source_window.fat&amp;display_string=Audit&amp;DYN_ARGS=TRUE&amp;VAR:ID1=54634710&amp;VAR:RCODE=ATOT&amp;VAR:SDATE=20081299&amp;VAR:FREQ=DAILY&amp;VAR:RELITEM=&amp;VAR:CURRENCY=&amp;VAR:CURRSOURCE=EXSHARE&amp;","VAR:NATFREQ=QUARTERLY&amp;VAR:RFIELD=FINALIZED&amp;VAR:DB_TYPE=&amp;VAR:UNITS=M&amp;window=popup&amp;width=450&amp;height=300&amp;START_MAXIMIZED=FALSE"}</definedName>
    <definedName name="_1113__FDSAUDITLINK__" hidden="1">{"fdsup://IBCentral/FAT Viewer?action=UPDATE&amp;creator=factset&amp;DOC_NAME=fat:reuters_qtrly_source_window.fat&amp;display_string=Audit&amp;DYN_ARGS=TRUE&amp;VAR:ID1=50242410&amp;VAR:RCODE=LTLL&amp;VAR:SDATE=20081299&amp;VAR:FREQ=DAILY&amp;VAR:RELITEM=&amp;VAR:CURRENCY=&amp;VAR:CURRSOURCE=EXSHARE&amp;","VAR:NATFREQ=QUARTERLY&amp;VAR:RFIELD=FINALIZED&amp;VAR:DB_TYPE=&amp;VAR:UNITS=M&amp;window=popup&amp;width=450&amp;height=300&amp;START_MAXIMIZED=FALSE"}</definedName>
    <definedName name="_1114__FDSAUDITLINK__" hidden="1">{"fdsup://IBCentral/FAT Viewer?action=UPDATE&amp;creator=factset&amp;DOC_NAME=fat:reuters_qtrly_source_window.fat&amp;display_string=Audit&amp;DYN_ARGS=TRUE&amp;VAR:ID1=50242410&amp;VAR:RCODE=LTCL&amp;VAR:SDATE=20081299&amp;VAR:FREQ=DAILY&amp;VAR:RELITEM=&amp;VAR:CURRENCY=&amp;VAR:CURRSOURCE=EXSHARE&amp;","VAR:NATFREQ=QUARTERLY&amp;VAR:RFIELD=FINALIZED&amp;VAR:DB_TYPE=&amp;VAR:UNITS=M&amp;window=popup&amp;width=450&amp;height=300&amp;START_MAXIMIZED=FALSE"}</definedName>
    <definedName name="_1115__FDSAUDITLINK__" hidden="1">{"fdsup://IBCentral/FAT Viewer?action=UPDATE&amp;creator=factset&amp;DOC_NAME=fat:reuters_qtrly_source_window.fat&amp;display_string=Audit&amp;DYN_ARGS=TRUE&amp;VAR:ID1=50242410&amp;VAR:RCODE=ATCA&amp;VAR:SDATE=20081299&amp;VAR:FREQ=DAILY&amp;VAR:RELITEM=&amp;VAR:CURRENCY=&amp;VAR:CURRSOURCE=EXSHARE&amp;","VAR:NATFREQ=QUARTERLY&amp;VAR:RFIELD=FINALIZED&amp;VAR:DB_TYPE=&amp;VAR:UNITS=M&amp;window=popup&amp;width=450&amp;height=300&amp;START_MAXIMIZED=FALSE"}</definedName>
    <definedName name="_1116__FDSAUDITLINK__" hidden="1">{"fdsup://IBCentral/FAT Viewer?action=UPDATE&amp;creator=factset&amp;DOC_NAME=fat:reuters_qtrly_source_window.fat&amp;display_string=Audit&amp;DYN_ARGS=TRUE&amp;VAR:ID1=50242410&amp;VAR:RCODE=ATOT&amp;VAR:SDATE=20081299&amp;VAR:FREQ=DAILY&amp;VAR:RELITEM=&amp;VAR:CURRENCY=&amp;VAR:CURRSOURCE=EXSHARE&amp;","VAR:NATFREQ=QUARTERLY&amp;VAR:RFIELD=FINALIZED&amp;VAR:DB_TYPE=&amp;VAR:UNITS=M&amp;window=popup&amp;width=450&amp;height=300&amp;START_MAXIMIZED=FALSE"}</definedName>
    <definedName name="_1117__FDSAUDITLINK__" hidden="1">{"fdsup://IBCentral/FAT Viewer?action=UPDATE&amp;creator=factset&amp;DOC_NAME=fat:reuters_qtrly_source_window.fat&amp;display_string=Audit&amp;DYN_ARGS=TRUE&amp;VAR:ID1=49460W20&amp;VAR:RCODE=LTLL&amp;VAR:SDATE=20081299&amp;VAR:FREQ=DAILY&amp;VAR:RELITEM=&amp;VAR:CURRENCY=&amp;VAR:CURRSOURCE=EXSHARE&amp;","VAR:NATFREQ=QUARTERLY&amp;VAR:RFIELD=FINALIZED&amp;VAR:DB_TYPE=&amp;VAR:UNITS=M&amp;window=popup&amp;width=450&amp;height=300&amp;START_MAXIMIZED=FALSE"}</definedName>
    <definedName name="_1118__FDSAUDITLINK__" hidden="1">{"fdsup://IBCentral/FAT Viewer?action=UPDATE&amp;creator=factset&amp;DOC_NAME=fat:reuters_qtrly_source_window.fat&amp;display_string=Audit&amp;DYN_ARGS=TRUE&amp;VAR:ID1=49460W20&amp;VAR:RCODE=LTCL&amp;VAR:SDATE=20081299&amp;VAR:FREQ=DAILY&amp;VAR:RELITEM=&amp;VAR:CURRENCY=&amp;VAR:CURRSOURCE=EXSHARE&amp;","VAR:NATFREQ=QUARTERLY&amp;VAR:RFIELD=FINALIZED&amp;VAR:DB_TYPE=&amp;VAR:UNITS=M&amp;window=popup&amp;width=450&amp;height=300&amp;START_MAXIMIZED=FALSE"}</definedName>
    <definedName name="_1119__FDSAUDITLINK__" hidden="1">{"fdsup://IBCentral/FAT Viewer?action=UPDATE&amp;creator=factset&amp;DOC_NAME=fat:reuters_qtrly_source_window.fat&amp;display_string=Audit&amp;DYN_ARGS=TRUE&amp;VAR:ID1=49460W20&amp;VAR:RCODE=ATCA&amp;VAR:SDATE=20081299&amp;VAR:FREQ=DAILY&amp;VAR:RELITEM=&amp;VAR:CURRENCY=&amp;VAR:CURRSOURCE=EXSHARE&amp;","VAR:NATFREQ=QUARTERLY&amp;VAR:RFIELD=FINALIZED&amp;VAR:DB_TYPE=&amp;VAR:UNITS=M&amp;window=popup&amp;width=450&amp;height=300&amp;START_MAXIMIZED=FALSE"}</definedName>
    <definedName name="_112__FDSAUDITLINK__" hidden="1">{"fdsup://Directions/FactSet Auditing Viewer?action=AUDIT_VALUE&amp;DB=129&amp;ID1=15352720&amp;VALUEID=02999&amp;SDATE=201002&amp;PERIODTYPE=QTR_STD&amp;window=popup_no_bar&amp;width=385&amp;height=120&amp;START_MAXIMIZED=FALSE&amp;creator=factset&amp;display_string=Audit"}</definedName>
    <definedName name="_1120__FDSAUDITLINK__" hidden="1">{"fdsup://IBCentral/FAT Viewer?action=UPDATE&amp;creator=factset&amp;DOC_NAME=fat:reuters_qtrly_source_window.fat&amp;display_string=Audit&amp;DYN_ARGS=TRUE&amp;VAR:ID1=49460W20&amp;VAR:RCODE=ATOT&amp;VAR:SDATE=20081299&amp;VAR:FREQ=DAILY&amp;VAR:RELITEM=&amp;VAR:CURRENCY=&amp;VAR:CURRSOURCE=EXSHARE&amp;","VAR:NATFREQ=QUARTERLY&amp;VAR:RFIELD=FINALIZED&amp;VAR:DB_TYPE=&amp;VAR:UNITS=M&amp;window=popup&amp;width=450&amp;height=300&amp;START_MAXIMIZED=FALSE"}</definedName>
    <definedName name="_1121__FDSAUDITLINK__" hidden="1">{"fdsup://IBCentral/FAT Viewer?action=UPDATE&amp;creator=factset&amp;DOC_NAME=fat:reuters_qtrly_source_window.fat&amp;display_string=Audit&amp;DYN_ARGS=TRUE&amp;VAR:ID1=46069010&amp;VAR:RCODE=LTLL&amp;VAR:SDATE=20081299&amp;VAR:FREQ=DAILY&amp;VAR:RELITEM=&amp;VAR:CURRENCY=&amp;VAR:CURRSOURCE=EXSHARE&amp;","VAR:NATFREQ=QUARTERLY&amp;VAR:RFIELD=FINALIZED&amp;VAR:DB_TYPE=&amp;VAR:UNITS=M&amp;window=popup&amp;width=450&amp;height=300&amp;START_MAXIMIZED=FALSE"}</definedName>
    <definedName name="_1122__FDSAUDITLINK__" hidden="1">{"fdsup://IBCentral/FAT Viewer?action=UPDATE&amp;creator=factset&amp;DOC_NAME=fat:reuters_qtrly_source_window.fat&amp;display_string=Audit&amp;DYN_ARGS=TRUE&amp;VAR:ID1=46069010&amp;VAR:RCODE=LTCL&amp;VAR:SDATE=20081299&amp;VAR:FREQ=DAILY&amp;VAR:RELITEM=&amp;VAR:CURRENCY=&amp;VAR:CURRSOURCE=EXSHARE&amp;","VAR:NATFREQ=QUARTERLY&amp;VAR:RFIELD=FINALIZED&amp;VAR:DB_TYPE=&amp;VAR:UNITS=M&amp;window=popup&amp;width=450&amp;height=300&amp;START_MAXIMIZED=FALSE"}</definedName>
    <definedName name="_1123__FDSAUDITLINK__" hidden="1">{"fdsup://IBCentral/FAT Viewer?action=UPDATE&amp;creator=factset&amp;DOC_NAME=fat:reuters_qtrly_source_window.fat&amp;display_string=Audit&amp;DYN_ARGS=TRUE&amp;VAR:ID1=46069010&amp;VAR:RCODE=ATCA&amp;VAR:SDATE=20081299&amp;VAR:FREQ=DAILY&amp;VAR:RELITEM=&amp;VAR:CURRENCY=&amp;VAR:CURRSOURCE=EXSHARE&amp;","VAR:NATFREQ=QUARTERLY&amp;VAR:RFIELD=FINALIZED&amp;VAR:DB_TYPE=&amp;VAR:UNITS=M&amp;window=popup&amp;width=450&amp;height=300&amp;START_MAXIMIZED=FALSE"}</definedName>
    <definedName name="_1124__FDSAUDITLINK__" hidden="1">{"fdsup://IBCentral/FAT Viewer?action=UPDATE&amp;creator=factset&amp;DOC_NAME=fat:reuters_qtrly_source_window.fat&amp;display_string=Audit&amp;DYN_ARGS=TRUE&amp;VAR:ID1=46069010&amp;VAR:RCODE=ATOT&amp;VAR:SDATE=20081299&amp;VAR:FREQ=DAILY&amp;VAR:RELITEM=&amp;VAR:CURRENCY=&amp;VAR:CURRSOURCE=EXSHARE&amp;","VAR:NATFREQ=QUARTERLY&amp;VAR:RFIELD=FINALIZED&amp;VAR:DB_TYPE=&amp;VAR:UNITS=M&amp;window=popup&amp;width=450&amp;height=300&amp;START_MAXIMIZED=FALSE"}</definedName>
    <definedName name="_1125__FDSAUDITLINK__" hidden="1">{"fdsup://IBCentral/FAT Viewer?action=UPDATE&amp;creator=factset&amp;DOC_NAME=fat:reuters_qtrly_source_window.fat&amp;display_string=Audit&amp;DYN_ARGS=TRUE&amp;VAR:ID1=44919P50&amp;VAR:RCODE=LTLL&amp;VAR:SDATE=20081299&amp;VAR:FREQ=DAILY&amp;VAR:RELITEM=&amp;VAR:CURRENCY=&amp;VAR:CURRSOURCE=EXSHARE&amp;","VAR:NATFREQ=QUARTERLY&amp;VAR:RFIELD=FINALIZED&amp;VAR:DB_TYPE=&amp;VAR:UNITS=M&amp;window=popup&amp;width=450&amp;height=300&amp;START_MAXIMIZED=FALSE"}</definedName>
    <definedName name="_1126__FDSAUDITLINK__" hidden="1">{"fdsup://IBCentral/FAT Viewer?action=UPDATE&amp;creator=factset&amp;DOC_NAME=fat:reuters_qtrly_source_window.fat&amp;display_string=Audit&amp;DYN_ARGS=TRUE&amp;VAR:ID1=44919P50&amp;VAR:RCODE=LTCL&amp;VAR:SDATE=20081299&amp;VAR:FREQ=DAILY&amp;VAR:RELITEM=&amp;VAR:CURRENCY=&amp;VAR:CURRSOURCE=EXSHARE&amp;","VAR:NATFREQ=QUARTERLY&amp;VAR:RFIELD=FINALIZED&amp;VAR:DB_TYPE=&amp;VAR:UNITS=M&amp;window=popup&amp;width=450&amp;height=300&amp;START_MAXIMIZED=FALSE"}</definedName>
    <definedName name="_1127__FDSAUDITLINK__" hidden="1">{"fdsup://IBCentral/FAT Viewer?action=UPDATE&amp;creator=factset&amp;DOC_NAME=fat:reuters_qtrly_source_window.fat&amp;display_string=Audit&amp;DYN_ARGS=TRUE&amp;VAR:ID1=44919P50&amp;VAR:RCODE=ATCA&amp;VAR:SDATE=20081299&amp;VAR:FREQ=DAILY&amp;VAR:RELITEM=&amp;VAR:CURRENCY=&amp;VAR:CURRSOURCE=EXSHARE&amp;","VAR:NATFREQ=QUARTERLY&amp;VAR:RFIELD=FINALIZED&amp;VAR:DB_TYPE=&amp;VAR:UNITS=M&amp;window=popup&amp;width=450&amp;height=300&amp;START_MAXIMIZED=FALSE"}</definedName>
    <definedName name="_1128__FDSAUDITLINK__" hidden="1">{"fdsup://IBCentral/FAT Viewer?action=UPDATE&amp;creator=factset&amp;DOC_NAME=fat:reuters_qtrly_source_window.fat&amp;display_string=Audit&amp;DYN_ARGS=TRUE&amp;VAR:ID1=44919P50&amp;VAR:RCODE=ATOT&amp;VAR:SDATE=20081299&amp;VAR:FREQ=DAILY&amp;VAR:RELITEM=&amp;VAR:CURRENCY=&amp;VAR:CURRSOURCE=EXSHARE&amp;","VAR:NATFREQ=QUARTERLY&amp;VAR:RFIELD=FINALIZED&amp;VAR:DB_TYPE=&amp;VAR:UNITS=M&amp;window=popup&amp;width=450&amp;height=300&amp;START_MAXIMIZED=FALSE"}</definedName>
    <definedName name="_1129__FDSAUDITLINK__" hidden="1">{"fdsup://IBCentral/FAT Viewer?action=UPDATE&amp;creator=factset&amp;DOC_NAME=fat:reuters_qtrly_source_window.fat&amp;display_string=Audit&amp;DYN_ARGS=TRUE&amp;VAR:ID1=44054310&amp;VAR:RCODE=LTLL&amp;VAR:SDATE=20081299&amp;VAR:FREQ=DAILY&amp;VAR:RELITEM=&amp;VAR:CURRENCY=&amp;VAR:CURRSOURCE=EXSHARE&amp;","VAR:NATFREQ=QUARTERLY&amp;VAR:RFIELD=FINALIZED&amp;VAR:DB_TYPE=&amp;VAR:UNITS=M&amp;window=popup&amp;width=450&amp;height=300&amp;START_MAXIMIZED=FALSE"}</definedName>
    <definedName name="_113__FDSAUDITLINK__" hidden="1">{"fdsup://Directions/FactSet Auditing Viewer?action=AUDIT_VALUE&amp;DB=129&amp;ID1=15643110&amp;VALUEID=02999&amp;SDATE=201001&amp;PERIODTYPE=QTR_STD&amp;window=popup_no_bar&amp;width=385&amp;height=120&amp;START_MAXIMIZED=FALSE&amp;creator=factset&amp;display_string=Audit"}</definedName>
    <definedName name="_1130__FDSAUDITLINK__" hidden="1">{"fdsup://IBCentral/FAT Viewer?action=UPDATE&amp;creator=factset&amp;DOC_NAME=fat:reuters_qtrly_source_window.fat&amp;display_string=Audit&amp;DYN_ARGS=TRUE&amp;VAR:ID1=44054310&amp;VAR:RCODE=LTCL&amp;VAR:SDATE=20081299&amp;VAR:FREQ=DAILY&amp;VAR:RELITEM=&amp;VAR:CURRENCY=&amp;VAR:CURRSOURCE=EXSHARE&amp;","VAR:NATFREQ=QUARTERLY&amp;VAR:RFIELD=FINALIZED&amp;VAR:DB_TYPE=&amp;VAR:UNITS=M&amp;window=popup&amp;width=450&amp;height=300&amp;START_MAXIMIZED=FALSE"}</definedName>
    <definedName name="_1131__FDSAUDITLINK__" hidden="1">{"fdsup://IBCentral/FAT Viewer?action=UPDATE&amp;creator=factset&amp;DOC_NAME=fat:reuters_qtrly_source_window.fat&amp;display_string=Audit&amp;DYN_ARGS=TRUE&amp;VAR:ID1=44054310&amp;VAR:RCODE=ATCA&amp;VAR:SDATE=20081299&amp;VAR:FREQ=DAILY&amp;VAR:RELITEM=&amp;VAR:CURRENCY=&amp;VAR:CURRSOURCE=EXSHARE&amp;","VAR:NATFREQ=QUARTERLY&amp;VAR:RFIELD=FINALIZED&amp;VAR:DB_TYPE=&amp;VAR:UNITS=M&amp;window=popup&amp;width=450&amp;height=300&amp;START_MAXIMIZED=FALSE"}</definedName>
    <definedName name="_1132__FDSAUDITLINK__" hidden="1">{"fdsup://IBCentral/FAT Viewer?action=UPDATE&amp;creator=factset&amp;DOC_NAME=fat:reuters_qtrly_source_window.fat&amp;display_string=Audit&amp;DYN_ARGS=TRUE&amp;VAR:ID1=44054310&amp;VAR:RCODE=ATOT&amp;VAR:SDATE=20081299&amp;VAR:FREQ=DAILY&amp;VAR:RELITEM=&amp;VAR:CURRENCY=&amp;VAR:CURRSOURCE=EXSHARE&amp;","VAR:NATFREQ=QUARTERLY&amp;VAR:RFIELD=FINALIZED&amp;VAR:DB_TYPE=&amp;VAR:UNITS=M&amp;window=popup&amp;width=450&amp;height=300&amp;START_MAXIMIZED=FALSE"}</definedName>
    <definedName name="_1133__FDSAUDITLINK__" hidden="1">{"fdsup://IBCentral/FAT Viewer?action=UPDATE&amp;creator=factset&amp;DOC_NAME=fat:reuters_qtrly_source_window.fat&amp;display_string=Audit&amp;DYN_ARGS=TRUE&amp;VAR:ID1=42224510&amp;VAR:RCODE=LTLL&amp;VAR:SDATE=20080899&amp;VAR:FREQ=DAILY&amp;VAR:RELITEM=&amp;VAR:CURRENCY=&amp;VAR:CURRSOURCE=EXSHARE&amp;","VAR:NATFREQ=QUARTERLY&amp;VAR:RFIELD=FINALIZED&amp;VAR:DB_TYPE=&amp;VAR:UNITS=M&amp;window=popup&amp;width=450&amp;height=300&amp;START_MAXIMIZED=FALSE"}</definedName>
    <definedName name="_1134__FDSAUDITLINK__" hidden="1">{"fdsup://IBCentral/FAT Viewer?action=UPDATE&amp;creator=factset&amp;DOC_NAME=fat:reuters_qtrly_source_window.fat&amp;display_string=Audit&amp;DYN_ARGS=TRUE&amp;VAR:ID1=42224510&amp;VAR:RCODE=LTCL&amp;VAR:SDATE=20080899&amp;VAR:FREQ=DAILY&amp;VAR:RELITEM=&amp;VAR:CURRENCY=&amp;VAR:CURRSOURCE=EXSHARE&amp;","VAR:NATFREQ=QUARTERLY&amp;VAR:RFIELD=FINALIZED&amp;VAR:DB_TYPE=&amp;VAR:UNITS=M&amp;window=popup&amp;width=450&amp;height=300&amp;START_MAXIMIZED=FALSE"}</definedName>
    <definedName name="_1135__FDSAUDITLINK__" hidden="1">{"fdsup://IBCentral/FAT Viewer?action=UPDATE&amp;creator=factset&amp;DOC_NAME=fat:reuters_qtrly_source_window.fat&amp;display_string=Audit&amp;DYN_ARGS=TRUE&amp;VAR:ID1=42224510&amp;VAR:RCODE=ATCA&amp;VAR:SDATE=20080899&amp;VAR:FREQ=DAILY&amp;VAR:RELITEM=&amp;VAR:CURRENCY=&amp;VAR:CURRSOURCE=EXSHARE&amp;","VAR:NATFREQ=QUARTERLY&amp;VAR:RFIELD=FINALIZED&amp;VAR:DB_TYPE=&amp;VAR:UNITS=M&amp;window=popup&amp;width=450&amp;height=300&amp;START_MAXIMIZED=FALSE"}</definedName>
    <definedName name="_1136__FDSAUDITLINK__" hidden="1">{"fdsup://IBCentral/FAT Viewer?action=UPDATE&amp;creator=factset&amp;DOC_NAME=fat:reuters_qtrly_source_window.fat&amp;display_string=Audit&amp;DYN_ARGS=TRUE&amp;VAR:ID1=42224510&amp;VAR:RCODE=ATOT&amp;VAR:SDATE=20080899&amp;VAR:FREQ=DAILY&amp;VAR:RELITEM=&amp;VAR:CURRENCY=&amp;VAR:CURRSOURCE=EXSHARE&amp;","VAR:NATFREQ=QUARTERLY&amp;VAR:RFIELD=FINALIZED&amp;VAR:DB_TYPE=&amp;VAR:UNITS=M&amp;window=popup&amp;width=450&amp;height=300&amp;START_MAXIMIZED=FALSE"}</definedName>
    <definedName name="_1137__FDSAUDITLINK__" hidden="1">{"fdsup://IBCentral/FAT Viewer?action=UPDATE&amp;creator=factset&amp;DOC_NAME=fat:reuters_qtrly_source_window.fat&amp;display_string=Audit&amp;DYN_ARGS=TRUE&amp;VAR:ID1=38431310&amp;VAR:RCODE=LTLL&amp;VAR:SDATE=20081299&amp;VAR:FREQ=DAILY&amp;VAR:RELITEM=&amp;VAR:CURRENCY=&amp;VAR:CURRSOURCE=EXSHARE&amp;","VAR:NATFREQ=QUARTERLY&amp;VAR:RFIELD=FINALIZED&amp;VAR:DB_TYPE=&amp;VAR:UNITS=M&amp;window=popup&amp;width=450&amp;height=300&amp;START_MAXIMIZED=FALSE"}</definedName>
    <definedName name="_1138__FDSAUDITLINK__" hidden="1">{"fdsup://IBCentral/FAT Viewer?action=UPDATE&amp;creator=factset&amp;DOC_NAME=fat:reuters_qtrly_source_window.fat&amp;display_string=Audit&amp;DYN_ARGS=TRUE&amp;VAR:ID1=38431310&amp;VAR:RCODE=LTCL&amp;VAR:SDATE=20081299&amp;VAR:FREQ=DAILY&amp;VAR:RELITEM=&amp;VAR:CURRENCY=&amp;VAR:CURRSOURCE=EXSHARE&amp;","VAR:NATFREQ=QUARTERLY&amp;VAR:RFIELD=FINALIZED&amp;VAR:DB_TYPE=&amp;VAR:UNITS=M&amp;window=popup&amp;width=450&amp;height=300&amp;START_MAXIMIZED=FALSE"}</definedName>
    <definedName name="_1139__FDSAUDITLINK__" hidden="1">{"fdsup://IBCentral/FAT Viewer?action=UPDATE&amp;creator=factset&amp;DOC_NAME=fat:reuters_qtrly_source_window.fat&amp;display_string=Audit&amp;DYN_ARGS=TRUE&amp;VAR:ID1=38431310&amp;VAR:RCODE=ATCA&amp;VAR:SDATE=20081299&amp;VAR:FREQ=DAILY&amp;VAR:RELITEM=&amp;VAR:CURRENCY=&amp;VAR:CURRSOURCE=EXSHARE&amp;","VAR:NATFREQ=QUARTERLY&amp;VAR:RFIELD=FINALIZED&amp;VAR:DB_TYPE=&amp;VAR:UNITS=M&amp;window=popup&amp;width=450&amp;height=300&amp;START_MAXIMIZED=FALSE"}</definedName>
    <definedName name="_114__FDSAUDITLINK__" hidden="1">{"fdsup://Directions/FactSet Auditing Viewer?action=AUDIT_VALUE&amp;DB=129&amp;ID1=15670010&amp;VALUEID=02999&amp;SDATE=201001&amp;PERIODTYPE=QTR_STD&amp;window=popup_no_bar&amp;width=385&amp;height=120&amp;START_MAXIMIZED=FALSE&amp;creator=factset&amp;display_string=Audit"}</definedName>
    <definedName name="_1140__FDSAUDITLINK__" hidden="1">{"fdsup://IBCentral/FAT Viewer?action=UPDATE&amp;creator=factset&amp;DOC_NAME=fat:reuters_qtrly_source_window.fat&amp;display_string=Audit&amp;DYN_ARGS=TRUE&amp;VAR:ID1=38431310&amp;VAR:RCODE=ATOT&amp;VAR:SDATE=20081299&amp;VAR:FREQ=DAILY&amp;VAR:RELITEM=&amp;VAR:CURRENCY=&amp;VAR:CURRSOURCE=EXSHARE&amp;","VAR:NATFREQ=QUARTERLY&amp;VAR:RFIELD=FINALIZED&amp;VAR:DB_TYPE=&amp;VAR:UNITS=M&amp;window=popup&amp;width=450&amp;height=300&amp;START_MAXIMIZED=FALSE"}</definedName>
    <definedName name="_1141__FDSAUDITLINK__" hidden="1">{"fdsup://IBCentral/FAT Viewer?action=UPDATE&amp;creator=factset&amp;DOC_NAME=fat:reuters_qtrly_source_window.fat&amp;display_string=Audit&amp;DYN_ARGS=TRUE&amp;VAR:ID1=36555810&amp;VAR:RCODE=LTLL&amp;VAR:SDATE=20081299&amp;VAR:FREQ=DAILY&amp;VAR:RELITEM=&amp;VAR:CURRENCY=&amp;VAR:CURRSOURCE=EXSHARE&amp;","VAR:NATFREQ=QUARTERLY&amp;VAR:RFIELD=FINALIZED&amp;VAR:DB_TYPE=&amp;VAR:UNITS=M&amp;window=popup&amp;width=450&amp;height=300&amp;START_MAXIMIZED=FALSE"}</definedName>
    <definedName name="_1142__FDSAUDITLINK__" hidden="1">{"fdsup://IBCentral/FAT Viewer?action=UPDATE&amp;creator=factset&amp;DOC_NAME=fat:reuters_qtrly_source_window.fat&amp;display_string=Audit&amp;DYN_ARGS=TRUE&amp;VAR:ID1=36555810&amp;VAR:RCODE=LTCL&amp;VAR:SDATE=20081299&amp;VAR:FREQ=DAILY&amp;VAR:RELITEM=&amp;VAR:CURRENCY=&amp;VAR:CURRSOURCE=EXSHARE&amp;","VAR:NATFREQ=QUARTERLY&amp;VAR:RFIELD=FINALIZED&amp;VAR:DB_TYPE=&amp;VAR:UNITS=M&amp;window=popup&amp;width=450&amp;height=300&amp;START_MAXIMIZED=FALSE"}</definedName>
    <definedName name="_1143__FDSAUDITLINK__" hidden="1">{"fdsup://IBCentral/FAT Viewer?action=UPDATE&amp;creator=factset&amp;DOC_NAME=fat:reuters_qtrly_source_window.fat&amp;display_string=Audit&amp;DYN_ARGS=TRUE&amp;VAR:ID1=36555810&amp;VAR:RCODE=ATCA&amp;VAR:SDATE=20081299&amp;VAR:FREQ=DAILY&amp;VAR:RELITEM=&amp;VAR:CURRENCY=&amp;VAR:CURRSOURCE=EXSHARE&amp;","VAR:NATFREQ=QUARTERLY&amp;VAR:RFIELD=FINALIZED&amp;VAR:DB_TYPE=&amp;VAR:UNITS=M&amp;window=popup&amp;width=450&amp;height=300&amp;START_MAXIMIZED=FALSE"}</definedName>
    <definedName name="_1144__FDSAUDITLINK__" hidden="1">{"fdsup://IBCentral/FAT Viewer?action=UPDATE&amp;creator=factset&amp;DOC_NAME=fat:reuters_qtrly_source_window.fat&amp;display_string=Audit&amp;DYN_ARGS=TRUE&amp;VAR:ID1=36555810&amp;VAR:RCODE=ATOT&amp;VAR:SDATE=20081299&amp;VAR:FREQ=DAILY&amp;VAR:RELITEM=&amp;VAR:CURRENCY=&amp;VAR:CURRSOURCE=EXSHARE&amp;","VAR:NATFREQ=QUARTERLY&amp;VAR:RFIELD=FINALIZED&amp;VAR:DB_TYPE=&amp;VAR:UNITS=M&amp;window=popup&amp;width=450&amp;height=300&amp;START_MAXIMIZED=FALSE"}</definedName>
    <definedName name="_1145__FDSAUDITLINK__" hidden="1">{"fdsup://IBCentral/FAT Viewer?action=UPDATE&amp;creator=factset&amp;DOC_NAME=fat:reuters_qtrly_source_window.fat&amp;display_string=Audit&amp;DYN_ARGS=TRUE&amp;VAR:ID1=35914P10&amp;VAR:RCODE=LTLL&amp;VAR:SDATE=20081299&amp;VAR:FREQ=DAILY&amp;VAR:RELITEM=&amp;VAR:CURRENCY=&amp;VAR:CURRSOURCE=EXSHARE&amp;","VAR:NATFREQ=QUARTERLY&amp;VAR:RFIELD=FINALIZED&amp;VAR:DB_TYPE=&amp;VAR:UNITS=M&amp;window=popup&amp;width=450&amp;height=300&amp;START_MAXIMIZED=FALSE"}</definedName>
    <definedName name="_1146__FDSAUDITLINK__" hidden="1">{"fdsup://IBCentral/FAT Viewer?action=UPDATE&amp;creator=factset&amp;DOC_NAME=fat:reuters_qtrly_source_window.fat&amp;display_string=Audit&amp;DYN_ARGS=TRUE&amp;VAR:ID1=35914P10&amp;VAR:RCODE=LTCL&amp;VAR:SDATE=20081299&amp;VAR:FREQ=DAILY&amp;VAR:RELITEM=&amp;VAR:CURRENCY=&amp;VAR:CURRSOURCE=EXSHARE&amp;","VAR:NATFREQ=QUARTERLY&amp;VAR:RFIELD=FINALIZED&amp;VAR:DB_TYPE=&amp;VAR:UNITS=M&amp;window=popup&amp;width=450&amp;height=300&amp;START_MAXIMIZED=FALSE"}</definedName>
    <definedName name="_1147__FDSAUDITLINK__" hidden="1">{"fdsup://IBCentral/FAT Viewer?action=UPDATE&amp;creator=factset&amp;DOC_NAME=fat:reuters_qtrly_source_window.fat&amp;display_string=Audit&amp;DYN_ARGS=TRUE&amp;VAR:ID1=35914P10&amp;VAR:RCODE=ATCA&amp;VAR:SDATE=20081299&amp;VAR:FREQ=DAILY&amp;VAR:RELITEM=&amp;VAR:CURRENCY=&amp;VAR:CURRSOURCE=EXSHARE&amp;","VAR:NATFREQ=QUARTERLY&amp;VAR:RFIELD=FINALIZED&amp;VAR:DB_TYPE=&amp;VAR:UNITS=M&amp;window=popup&amp;width=450&amp;height=300&amp;START_MAXIMIZED=FALSE"}</definedName>
    <definedName name="_1148__FDSAUDITLINK__" hidden="1">{"fdsup://IBCentral/FAT Viewer?action=UPDATE&amp;creator=factset&amp;DOC_NAME=fat:reuters_qtrly_source_window.fat&amp;display_string=Audit&amp;DYN_ARGS=TRUE&amp;VAR:ID1=35914P10&amp;VAR:RCODE=ATOT&amp;VAR:SDATE=20081299&amp;VAR:FREQ=DAILY&amp;VAR:RELITEM=&amp;VAR:CURRENCY=&amp;VAR:CURRSOURCE=EXSHARE&amp;","VAR:NATFREQ=QUARTERLY&amp;VAR:RFIELD=FINALIZED&amp;VAR:DB_TYPE=&amp;VAR:UNITS=M&amp;window=popup&amp;width=450&amp;height=300&amp;START_MAXIMIZED=FALSE"}</definedName>
    <definedName name="_1149__FDSAUDITLINK__" hidden="1">{"fdsup://IBCentral/FAT Viewer?action=UPDATE&amp;creator=factset&amp;DOC_NAME=fat:reuters_qtrly_source_window.fat&amp;display_string=Audit&amp;DYN_ARGS=TRUE&amp;VAR:ID1=30225X10&amp;VAR:RCODE=LTLL&amp;VAR:SDATE=20081299&amp;VAR:FREQ=DAILY&amp;VAR:RELITEM=&amp;VAR:CURRENCY=&amp;VAR:CURRSOURCE=EXSHARE&amp;","VAR:NATFREQ=QUARTERLY&amp;VAR:RFIELD=FINALIZED&amp;VAR:DB_TYPE=&amp;VAR:UNITS=M&amp;window=popup&amp;width=450&amp;height=300&amp;START_MAXIMIZED=FALSE"}</definedName>
    <definedName name="_115__FDSAUDITLINK__" hidden="1">{"fdsup://Directions/FactSet Auditing Viewer?action=AUDIT_VALUE&amp;DB=129&amp;ID1=15670S10&amp;VALUEID=02999&amp;SDATE=201001&amp;PERIODTYPE=QTR_STD&amp;window=popup_no_bar&amp;width=385&amp;height=120&amp;START_MAXIMIZED=FALSE&amp;creator=factset&amp;display_string=Audit"}</definedName>
    <definedName name="_1150__FDSAUDITLINK__" hidden="1">{"fdsup://IBCentral/FAT Viewer?action=UPDATE&amp;creator=factset&amp;DOC_NAME=fat:reuters_qtrly_source_window.fat&amp;display_string=Audit&amp;DYN_ARGS=TRUE&amp;VAR:ID1=30225X10&amp;VAR:RCODE=LTCL&amp;VAR:SDATE=20081299&amp;VAR:FREQ=DAILY&amp;VAR:RELITEM=&amp;VAR:CURRENCY=&amp;VAR:CURRSOURCE=EXSHARE&amp;","VAR:NATFREQ=QUARTERLY&amp;VAR:RFIELD=FINALIZED&amp;VAR:DB_TYPE=&amp;VAR:UNITS=M&amp;window=popup&amp;width=450&amp;height=300&amp;START_MAXIMIZED=FALSE"}</definedName>
    <definedName name="_1151__FDSAUDITLINK__" hidden="1">{"fdsup://IBCentral/FAT Viewer?action=UPDATE&amp;creator=factset&amp;DOC_NAME=fat:reuters_qtrly_source_window.fat&amp;display_string=Audit&amp;DYN_ARGS=TRUE&amp;VAR:ID1=30225X10&amp;VAR:RCODE=ATCA&amp;VAR:SDATE=20081299&amp;VAR:FREQ=DAILY&amp;VAR:RELITEM=&amp;VAR:CURRENCY=&amp;VAR:CURRSOURCE=EXSHARE&amp;","VAR:NATFREQ=QUARTERLY&amp;VAR:RFIELD=FINALIZED&amp;VAR:DB_TYPE=&amp;VAR:UNITS=M&amp;window=popup&amp;width=450&amp;height=300&amp;START_MAXIMIZED=FALSE"}</definedName>
    <definedName name="_1152__FDSAUDITLINK__" hidden="1">{"fdsup://IBCentral/FAT Viewer?action=UPDATE&amp;creator=factset&amp;DOC_NAME=fat:reuters_qtrly_source_window.fat&amp;display_string=Audit&amp;DYN_ARGS=TRUE&amp;VAR:ID1=30225X10&amp;VAR:RCODE=ATOT&amp;VAR:SDATE=20081299&amp;VAR:FREQ=DAILY&amp;VAR:RELITEM=&amp;VAR:CURRENCY=&amp;VAR:CURRSOURCE=EXSHARE&amp;","VAR:NATFREQ=QUARTERLY&amp;VAR:RFIELD=FINALIZED&amp;VAR:DB_TYPE=&amp;VAR:UNITS=M&amp;window=popup&amp;width=450&amp;height=300&amp;START_MAXIMIZED=FALSE"}</definedName>
    <definedName name="_1153__FDSAUDITLINK__" hidden="1">{"fdsup://IBCentral/FAT Viewer?action=UPDATE&amp;creator=factset&amp;DOC_NAME=fat:reuters_qtrly_source_window.fat&amp;display_string=Audit&amp;DYN_ARGS=TRUE&amp;VAR:ID1=28336L10&amp;VAR:RCODE=LTLL&amp;VAR:SDATE=20081299&amp;VAR:FREQ=DAILY&amp;VAR:RELITEM=&amp;VAR:CURRENCY=&amp;VAR:CURRSOURCE=EXSHARE&amp;","VAR:NATFREQ=QUARTERLY&amp;VAR:RFIELD=FINALIZED&amp;VAR:DB_TYPE=&amp;VAR:UNITS=M&amp;window=popup&amp;width=450&amp;height=300&amp;START_MAXIMIZED=FALSE"}</definedName>
    <definedName name="_1154__FDSAUDITLINK__" hidden="1">{"fdsup://IBCentral/FAT Viewer?action=UPDATE&amp;creator=factset&amp;DOC_NAME=fat:reuters_qtrly_source_window.fat&amp;display_string=Audit&amp;DYN_ARGS=TRUE&amp;VAR:ID1=28336L10&amp;VAR:RCODE=LTCL&amp;VAR:SDATE=20081299&amp;VAR:FREQ=DAILY&amp;VAR:RELITEM=&amp;VAR:CURRENCY=&amp;VAR:CURRSOURCE=EXSHARE&amp;","VAR:NATFREQ=QUARTERLY&amp;VAR:RFIELD=FINALIZED&amp;VAR:DB_TYPE=&amp;VAR:UNITS=M&amp;window=popup&amp;width=450&amp;height=300&amp;START_MAXIMIZED=FALSE"}</definedName>
    <definedName name="_1155__FDSAUDITLINK__" hidden="1">{"fdsup://IBCentral/FAT Viewer?action=UPDATE&amp;creator=factset&amp;DOC_NAME=fat:reuters_qtrly_source_window.fat&amp;display_string=Audit&amp;DYN_ARGS=TRUE&amp;VAR:ID1=28336L10&amp;VAR:RCODE=ATCA&amp;VAR:SDATE=20081299&amp;VAR:FREQ=DAILY&amp;VAR:RELITEM=&amp;VAR:CURRENCY=&amp;VAR:CURRSOURCE=EXSHARE&amp;","VAR:NATFREQ=QUARTERLY&amp;VAR:RFIELD=FINALIZED&amp;VAR:DB_TYPE=&amp;VAR:UNITS=M&amp;window=popup&amp;width=450&amp;height=300&amp;START_MAXIMIZED=FALSE"}</definedName>
    <definedName name="_1156__FDSAUDITLINK__" hidden="1">{"fdsup://IBCentral/FAT Viewer?action=UPDATE&amp;creator=factset&amp;DOC_NAME=fat:reuters_qtrly_source_window.fat&amp;display_string=Audit&amp;DYN_ARGS=TRUE&amp;VAR:ID1=28336L10&amp;VAR:RCODE=ATOT&amp;VAR:SDATE=20081299&amp;VAR:FREQ=DAILY&amp;VAR:RELITEM=&amp;VAR:CURRENCY=&amp;VAR:CURRSOURCE=EXSHARE&amp;","VAR:NATFREQ=QUARTERLY&amp;VAR:RFIELD=FINALIZED&amp;VAR:DB_TYPE=&amp;VAR:UNITS=M&amp;window=popup&amp;width=450&amp;height=300&amp;START_MAXIMIZED=FALSE"}</definedName>
    <definedName name="_1157__FDSAUDITLINK__" hidden="1">{"fdsup://IBCentral/FAT Viewer?action=UPDATE&amp;creator=factset&amp;DOC_NAME=fat:reuters_qtrly_source_window.fat&amp;display_string=Audit&amp;DYN_ARGS=TRUE&amp;VAR:ID1=26747510&amp;VAR:RCODE=LTLL&amp;VAR:SDATE=20081099&amp;VAR:FREQ=DAILY&amp;VAR:RELITEM=&amp;VAR:CURRENCY=&amp;VAR:CURRSOURCE=EXSHARE&amp;","VAR:NATFREQ=QUARTERLY&amp;VAR:RFIELD=FINALIZED&amp;VAR:DB_TYPE=&amp;VAR:UNITS=M&amp;window=popup&amp;width=450&amp;height=300&amp;START_MAXIMIZED=FALSE"}</definedName>
    <definedName name="_1158__FDSAUDITLINK__" hidden="1">{"fdsup://IBCentral/FAT Viewer?action=UPDATE&amp;creator=factset&amp;DOC_NAME=fat:reuters_qtrly_source_window.fat&amp;display_string=Audit&amp;DYN_ARGS=TRUE&amp;VAR:ID1=26747510&amp;VAR:RCODE=LTCL&amp;VAR:SDATE=20081099&amp;VAR:FREQ=DAILY&amp;VAR:RELITEM=&amp;VAR:CURRENCY=&amp;VAR:CURRSOURCE=EXSHARE&amp;","VAR:NATFREQ=QUARTERLY&amp;VAR:RFIELD=FINALIZED&amp;VAR:DB_TYPE=&amp;VAR:UNITS=M&amp;window=popup&amp;width=450&amp;height=300&amp;START_MAXIMIZED=FALSE"}</definedName>
    <definedName name="_1159__FDSAUDITLINK__" hidden="1">{"fdsup://IBCentral/FAT Viewer?action=UPDATE&amp;creator=factset&amp;DOC_NAME=fat:reuters_qtrly_source_window.fat&amp;display_string=Audit&amp;DYN_ARGS=TRUE&amp;VAR:ID1=26747510&amp;VAR:RCODE=ATCA&amp;VAR:SDATE=20081099&amp;VAR:FREQ=DAILY&amp;VAR:RELITEM=&amp;VAR:CURRENCY=&amp;VAR:CURRSOURCE=EXSHARE&amp;","VAR:NATFREQ=QUARTERLY&amp;VAR:RFIELD=FINALIZED&amp;VAR:DB_TYPE=&amp;VAR:UNITS=M&amp;window=popup&amp;width=450&amp;height=300&amp;START_MAXIMIZED=FALSE"}</definedName>
    <definedName name="_116__FDSAUDITLINK__" hidden="1">{"fdsup://Directions/FactSet Auditing Viewer?action=AUDIT_VALUE&amp;DB=129&amp;ID1=16113310&amp;VALUEID=02999&amp;SDATE=201001&amp;PERIODTYPE=QTR_STD&amp;window=popup_no_bar&amp;width=385&amp;height=120&amp;START_MAXIMIZED=FALSE&amp;creator=factset&amp;display_string=Audit"}</definedName>
    <definedName name="_1160__FDSAUDITLINK__" hidden="1">{"fdsup://IBCentral/FAT Viewer?action=UPDATE&amp;creator=factset&amp;DOC_NAME=fat:reuters_qtrly_source_window.fat&amp;display_string=Audit&amp;DYN_ARGS=TRUE&amp;VAR:ID1=26747510&amp;VAR:RCODE=ATOT&amp;VAR:SDATE=20081099&amp;VAR:FREQ=DAILY&amp;VAR:RELITEM=&amp;VAR:CURRENCY=&amp;VAR:CURRSOURCE=EXSHARE&amp;","VAR:NATFREQ=QUARTERLY&amp;VAR:RFIELD=FINALIZED&amp;VAR:DB_TYPE=&amp;VAR:UNITS=M&amp;window=popup&amp;width=450&amp;height=300&amp;START_MAXIMIZED=FALSE"}</definedName>
    <definedName name="_1161__FDSAUDITLINK__" hidden="1">{"fdsup://IBCentral/FAT Viewer?action=UPDATE&amp;creator=factset&amp;DOC_NAME=fat:reuters_qtrly_source_window.fat&amp;display_string=Audit&amp;DYN_ARGS=TRUE&amp;VAR:ID1=25755910&amp;VAR:RCODE=LTLL&amp;VAR:SDATE=20081299&amp;VAR:FREQ=DAILY&amp;VAR:RELITEM=&amp;VAR:CURRENCY=&amp;VAR:CURRSOURCE=EXSHARE&amp;","VAR:NATFREQ=QUARTERLY&amp;VAR:RFIELD=FINALIZED&amp;VAR:DB_TYPE=&amp;VAR:UNITS=M&amp;window=popup&amp;width=450&amp;height=300&amp;START_MAXIMIZED=FALSE"}</definedName>
    <definedName name="_1162__FDSAUDITLINK__" hidden="1">{"fdsup://IBCentral/FAT Viewer?action=UPDATE&amp;creator=factset&amp;DOC_NAME=fat:reuters_qtrly_source_window.fat&amp;display_string=Audit&amp;DYN_ARGS=TRUE&amp;VAR:ID1=25755910&amp;VAR:RCODE=LTCL&amp;VAR:SDATE=20081299&amp;VAR:FREQ=DAILY&amp;VAR:RELITEM=&amp;VAR:CURRENCY=&amp;VAR:CURRSOURCE=EXSHARE&amp;","VAR:NATFREQ=QUARTERLY&amp;VAR:RFIELD=FINALIZED&amp;VAR:DB_TYPE=&amp;VAR:UNITS=M&amp;window=popup&amp;width=450&amp;height=300&amp;START_MAXIMIZED=FALSE"}</definedName>
    <definedName name="_1163__FDSAUDITLINK__" hidden="1">{"fdsup://IBCentral/FAT Viewer?action=UPDATE&amp;creator=factset&amp;DOC_NAME=fat:reuters_qtrly_source_window.fat&amp;display_string=Audit&amp;DYN_ARGS=TRUE&amp;VAR:ID1=25755910&amp;VAR:RCODE=ATCA&amp;VAR:SDATE=20081299&amp;VAR:FREQ=DAILY&amp;VAR:RELITEM=&amp;VAR:CURRENCY=&amp;VAR:CURRSOURCE=EXSHARE&amp;","VAR:NATFREQ=QUARTERLY&amp;VAR:RFIELD=FINALIZED&amp;VAR:DB_TYPE=&amp;VAR:UNITS=M&amp;window=popup&amp;width=450&amp;height=300&amp;START_MAXIMIZED=FALSE"}</definedName>
    <definedName name="_1164__FDSAUDITLINK__" hidden="1">{"fdsup://IBCentral/FAT Viewer?action=UPDATE&amp;creator=factset&amp;DOC_NAME=fat:reuters_qtrly_source_window.fat&amp;display_string=Audit&amp;DYN_ARGS=TRUE&amp;VAR:ID1=25755910&amp;VAR:RCODE=ATOT&amp;VAR:SDATE=20081299&amp;VAR:FREQ=DAILY&amp;VAR:RELITEM=&amp;VAR:CURRENCY=&amp;VAR:CURRSOURCE=EXSHARE&amp;","VAR:NATFREQ=QUARTERLY&amp;VAR:RFIELD=FINALIZED&amp;VAR:DB_TYPE=&amp;VAR:UNITS=M&amp;window=popup&amp;width=450&amp;height=300&amp;START_MAXIMIZED=FALSE"}</definedName>
    <definedName name="_1165__FDSAUDITLINK__" hidden="1">{"fdsup://IBCentral/FAT Viewer?action=UPDATE&amp;creator=factset&amp;DOC_NAME=fat:reuters_qtrly_source_window.fat&amp;display_string=Audit&amp;DYN_ARGS=TRUE&amp;VAR:ID1=21664840&amp;VAR:RCODE=LTLL&amp;VAR:SDATE=20081099&amp;VAR:FREQ=DAILY&amp;VAR:RELITEM=&amp;VAR:CURRENCY=&amp;VAR:CURRSOURCE=EXSHARE&amp;","VAR:NATFREQ=QUARTERLY&amp;VAR:RFIELD=FINALIZED&amp;VAR:DB_TYPE=&amp;VAR:UNITS=M&amp;window=popup&amp;width=450&amp;height=300&amp;START_MAXIMIZED=FALSE"}</definedName>
    <definedName name="_1166__FDSAUDITLINK__" hidden="1">{"fdsup://IBCentral/FAT Viewer?action=UPDATE&amp;creator=factset&amp;DOC_NAME=fat:reuters_qtrly_source_window.fat&amp;display_string=Audit&amp;DYN_ARGS=TRUE&amp;VAR:ID1=21664840&amp;VAR:RCODE=LTCL&amp;VAR:SDATE=20081099&amp;VAR:FREQ=DAILY&amp;VAR:RELITEM=&amp;VAR:CURRENCY=&amp;VAR:CURRSOURCE=EXSHARE&amp;","VAR:NATFREQ=QUARTERLY&amp;VAR:RFIELD=FINALIZED&amp;VAR:DB_TYPE=&amp;VAR:UNITS=M&amp;window=popup&amp;width=450&amp;height=300&amp;START_MAXIMIZED=FALSE"}</definedName>
    <definedName name="_1167__FDSAUDITLINK__" hidden="1">{"fdsup://IBCentral/FAT Viewer?action=UPDATE&amp;creator=factset&amp;DOC_NAME=fat:reuters_qtrly_source_window.fat&amp;display_string=Audit&amp;DYN_ARGS=TRUE&amp;VAR:ID1=21664840&amp;VAR:RCODE=ATCA&amp;VAR:SDATE=20081099&amp;VAR:FREQ=DAILY&amp;VAR:RELITEM=&amp;VAR:CURRENCY=&amp;VAR:CURRSOURCE=EXSHARE&amp;","VAR:NATFREQ=QUARTERLY&amp;VAR:RFIELD=FINALIZED&amp;VAR:DB_TYPE=&amp;VAR:UNITS=M&amp;window=popup&amp;width=450&amp;height=300&amp;START_MAXIMIZED=FALSE"}</definedName>
    <definedName name="_1168__FDSAUDITLINK__" hidden="1">{"fdsup://IBCentral/FAT Viewer?action=UPDATE&amp;creator=factset&amp;DOC_NAME=fat:reuters_qtrly_source_window.fat&amp;display_string=Audit&amp;DYN_ARGS=TRUE&amp;VAR:ID1=21664840&amp;VAR:RCODE=ATOT&amp;VAR:SDATE=20081099&amp;VAR:FREQ=DAILY&amp;VAR:RELITEM=&amp;VAR:CURRENCY=&amp;VAR:CURRSOURCE=EXSHARE&amp;","VAR:NATFREQ=QUARTERLY&amp;VAR:RFIELD=FINALIZED&amp;VAR:DB_TYPE=&amp;VAR:UNITS=M&amp;window=popup&amp;width=450&amp;height=300&amp;START_MAXIMIZED=FALSE"}</definedName>
    <definedName name="_1169__FDSAUDITLINK__" hidden="1">{"fdsup://IBCentral/FAT Viewer?action=UPDATE&amp;creator=factset&amp;DOC_NAME=fat:reuters_qtrly_source_window.fat&amp;display_string=Audit&amp;DYN_ARGS=TRUE&amp;VAR:ID1=21036P10&amp;VAR:RCODE=LTLL&amp;VAR:SDATE=20081199&amp;VAR:FREQ=DAILY&amp;VAR:RELITEM=&amp;VAR:CURRENCY=&amp;VAR:CURRSOURCE=EXSHARE&amp;","VAR:NATFREQ=QUARTERLY&amp;VAR:RFIELD=FINALIZED&amp;VAR:DB_TYPE=&amp;VAR:UNITS=M&amp;window=popup&amp;width=450&amp;height=300&amp;START_MAXIMIZED=FALSE"}</definedName>
    <definedName name="_116IQ_CURRENCY_GAIN_INS" hidden="1">"c238"</definedName>
    <definedName name="_117__FDSAUDITLINK__" hidden="1">{"fdsup://Directions/FactSet Auditing Viewer?action=AUDIT_VALUE&amp;DB=129&amp;ID1=16115Q30&amp;VALUEID=02999&amp;SDATE=201001&amp;PERIODTYPE=QTR_STD&amp;window=popup_no_bar&amp;width=385&amp;height=120&amp;START_MAXIMIZED=FALSE&amp;creator=factset&amp;display_string=Audit"}</definedName>
    <definedName name="_1170__FDSAUDITLINK__" hidden="1">{"fdsup://IBCentral/FAT Viewer?action=UPDATE&amp;creator=factset&amp;DOC_NAME=fat:reuters_qtrly_source_window.fat&amp;display_string=Audit&amp;DYN_ARGS=TRUE&amp;VAR:ID1=21036P10&amp;VAR:RCODE=LTCL&amp;VAR:SDATE=20081199&amp;VAR:FREQ=DAILY&amp;VAR:RELITEM=&amp;VAR:CURRENCY=&amp;VAR:CURRSOURCE=EXSHARE&amp;","VAR:NATFREQ=QUARTERLY&amp;VAR:RFIELD=FINALIZED&amp;VAR:DB_TYPE=&amp;VAR:UNITS=M&amp;window=popup&amp;width=450&amp;height=300&amp;START_MAXIMIZED=FALSE"}</definedName>
    <definedName name="_1171__FDSAUDITLINK__" hidden="1">{"fdsup://IBCentral/FAT Viewer?action=UPDATE&amp;creator=factset&amp;DOC_NAME=fat:reuters_qtrly_source_window.fat&amp;display_string=Audit&amp;DYN_ARGS=TRUE&amp;VAR:ID1=21036P10&amp;VAR:RCODE=ATCA&amp;VAR:SDATE=20081199&amp;VAR:FREQ=DAILY&amp;VAR:RELITEM=&amp;VAR:CURRENCY=&amp;VAR:CURRSOURCE=EXSHARE&amp;","VAR:NATFREQ=QUARTERLY&amp;VAR:RFIELD=FINALIZED&amp;VAR:DB_TYPE=&amp;VAR:UNITS=M&amp;window=popup&amp;width=450&amp;height=300&amp;START_MAXIMIZED=FALSE"}</definedName>
    <definedName name="_1172__FDSAUDITLINK__" hidden="1">{"fdsup://IBCentral/FAT Viewer?action=UPDATE&amp;creator=factset&amp;DOC_NAME=fat:reuters_qtrly_source_window.fat&amp;display_string=Audit&amp;DYN_ARGS=TRUE&amp;VAR:ID1=21036P10&amp;VAR:RCODE=ATOT&amp;VAR:SDATE=20081199&amp;VAR:FREQ=DAILY&amp;VAR:RELITEM=&amp;VAR:CURRENCY=&amp;VAR:CURRSOURCE=EXSHARE&amp;","VAR:NATFREQ=QUARTERLY&amp;VAR:RFIELD=FINALIZED&amp;VAR:DB_TYPE=&amp;VAR:UNITS=M&amp;window=popup&amp;width=450&amp;height=300&amp;START_MAXIMIZED=FALSE"}</definedName>
    <definedName name="_1173__FDSAUDITLINK__" hidden="1">{"fdsup://IBCentral/FAT Viewer?action=UPDATE&amp;creator=factset&amp;DOC_NAME=fat:reuters_qtrly_source_window.fat&amp;display_string=Audit&amp;DYN_ARGS=TRUE&amp;VAR:ID1=20854P10&amp;VAR:RCODE=LTLL&amp;VAR:SDATE=20081299&amp;VAR:FREQ=DAILY&amp;VAR:RELITEM=&amp;VAR:CURRENCY=&amp;VAR:CURRSOURCE=EXSHARE&amp;","VAR:NATFREQ=QUARTERLY&amp;VAR:RFIELD=FINALIZED&amp;VAR:DB_TYPE=&amp;VAR:UNITS=M&amp;window=popup&amp;width=450&amp;height=300&amp;START_MAXIMIZED=FALSE"}</definedName>
    <definedName name="_1174__FDSAUDITLINK__" hidden="1">{"fdsup://IBCentral/FAT Viewer?action=UPDATE&amp;creator=factset&amp;DOC_NAME=fat:reuters_qtrly_source_window.fat&amp;display_string=Audit&amp;DYN_ARGS=TRUE&amp;VAR:ID1=20854P10&amp;VAR:RCODE=LTCL&amp;VAR:SDATE=20081299&amp;VAR:FREQ=DAILY&amp;VAR:RELITEM=&amp;VAR:CURRENCY=&amp;VAR:CURRSOURCE=EXSHARE&amp;","VAR:NATFREQ=QUARTERLY&amp;VAR:RFIELD=FINALIZED&amp;VAR:DB_TYPE=&amp;VAR:UNITS=M&amp;window=popup&amp;width=450&amp;height=300&amp;START_MAXIMIZED=FALSE"}</definedName>
    <definedName name="_1175__FDSAUDITLINK__" hidden="1">{"fdsup://IBCentral/FAT Viewer?action=UPDATE&amp;creator=factset&amp;DOC_NAME=fat:reuters_qtrly_source_window.fat&amp;display_string=Audit&amp;DYN_ARGS=TRUE&amp;VAR:ID1=20854P10&amp;VAR:RCODE=ATCA&amp;VAR:SDATE=20081299&amp;VAR:FREQ=DAILY&amp;VAR:RELITEM=&amp;VAR:CURRENCY=&amp;VAR:CURRSOURCE=EXSHARE&amp;","VAR:NATFREQ=QUARTERLY&amp;VAR:RFIELD=FINALIZED&amp;VAR:DB_TYPE=&amp;VAR:UNITS=M&amp;window=popup&amp;width=450&amp;height=300&amp;START_MAXIMIZED=FALSE"}</definedName>
    <definedName name="_1176__FDSAUDITLINK__" hidden="1">{"fdsup://IBCentral/FAT Viewer?action=UPDATE&amp;creator=factset&amp;DOC_NAME=fat:reuters_qtrly_source_window.fat&amp;display_string=Audit&amp;DYN_ARGS=TRUE&amp;VAR:ID1=20854P10&amp;VAR:RCODE=ATOT&amp;VAR:SDATE=20081299&amp;VAR:FREQ=DAILY&amp;VAR:RELITEM=&amp;VAR:CURRENCY=&amp;VAR:CURRSOURCE=EXSHARE&amp;","VAR:NATFREQ=QUARTERLY&amp;VAR:RFIELD=FINALIZED&amp;VAR:DB_TYPE=&amp;VAR:UNITS=M&amp;window=popup&amp;width=450&amp;height=300&amp;START_MAXIMIZED=FALSE"}</definedName>
    <definedName name="_1177__FDSAUDITLINK__" hidden="1">{"fdsup://IBCentral/FAT Viewer?action=UPDATE&amp;creator=factset&amp;DOC_NAME=fat:reuters_qtrly_source_window.fat&amp;display_string=Audit&amp;DYN_ARGS=TRUE&amp;VAR:ID1=17187110&amp;VAR:RCODE=LTLL&amp;VAR:SDATE=20081299&amp;VAR:FREQ=DAILY&amp;VAR:RELITEM=&amp;VAR:CURRENCY=&amp;VAR:CURRSOURCE=EXSHARE&amp;","VAR:NATFREQ=QUARTERLY&amp;VAR:RFIELD=FINALIZED&amp;VAR:DB_TYPE=&amp;VAR:UNITS=M&amp;window=popup&amp;width=450&amp;height=300&amp;START_MAXIMIZED=FALSE"}</definedName>
    <definedName name="_1178__FDSAUDITLINK__" hidden="1">{"fdsup://IBCentral/FAT Viewer?action=UPDATE&amp;creator=factset&amp;DOC_NAME=fat:reuters_qtrly_source_window.fat&amp;display_string=Audit&amp;DYN_ARGS=TRUE&amp;VAR:ID1=17187110&amp;VAR:RCODE=LTCL&amp;VAR:SDATE=20081299&amp;VAR:FREQ=DAILY&amp;VAR:RELITEM=&amp;VAR:CURRENCY=&amp;VAR:CURRSOURCE=EXSHARE&amp;","VAR:NATFREQ=QUARTERLY&amp;VAR:RFIELD=FINALIZED&amp;VAR:DB_TYPE=&amp;VAR:UNITS=M&amp;window=popup&amp;width=450&amp;height=300&amp;START_MAXIMIZED=FALSE"}</definedName>
    <definedName name="_1179__FDSAUDITLINK__" hidden="1">{"fdsup://IBCentral/FAT Viewer?action=UPDATE&amp;creator=factset&amp;DOC_NAME=fat:reuters_qtrly_source_window.fat&amp;display_string=Audit&amp;DYN_ARGS=TRUE&amp;VAR:ID1=17187110&amp;VAR:RCODE=ATCA&amp;VAR:SDATE=20081299&amp;VAR:FREQ=DAILY&amp;VAR:RELITEM=&amp;VAR:CURRENCY=&amp;VAR:CURRSOURCE=EXSHARE&amp;","VAR:NATFREQ=QUARTERLY&amp;VAR:RFIELD=FINALIZED&amp;VAR:DB_TYPE=&amp;VAR:UNITS=M&amp;window=popup&amp;width=450&amp;height=300&amp;START_MAXIMIZED=FALSE"}</definedName>
    <definedName name="_118__FDSAUDITLINK__" hidden="1">{"fdsup://Directions/FactSet Auditing Viewer?action=AUDIT_VALUE&amp;DB=129&amp;ID1=16516710&amp;VALUEID=02999&amp;SDATE=201001&amp;PERIODTYPE=QTR_STD&amp;window=popup_no_bar&amp;width=385&amp;height=120&amp;START_MAXIMIZED=FALSE&amp;creator=factset&amp;display_string=Audit"}</definedName>
    <definedName name="_1180__FDSAUDITLINK__" hidden="1">{"fdsup://IBCentral/FAT Viewer?action=UPDATE&amp;creator=factset&amp;DOC_NAME=fat:reuters_qtrly_source_window.fat&amp;display_string=Audit&amp;DYN_ARGS=TRUE&amp;VAR:ID1=17187110&amp;VAR:RCODE=ATOT&amp;VAR:SDATE=20081299&amp;VAR:FREQ=DAILY&amp;VAR:RELITEM=&amp;VAR:CURRENCY=&amp;VAR:CURRSOURCE=EXSHARE&amp;","VAR:NATFREQ=QUARTERLY&amp;VAR:RFIELD=FINALIZED&amp;VAR:DB_TYPE=&amp;VAR:UNITS=M&amp;window=popup&amp;width=450&amp;height=300&amp;START_MAXIMIZED=FALSE"}</definedName>
    <definedName name="_1181__FDSAUDITLINK__" hidden="1">{"fdsup://IBCentral/FAT Viewer?action=UPDATE&amp;creator=factset&amp;DOC_NAME=fat:reuters_qtrly_source_window.fat&amp;display_string=Audit&amp;DYN_ARGS=TRUE&amp;VAR:ID1=17179810&amp;VAR:RCODE=LTLL&amp;VAR:SDATE=20081299&amp;VAR:FREQ=DAILY&amp;VAR:RELITEM=&amp;VAR:CURRENCY=&amp;VAR:CURRSOURCE=EXSHARE&amp;","VAR:NATFREQ=QUARTERLY&amp;VAR:RFIELD=FINALIZED&amp;VAR:DB_TYPE=&amp;VAR:UNITS=M&amp;window=popup&amp;width=450&amp;height=300&amp;START_MAXIMIZED=FALSE"}</definedName>
    <definedName name="_1182__FDSAUDITLINK__" hidden="1">{"fdsup://IBCentral/FAT Viewer?action=UPDATE&amp;creator=factset&amp;DOC_NAME=fat:reuters_qtrly_source_window.fat&amp;display_string=Audit&amp;DYN_ARGS=TRUE&amp;VAR:ID1=17179810&amp;VAR:RCODE=LTCL&amp;VAR:SDATE=20081299&amp;VAR:FREQ=DAILY&amp;VAR:RELITEM=&amp;VAR:CURRENCY=&amp;VAR:CURRSOURCE=EXSHARE&amp;","VAR:NATFREQ=QUARTERLY&amp;VAR:RFIELD=FINALIZED&amp;VAR:DB_TYPE=&amp;VAR:UNITS=M&amp;window=popup&amp;width=450&amp;height=300&amp;START_MAXIMIZED=FALSE"}</definedName>
    <definedName name="_1183__FDSAUDITLINK__" hidden="1">{"fdsup://IBCentral/FAT Viewer?action=UPDATE&amp;creator=factset&amp;DOC_NAME=fat:reuters_qtrly_source_window.fat&amp;display_string=Audit&amp;DYN_ARGS=TRUE&amp;VAR:ID1=17179810&amp;VAR:RCODE=ATCA&amp;VAR:SDATE=20081299&amp;VAR:FREQ=DAILY&amp;VAR:RELITEM=&amp;VAR:CURRENCY=&amp;VAR:CURRSOURCE=EXSHARE&amp;","VAR:NATFREQ=QUARTERLY&amp;VAR:RFIELD=FINALIZED&amp;VAR:DB_TYPE=&amp;VAR:UNITS=M&amp;window=popup&amp;width=450&amp;height=300&amp;START_MAXIMIZED=FALSE"}</definedName>
    <definedName name="_1184__FDSAUDITLINK__" hidden="1">{"fdsup://IBCentral/FAT Viewer?action=UPDATE&amp;creator=factset&amp;DOC_NAME=fat:reuters_qtrly_source_window.fat&amp;display_string=Audit&amp;DYN_ARGS=TRUE&amp;VAR:ID1=17179810&amp;VAR:RCODE=ATOT&amp;VAR:SDATE=20081299&amp;VAR:FREQ=DAILY&amp;VAR:RELITEM=&amp;VAR:CURRENCY=&amp;VAR:CURRSOURCE=EXSHARE&amp;","VAR:NATFREQ=QUARTERLY&amp;VAR:RFIELD=FINALIZED&amp;VAR:DB_TYPE=&amp;VAR:UNITS=M&amp;window=popup&amp;width=450&amp;height=300&amp;START_MAXIMIZED=FALSE"}</definedName>
    <definedName name="_1185__FDSAUDITLINK__" hidden="1">{"fdsup://IBCentral/FAT Viewer?action=UPDATE&amp;creator=factset&amp;DOC_NAME=fat:reuters_qtrly_source_window.fat&amp;display_string=Audit&amp;DYN_ARGS=TRUE&amp;VAR:ID1=16516710&amp;VAR:RCODE=LTLL&amp;VAR:SDATE=20081299&amp;VAR:FREQ=DAILY&amp;VAR:RELITEM=&amp;VAR:CURRENCY=&amp;VAR:CURRSOURCE=EXSHARE&amp;","VAR:NATFREQ=QUARTERLY&amp;VAR:RFIELD=FINALIZED&amp;VAR:DB_TYPE=&amp;VAR:UNITS=M&amp;window=popup&amp;width=450&amp;height=300&amp;START_MAXIMIZED=FALSE"}</definedName>
    <definedName name="_1186__FDSAUDITLINK__" hidden="1">{"fdsup://IBCentral/FAT Viewer?action=UPDATE&amp;creator=factset&amp;DOC_NAME=fat:reuters_qtrly_source_window.fat&amp;display_string=Audit&amp;DYN_ARGS=TRUE&amp;VAR:ID1=16516710&amp;VAR:RCODE=LTCL&amp;VAR:SDATE=20081299&amp;VAR:FREQ=DAILY&amp;VAR:RELITEM=&amp;VAR:CURRENCY=&amp;VAR:CURRSOURCE=EXSHARE&amp;","VAR:NATFREQ=QUARTERLY&amp;VAR:RFIELD=FINALIZED&amp;VAR:DB_TYPE=&amp;VAR:UNITS=M&amp;window=popup&amp;width=450&amp;height=300&amp;START_MAXIMIZED=FALSE"}</definedName>
    <definedName name="_1187__FDSAUDITLINK__" hidden="1">{"fdsup://IBCentral/FAT Viewer?action=UPDATE&amp;creator=factset&amp;DOC_NAME=fat:reuters_qtrly_source_window.fat&amp;display_string=Audit&amp;DYN_ARGS=TRUE&amp;VAR:ID1=16516710&amp;VAR:RCODE=ATCA&amp;VAR:SDATE=20081299&amp;VAR:FREQ=DAILY&amp;VAR:RELITEM=&amp;VAR:CURRENCY=&amp;VAR:CURRSOURCE=EXSHARE&amp;","VAR:NATFREQ=QUARTERLY&amp;VAR:RFIELD=FINALIZED&amp;VAR:DB_TYPE=&amp;VAR:UNITS=M&amp;window=popup&amp;width=450&amp;height=300&amp;START_MAXIMIZED=FALSE"}</definedName>
    <definedName name="_1188__FDSAUDITLINK__" hidden="1">{"fdsup://IBCentral/FAT Viewer?action=UPDATE&amp;creator=factset&amp;DOC_NAME=fat:reuters_qtrly_source_window.fat&amp;display_string=Audit&amp;DYN_ARGS=TRUE&amp;VAR:ID1=16516710&amp;VAR:RCODE=ATOT&amp;VAR:SDATE=20081299&amp;VAR:FREQ=DAILY&amp;VAR:RELITEM=&amp;VAR:CURRENCY=&amp;VAR:CURRSOURCE=EXSHARE&amp;","VAR:NATFREQ=QUARTERLY&amp;VAR:RFIELD=FINALIZED&amp;VAR:DB_TYPE=&amp;VAR:UNITS=M&amp;window=popup&amp;width=450&amp;height=300&amp;START_MAXIMIZED=FALSE"}</definedName>
    <definedName name="_1189__FDSAUDITLINK__" hidden="1">{"fdsup://IBCentral/FAT Viewer?action=UPDATE&amp;creator=factset&amp;DOC_NAME=fat:reuters_qtrly_source_window.fat&amp;display_string=Audit&amp;DYN_ARGS=TRUE&amp;VAR:ID1=G2004520&amp;VAR:RCODE=LTLL&amp;VAR:SDATE=20081299&amp;VAR:FREQ=DAILY&amp;VAR:RELITEM=&amp;VAR:CURRENCY=&amp;VAR:CURRSOURCE=EXSHARE&amp;","VAR:NATFREQ=QUARTERLY&amp;VAR:RFIELD=FINALIZED&amp;VAR:DB_TYPE=&amp;VAR:UNITS=M&amp;window=popup&amp;width=450&amp;height=300&amp;START_MAXIMIZED=FALSE"}</definedName>
    <definedName name="_119__FDSAUDITLINK__" hidden="1">{"fdsup://Directions/FactSet Auditing Viewer?action=AUDIT_VALUE&amp;DB=129&amp;ID1=16676410&amp;VALUEID=02999&amp;SDATE=201001&amp;PERIODTYPE=QTR_STD&amp;window=popup_no_bar&amp;width=385&amp;height=120&amp;START_MAXIMIZED=FALSE&amp;creator=factset&amp;display_string=Audit"}</definedName>
    <definedName name="_1190__FDSAUDITLINK__" hidden="1">{"fdsup://IBCentral/FAT Viewer?action=UPDATE&amp;creator=factset&amp;DOC_NAME=fat:reuters_qtrly_source_window.fat&amp;display_string=Audit&amp;DYN_ARGS=TRUE&amp;VAR:ID1=G2004520&amp;VAR:RCODE=LTCL&amp;VAR:SDATE=20081299&amp;VAR:FREQ=DAILY&amp;VAR:RELITEM=&amp;VAR:CURRENCY=&amp;VAR:CURRSOURCE=EXSHARE&amp;","VAR:NATFREQ=QUARTERLY&amp;VAR:RFIELD=FINALIZED&amp;VAR:DB_TYPE=&amp;VAR:UNITS=M&amp;window=popup&amp;width=450&amp;height=300&amp;START_MAXIMIZED=FALSE"}</definedName>
    <definedName name="_1191__FDSAUDITLINK__" hidden="1">{"fdsup://IBCentral/FAT Viewer?action=UPDATE&amp;creator=factset&amp;DOC_NAME=fat:reuters_qtrly_source_window.fat&amp;display_string=Audit&amp;DYN_ARGS=TRUE&amp;VAR:ID1=G2004520&amp;VAR:RCODE=ATCA&amp;VAR:SDATE=20081299&amp;VAR:FREQ=DAILY&amp;VAR:RELITEM=&amp;VAR:CURRENCY=&amp;VAR:CURRSOURCE=EXSHARE&amp;","VAR:NATFREQ=QUARTERLY&amp;VAR:RFIELD=FINALIZED&amp;VAR:DB_TYPE=&amp;VAR:UNITS=M&amp;window=popup&amp;width=450&amp;height=300&amp;START_MAXIMIZED=FALSE"}</definedName>
    <definedName name="_1192__FDSAUDITLINK__" hidden="1">{"fdsup://IBCentral/FAT Viewer?action=UPDATE&amp;creator=factset&amp;DOC_NAME=fat:reuters_qtrly_source_window.fat&amp;display_string=Audit&amp;DYN_ARGS=TRUE&amp;VAR:ID1=G2004520&amp;VAR:RCODE=ATOT&amp;VAR:SDATE=20081299&amp;VAR:FREQ=DAILY&amp;VAR:RELITEM=&amp;VAR:CURRENCY=&amp;VAR:CURRSOURCE=EXSHARE&amp;","VAR:NATFREQ=QUARTERLY&amp;VAR:RFIELD=FINALIZED&amp;VAR:DB_TYPE=&amp;VAR:UNITS=M&amp;window=popup&amp;width=450&amp;height=300&amp;START_MAXIMIZED=FALSE"}</definedName>
    <definedName name="_1193__FDSAUDITLINK__" hidden="1">{"fdsup://IBCentral/FAT Viewer?action=UPDATE&amp;creator=factset&amp;DOC_NAME=fat:reuters_qtrly_source_window.fat&amp;display_string=Audit&amp;DYN_ARGS=TRUE&amp;VAR:ID1=15135B10&amp;VAR:RCODE=LTLL&amp;VAR:SDATE=20081299&amp;VAR:FREQ=DAILY&amp;VAR:RELITEM=&amp;VAR:CURRENCY=&amp;VAR:CURRSOURCE=EXSHARE&amp;","VAR:NATFREQ=QUARTERLY&amp;VAR:RFIELD=FINALIZED&amp;VAR:DB_TYPE=&amp;VAR:UNITS=M&amp;window=popup&amp;width=450&amp;height=300&amp;START_MAXIMIZED=FALSE"}</definedName>
    <definedName name="_1194__FDSAUDITLINK__" hidden="1">{"fdsup://IBCentral/FAT Viewer?action=UPDATE&amp;creator=factset&amp;DOC_NAME=fat:reuters_qtrly_source_window.fat&amp;display_string=Audit&amp;DYN_ARGS=TRUE&amp;VAR:ID1=15135B10&amp;VAR:RCODE=LTCL&amp;VAR:SDATE=20081299&amp;VAR:FREQ=DAILY&amp;VAR:RELITEM=&amp;VAR:CURRENCY=&amp;VAR:CURRSOURCE=EXSHARE&amp;","VAR:NATFREQ=QUARTERLY&amp;VAR:RFIELD=FINALIZED&amp;VAR:DB_TYPE=&amp;VAR:UNITS=M&amp;window=popup&amp;width=450&amp;height=300&amp;START_MAXIMIZED=FALSE"}</definedName>
    <definedName name="_1195__FDSAUDITLINK__" hidden="1">{"fdsup://IBCentral/FAT Viewer?action=UPDATE&amp;creator=factset&amp;DOC_NAME=fat:reuters_qtrly_source_window.fat&amp;display_string=Audit&amp;DYN_ARGS=TRUE&amp;VAR:ID1=15135B10&amp;VAR:RCODE=ATCA&amp;VAR:SDATE=20081299&amp;VAR:FREQ=DAILY&amp;VAR:RELITEM=&amp;VAR:CURRENCY=&amp;VAR:CURRSOURCE=EXSHARE&amp;","VAR:NATFREQ=QUARTERLY&amp;VAR:RFIELD=FINALIZED&amp;VAR:DB_TYPE=&amp;VAR:UNITS=M&amp;window=popup&amp;width=450&amp;height=300&amp;START_MAXIMIZED=FALSE"}</definedName>
    <definedName name="_1196__FDSAUDITLINK__" hidden="1">{"fdsup://IBCentral/FAT Viewer?action=UPDATE&amp;creator=factset&amp;DOC_NAME=fat:reuters_qtrly_source_window.fat&amp;display_string=Audit&amp;DYN_ARGS=TRUE&amp;VAR:ID1=15135B10&amp;VAR:RCODE=ATOT&amp;VAR:SDATE=20081299&amp;VAR:FREQ=DAILY&amp;VAR:RELITEM=&amp;VAR:CURRENCY=&amp;VAR:CURRSOURCE=EXSHARE&amp;","VAR:NATFREQ=QUARTERLY&amp;VAR:RFIELD=FINALIZED&amp;VAR:DB_TYPE=&amp;VAR:UNITS=M&amp;window=popup&amp;width=450&amp;height=300&amp;START_MAXIMIZED=FALSE"}</definedName>
    <definedName name="_1197__FDSAUDITLINK__" hidden="1">{"fdsup://IBCentral/FAT Viewer?action=UPDATE&amp;creator=factset&amp;DOC_NAME=fat:reuters_qtrly_source_window.fat&amp;display_string=Audit&amp;DYN_ARGS=TRUE&amp;VAR:ID1=12719030&amp;VAR:RCODE=LTLL&amp;VAR:SDATE=20081299&amp;VAR:FREQ=DAILY&amp;VAR:RELITEM=&amp;VAR:CURRENCY=&amp;VAR:CURRSOURCE=EXSHARE&amp;","VAR:NATFREQ=QUARTERLY&amp;VAR:RFIELD=FINALIZED&amp;VAR:DB_TYPE=&amp;VAR:UNITS=M&amp;window=popup&amp;width=450&amp;height=300&amp;START_MAXIMIZED=FALSE"}</definedName>
    <definedName name="_1198__FDSAUDITLINK__" hidden="1">{"fdsup://IBCentral/FAT Viewer?action=UPDATE&amp;creator=factset&amp;DOC_NAME=fat:reuters_qtrly_source_window.fat&amp;display_string=Audit&amp;DYN_ARGS=TRUE&amp;VAR:ID1=12719030&amp;VAR:RCODE=LTCL&amp;VAR:SDATE=20081299&amp;VAR:FREQ=DAILY&amp;VAR:RELITEM=&amp;VAR:CURRENCY=&amp;VAR:CURRSOURCE=EXSHARE&amp;","VAR:NATFREQ=QUARTERLY&amp;VAR:RFIELD=FINALIZED&amp;VAR:DB_TYPE=&amp;VAR:UNITS=M&amp;window=popup&amp;width=450&amp;height=300&amp;START_MAXIMIZED=FALSE"}</definedName>
    <definedName name="_1199__FDSAUDITLINK__" hidden="1">{"fdsup://IBCentral/FAT Viewer?action=UPDATE&amp;creator=factset&amp;DOC_NAME=fat:reuters_qtrly_source_window.fat&amp;display_string=Audit&amp;DYN_ARGS=TRUE&amp;VAR:ID1=12719030&amp;VAR:RCODE=ATCA&amp;VAR:SDATE=20081299&amp;VAR:FREQ=DAILY&amp;VAR:RELITEM=&amp;VAR:CURRENCY=&amp;VAR:CURRSOURCE=EXSHARE&amp;","VAR:NATFREQ=QUARTERLY&amp;VAR:RFIELD=FINALIZED&amp;VAR:DB_TYPE=&amp;VAR:UNITS=M&amp;window=popup&amp;width=450&amp;height=300&amp;START_MAXIMIZED=FALSE"}</definedName>
    <definedName name="_11IQ_CURRENCY_GAIN_INS" hidden="1">"c238"</definedName>
    <definedName name="_12__FDSAUDITLINK__" hidden="1">{"fdsup://Directions/FactSet Auditing Viewer?action=AUDIT_VALUE&amp;DB=129&amp;ID1=69915710&amp;VALUEID=02999&amp;SDATE=200903&amp;PERIODTYPE=QTR_STD&amp;window=popup_no_bar&amp;width=385&amp;height=120&amp;START_MAXIMIZED=FALSE&amp;creator=factset&amp;display_string=Audit"}</definedName>
    <definedName name="_120__FDSAUDITLINK__" hidden="1">{"fdsup://Directions/FactSet Auditing Viewer?action=AUDIT_VALUE&amp;DB=129&amp;ID1=17134010&amp;VALUEID=02999&amp;SDATE=201001&amp;PERIODTYPE=QTR_STD&amp;window=popup_no_bar&amp;width=385&amp;height=120&amp;START_MAXIMIZED=FALSE&amp;creator=factset&amp;display_string=Audit"}</definedName>
    <definedName name="_1200__FDSAUDITLINK__" hidden="1">{"fdsup://IBCentral/FAT Viewer?action=UPDATE&amp;creator=factset&amp;DOC_NAME=fat:reuters_qtrly_source_window.fat&amp;display_string=Audit&amp;DYN_ARGS=TRUE&amp;VAR:ID1=12719030&amp;VAR:RCODE=ATOT&amp;VAR:SDATE=20081299&amp;VAR:FREQ=DAILY&amp;VAR:RELITEM=&amp;VAR:CURRENCY=&amp;VAR:CURRSOURCE=EXSHARE&amp;","VAR:NATFREQ=QUARTERLY&amp;VAR:RFIELD=FINALIZED&amp;VAR:DB_TYPE=&amp;VAR:UNITS=M&amp;window=popup&amp;width=450&amp;height=300&amp;START_MAXIMIZED=FALSE"}</definedName>
    <definedName name="_1201__FDSAUDITLINK__" hidden="1">{"fdsup://IBCentral/FAT Viewer?action=UPDATE&amp;creator=factset&amp;DOC_NAME=fat:reuters_qtrly_source_window.fat&amp;display_string=Audit&amp;DYN_ARGS=TRUE&amp;VAR:ID1=11875910&amp;VAR:RCODE=LTLL&amp;VAR:SDATE=20081299&amp;VAR:FREQ=DAILY&amp;VAR:RELITEM=&amp;VAR:CURRENCY=&amp;VAR:CURRSOURCE=EXSHARE&amp;","VAR:NATFREQ=QUARTERLY&amp;VAR:RFIELD=FINALIZED&amp;VAR:DB_TYPE=&amp;VAR:UNITS=M&amp;window=popup&amp;width=450&amp;height=300&amp;START_MAXIMIZED=FALSE"}</definedName>
    <definedName name="_1202__FDSAUDITLINK__" hidden="1">{"fdsup://IBCentral/FAT Viewer?action=UPDATE&amp;creator=factset&amp;DOC_NAME=fat:reuters_qtrly_source_window.fat&amp;display_string=Audit&amp;DYN_ARGS=TRUE&amp;VAR:ID1=11875910&amp;VAR:RCODE=LTCL&amp;VAR:SDATE=20081299&amp;VAR:FREQ=DAILY&amp;VAR:RELITEM=&amp;VAR:CURRENCY=&amp;VAR:CURRSOURCE=EXSHARE&amp;","VAR:NATFREQ=QUARTERLY&amp;VAR:RFIELD=FINALIZED&amp;VAR:DB_TYPE=&amp;VAR:UNITS=M&amp;window=popup&amp;width=450&amp;height=300&amp;START_MAXIMIZED=FALSE"}</definedName>
    <definedName name="_1203__FDSAUDITLINK__" hidden="1">{"fdsup://IBCentral/FAT Viewer?action=UPDATE&amp;creator=factset&amp;DOC_NAME=fat:reuters_qtrly_source_window.fat&amp;display_string=Audit&amp;DYN_ARGS=TRUE&amp;VAR:ID1=11875910&amp;VAR:RCODE=ATCA&amp;VAR:SDATE=20081299&amp;VAR:FREQ=DAILY&amp;VAR:RELITEM=&amp;VAR:CURRENCY=&amp;VAR:CURRSOURCE=EXSHARE&amp;","VAR:NATFREQ=QUARTERLY&amp;VAR:RFIELD=FINALIZED&amp;VAR:DB_TYPE=&amp;VAR:UNITS=M&amp;window=popup&amp;width=450&amp;height=300&amp;START_MAXIMIZED=FALSE"}</definedName>
    <definedName name="_1204__FDSAUDITLINK__" hidden="1">{"fdsup://IBCentral/FAT Viewer?action=UPDATE&amp;creator=factset&amp;DOC_NAME=fat:reuters_qtrly_source_window.fat&amp;display_string=Audit&amp;DYN_ARGS=TRUE&amp;VAR:ID1=11875910&amp;VAR:RCODE=ATOT&amp;VAR:SDATE=20081299&amp;VAR:FREQ=DAILY&amp;VAR:RELITEM=&amp;VAR:CURRENCY=&amp;VAR:CURRSOURCE=EXSHARE&amp;","VAR:NATFREQ=QUARTERLY&amp;VAR:RFIELD=FINALIZED&amp;VAR:DB_TYPE=&amp;VAR:UNITS=M&amp;window=popup&amp;width=450&amp;height=300&amp;START_MAXIMIZED=FALSE"}</definedName>
    <definedName name="_1205__FDSAUDITLINK__" hidden="1">{"fdsup://IBCentral/FAT Viewer?action=UPDATE&amp;creator=factset&amp;DOC_NAME=fat:reuters_qtrly_source_window.fat&amp;display_string=Audit&amp;DYN_ARGS=TRUE&amp;VAR:ID1=09643P20&amp;VAR:RCODE=LTLL&amp;VAR:SDATE=20081099&amp;VAR:FREQ=DAILY&amp;VAR:RELITEM=&amp;VAR:CURRENCY=&amp;VAR:CURRSOURCE=EXSHARE&amp;","VAR:NATFREQ=QUARTERLY&amp;VAR:RFIELD=FINALIZED&amp;VAR:DB_TYPE=&amp;VAR:UNITS=M&amp;window=popup&amp;width=450&amp;height=300&amp;START_MAXIMIZED=FALSE"}</definedName>
    <definedName name="_1206__FDSAUDITLINK__" hidden="1">{"fdsup://IBCentral/FAT Viewer?action=UPDATE&amp;creator=factset&amp;DOC_NAME=fat:reuters_qtrly_source_window.fat&amp;display_string=Audit&amp;DYN_ARGS=TRUE&amp;VAR:ID1=09643P20&amp;VAR:RCODE=LTCL&amp;VAR:SDATE=20081099&amp;VAR:FREQ=DAILY&amp;VAR:RELITEM=&amp;VAR:CURRENCY=&amp;VAR:CURRSOURCE=EXSHARE&amp;","VAR:NATFREQ=QUARTERLY&amp;VAR:RFIELD=FINALIZED&amp;VAR:DB_TYPE=&amp;VAR:UNITS=M&amp;window=popup&amp;width=450&amp;height=300&amp;START_MAXIMIZED=FALSE"}</definedName>
    <definedName name="_1207__FDSAUDITLINK__" hidden="1">{"fdsup://IBCentral/FAT Viewer?action=UPDATE&amp;creator=factset&amp;DOC_NAME=fat:reuters_qtrly_source_window.fat&amp;display_string=Audit&amp;DYN_ARGS=TRUE&amp;VAR:ID1=09643P20&amp;VAR:RCODE=ATCA&amp;VAR:SDATE=20081099&amp;VAR:FREQ=DAILY&amp;VAR:RELITEM=&amp;VAR:CURRENCY=&amp;VAR:CURRSOURCE=EXSHARE&amp;","VAR:NATFREQ=QUARTERLY&amp;VAR:RFIELD=FINALIZED&amp;VAR:DB_TYPE=&amp;VAR:UNITS=M&amp;window=popup&amp;width=450&amp;height=300&amp;START_MAXIMIZED=FALSE"}</definedName>
    <definedName name="_1208__FDSAUDITLINK__" hidden="1">{"fdsup://IBCentral/FAT Viewer?action=UPDATE&amp;creator=factset&amp;DOC_NAME=fat:reuters_qtrly_source_window.fat&amp;display_string=Audit&amp;DYN_ARGS=TRUE&amp;VAR:ID1=09643P20&amp;VAR:RCODE=ATOT&amp;VAR:SDATE=20081099&amp;VAR:FREQ=DAILY&amp;VAR:RELITEM=&amp;VAR:CURRENCY=&amp;VAR:CURRSOURCE=EXSHARE&amp;","VAR:NATFREQ=QUARTERLY&amp;VAR:RFIELD=FINALIZED&amp;VAR:DB_TYPE=&amp;VAR:UNITS=M&amp;window=popup&amp;width=450&amp;height=300&amp;START_MAXIMIZED=FALSE"}</definedName>
    <definedName name="_1209__FDSAUDITLINK__" hidden="1">{"fdsup://IBCentral/FAT Viewer?action=UPDATE&amp;creator=factset&amp;DOC_NAME=fat:reuters_qtrly_source_window.fat&amp;display_string=Audit&amp;DYN_ARGS=TRUE&amp;VAR:ID1=07330210&amp;VAR:RCODE=LTLL&amp;VAR:SDATE=20081299&amp;VAR:FREQ=DAILY&amp;VAR:RELITEM=&amp;VAR:CURRENCY=&amp;VAR:CURRSOURCE=EXSHARE&amp;","VAR:NATFREQ=QUARTERLY&amp;VAR:RFIELD=FINALIZED&amp;VAR:DB_TYPE=&amp;VAR:UNITS=M&amp;window=popup&amp;width=450&amp;height=300&amp;START_MAXIMIZED=FALSE"}</definedName>
    <definedName name="_121__FDSAUDITLINK__" hidden="1">{"fdsup://Directions/FactSet Auditing Viewer?action=AUDIT_VALUE&amp;DB=129&amp;ID1=17177930&amp;VALUEID=02999&amp;SDATE=201002&amp;PERIODTYPE=QTR_STD&amp;window=popup_no_bar&amp;width=385&amp;height=120&amp;START_MAXIMIZED=FALSE&amp;creator=factset&amp;display_string=Audit"}</definedName>
    <definedName name="_1210__FDSAUDITLINK__" hidden="1">{"fdsup://IBCentral/FAT Viewer?action=UPDATE&amp;creator=factset&amp;DOC_NAME=fat:reuters_qtrly_source_window.fat&amp;display_string=Audit&amp;DYN_ARGS=TRUE&amp;VAR:ID1=07330210&amp;VAR:RCODE=LTCL&amp;VAR:SDATE=20081299&amp;VAR:FREQ=DAILY&amp;VAR:RELITEM=&amp;VAR:CURRENCY=&amp;VAR:CURRSOURCE=EXSHARE&amp;","VAR:NATFREQ=QUARTERLY&amp;VAR:RFIELD=FINALIZED&amp;VAR:DB_TYPE=&amp;VAR:UNITS=M&amp;window=popup&amp;width=450&amp;height=300&amp;START_MAXIMIZED=FALSE"}</definedName>
    <definedName name="_1211__FDSAUDITLINK__" hidden="1">{"fdsup://IBCentral/FAT Viewer?action=UPDATE&amp;creator=factset&amp;DOC_NAME=fat:reuters_qtrly_source_window.fat&amp;display_string=Audit&amp;DYN_ARGS=TRUE&amp;VAR:ID1=07330210&amp;VAR:RCODE=ATCA&amp;VAR:SDATE=20081299&amp;VAR:FREQ=DAILY&amp;VAR:RELITEM=&amp;VAR:CURRENCY=&amp;VAR:CURRSOURCE=EXSHARE&amp;","VAR:NATFREQ=QUARTERLY&amp;VAR:RFIELD=FINALIZED&amp;VAR:DB_TYPE=&amp;VAR:UNITS=M&amp;window=popup&amp;width=450&amp;height=300&amp;START_MAXIMIZED=FALSE"}</definedName>
    <definedName name="_1212__FDSAUDITLINK__" hidden="1">{"fdsup://IBCentral/FAT Viewer?action=UPDATE&amp;creator=factset&amp;DOC_NAME=fat:reuters_qtrly_source_window.fat&amp;display_string=Audit&amp;DYN_ARGS=TRUE&amp;VAR:ID1=07330210&amp;VAR:RCODE=ATOT&amp;VAR:SDATE=20081299&amp;VAR:FREQ=DAILY&amp;VAR:RELITEM=&amp;VAR:CURRENCY=&amp;VAR:CURRSOURCE=EXSHARE&amp;","VAR:NATFREQ=QUARTERLY&amp;VAR:RFIELD=FINALIZED&amp;VAR:DB_TYPE=&amp;VAR:UNITS=M&amp;window=popup&amp;width=450&amp;height=300&amp;START_MAXIMIZED=FALSE"}</definedName>
    <definedName name="_1213__FDSAUDITLINK__" hidden="1">{"fdsup://IBCentral/FAT Viewer?action=UPDATE&amp;creator=factset&amp;DOC_NAME=fat:reuters_qtrly_source_window.fat&amp;display_string=Audit&amp;DYN_ARGS=TRUE&amp;VAR:ID1=04420910&amp;VAR:RCODE=LTLL&amp;VAR:SDATE=20081299&amp;VAR:FREQ=DAILY&amp;VAR:RELITEM=&amp;VAR:CURRENCY=&amp;VAR:CURRSOURCE=EXSHARE&amp;","VAR:NATFREQ=QUARTERLY&amp;VAR:RFIELD=FINALIZED&amp;VAR:DB_TYPE=&amp;VAR:UNITS=M&amp;window=popup&amp;width=450&amp;height=300&amp;START_MAXIMIZED=FALSE"}</definedName>
    <definedName name="_1214__FDSAUDITLINK__" hidden="1">{"fdsup://IBCentral/FAT Viewer?action=UPDATE&amp;creator=factset&amp;DOC_NAME=fat:reuters_qtrly_source_window.fat&amp;display_string=Audit&amp;DYN_ARGS=TRUE&amp;VAR:ID1=04420910&amp;VAR:RCODE=LTCL&amp;VAR:SDATE=20081299&amp;VAR:FREQ=DAILY&amp;VAR:RELITEM=&amp;VAR:CURRENCY=&amp;VAR:CURRSOURCE=EXSHARE&amp;","VAR:NATFREQ=QUARTERLY&amp;VAR:RFIELD=FINALIZED&amp;VAR:DB_TYPE=&amp;VAR:UNITS=M&amp;window=popup&amp;width=450&amp;height=300&amp;START_MAXIMIZED=FALSE"}</definedName>
    <definedName name="_1215__FDSAUDITLINK__" hidden="1">{"fdsup://IBCentral/FAT Viewer?action=UPDATE&amp;creator=factset&amp;DOC_NAME=fat:reuters_qtrly_source_window.fat&amp;display_string=Audit&amp;DYN_ARGS=TRUE&amp;VAR:ID1=04420910&amp;VAR:RCODE=ATCA&amp;VAR:SDATE=20081299&amp;VAR:FREQ=DAILY&amp;VAR:RELITEM=&amp;VAR:CURRENCY=&amp;VAR:CURRSOURCE=EXSHARE&amp;","VAR:NATFREQ=QUARTERLY&amp;VAR:RFIELD=FINALIZED&amp;VAR:DB_TYPE=&amp;VAR:UNITS=M&amp;window=popup&amp;width=450&amp;height=300&amp;START_MAXIMIZED=FALSE"}</definedName>
    <definedName name="_1216__FDSAUDITLINK__" hidden="1">{"fdsup://IBCentral/FAT Viewer?action=UPDATE&amp;creator=factset&amp;DOC_NAME=fat:reuters_qtrly_source_window.fat&amp;display_string=Audit&amp;DYN_ARGS=TRUE&amp;VAR:ID1=04420910&amp;VAR:RCODE=ATOT&amp;VAR:SDATE=20081299&amp;VAR:FREQ=DAILY&amp;VAR:RELITEM=&amp;VAR:CURRENCY=&amp;VAR:CURRSOURCE=EXSHARE&amp;","VAR:NATFREQ=QUARTERLY&amp;VAR:RFIELD=FINALIZED&amp;VAR:DB_TYPE=&amp;VAR:UNITS=M&amp;window=popup&amp;width=450&amp;height=300&amp;START_MAXIMIZED=FALSE"}</definedName>
    <definedName name="_1217__FDSAUDITLINK__" hidden="1">{"fdsup://IBCentral/FAT Viewer?action=UPDATE&amp;creator=factset&amp;DOC_NAME=fat:reuters_qtrly_source_window.fat&amp;display_string=Audit&amp;DYN_ARGS=TRUE&amp;VAR:ID1=04247X10&amp;VAR:RCODE=LTLL&amp;VAR:SDATE=20081299&amp;VAR:FREQ=DAILY&amp;VAR:RELITEM=&amp;VAR:CURRENCY=&amp;VAR:CURRSOURCE=EXSHARE&amp;","VAR:NATFREQ=QUARTERLY&amp;VAR:RFIELD=FINALIZED&amp;VAR:DB_TYPE=&amp;VAR:UNITS=M&amp;window=popup&amp;width=450&amp;height=300&amp;START_MAXIMIZED=FALSE"}</definedName>
    <definedName name="_1218__FDSAUDITLINK__" hidden="1">{"fdsup://IBCentral/FAT Viewer?action=UPDATE&amp;creator=factset&amp;DOC_NAME=fat:reuters_qtrly_source_window.fat&amp;display_string=Audit&amp;DYN_ARGS=TRUE&amp;VAR:ID1=04247X10&amp;VAR:RCODE=LTCL&amp;VAR:SDATE=20081299&amp;VAR:FREQ=DAILY&amp;VAR:RELITEM=&amp;VAR:CURRENCY=&amp;VAR:CURRSOURCE=EXSHARE&amp;","VAR:NATFREQ=QUARTERLY&amp;VAR:RFIELD=FINALIZED&amp;VAR:DB_TYPE=&amp;VAR:UNITS=M&amp;window=popup&amp;width=450&amp;height=300&amp;START_MAXIMIZED=FALSE"}</definedName>
    <definedName name="_1219__FDSAUDITLINK__" hidden="1">{"fdsup://IBCentral/FAT Viewer?action=UPDATE&amp;creator=factset&amp;DOC_NAME=fat:reuters_qtrly_source_window.fat&amp;display_string=Audit&amp;DYN_ARGS=TRUE&amp;VAR:ID1=04247X10&amp;VAR:RCODE=ATCA&amp;VAR:SDATE=20081299&amp;VAR:FREQ=DAILY&amp;VAR:RELITEM=&amp;VAR:CURRENCY=&amp;VAR:CURRSOURCE=EXSHARE&amp;","VAR:NATFREQ=QUARTERLY&amp;VAR:RFIELD=FINALIZED&amp;VAR:DB_TYPE=&amp;VAR:UNITS=M&amp;window=popup&amp;width=450&amp;height=300&amp;START_MAXIMIZED=FALSE"}</definedName>
    <definedName name="_122__FDSAUDITLINK__" hidden="1">{"fdsup://Directions/FactSet Auditing Viewer?action=AUDIT_VALUE&amp;DB=129&amp;ID1=12550910&amp;VALUEID=02999&amp;SDATE=201001&amp;PERIODTYPE=QTR_STD&amp;window=popup_no_bar&amp;width=385&amp;height=120&amp;START_MAXIMIZED=FALSE&amp;creator=factset&amp;display_string=Audit"}</definedName>
    <definedName name="_1220__FDSAUDITLINK__" hidden="1">{"fdsup://IBCentral/FAT Viewer?action=UPDATE&amp;creator=factset&amp;DOC_NAME=fat:reuters_qtrly_source_window.fat&amp;display_string=Audit&amp;DYN_ARGS=TRUE&amp;VAR:ID1=04247X10&amp;VAR:RCODE=ATOT&amp;VAR:SDATE=20081299&amp;VAR:FREQ=DAILY&amp;VAR:RELITEM=&amp;VAR:CURRENCY=&amp;VAR:CURRSOURCE=EXSHARE&amp;","VAR:NATFREQ=QUARTERLY&amp;VAR:RFIELD=FINALIZED&amp;VAR:DB_TYPE=&amp;VAR:UNITS=M&amp;window=popup&amp;width=450&amp;height=300&amp;START_MAXIMIZED=FALSE"}</definedName>
    <definedName name="_1221__FDSAUDITLINK__" hidden="1">{"fdsup://IBCentral/FAT Viewer?action=UPDATE&amp;creator=factset&amp;DOC_NAME=fat:reuters_qtrly_source_window.fat&amp;display_string=Audit&amp;DYN_ARGS=TRUE&amp;VAR:ID1=00174410&amp;VAR:RCODE=LTLL&amp;VAR:SDATE=20081299&amp;VAR:FREQ=DAILY&amp;VAR:RELITEM=&amp;VAR:CURRENCY=&amp;VAR:CURRSOURCE=EXSHARE&amp;","VAR:NATFREQ=QUARTERLY&amp;VAR:RFIELD=FINALIZED&amp;VAR:DB_TYPE=&amp;VAR:UNITS=M&amp;window=popup&amp;width=450&amp;height=300&amp;START_MAXIMIZED=FALSE"}</definedName>
    <definedName name="_1222__FDSAUDITLINK__" hidden="1">{"fdsup://IBCentral/FAT Viewer?action=UPDATE&amp;creator=factset&amp;DOC_NAME=fat:reuters_qtrly_source_window.fat&amp;display_string=Audit&amp;DYN_ARGS=TRUE&amp;VAR:ID1=00174410&amp;VAR:RCODE=LTCL&amp;VAR:SDATE=20081299&amp;VAR:FREQ=DAILY&amp;VAR:RELITEM=&amp;VAR:CURRENCY=&amp;VAR:CURRSOURCE=EXSHARE&amp;","VAR:NATFREQ=QUARTERLY&amp;VAR:RFIELD=FINALIZED&amp;VAR:DB_TYPE=&amp;VAR:UNITS=M&amp;window=popup&amp;width=450&amp;height=300&amp;START_MAXIMIZED=FALSE"}</definedName>
    <definedName name="_1223__FDSAUDITLINK__" hidden="1">{"fdsup://IBCentral/FAT Viewer?action=UPDATE&amp;creator=factset&amp;DOC_NAME=fat:reuters_qtrly_source_window.fat&amp;display_string=Audit&amp;DYN_ARGS=TRUE&amp;VAR:ID1=00174410&amp;VAR:RCODE=ATCA&amp;VAR:SDATE=20081299&amp;VAR:FREQ=DAILY&amp;VAR:RELITEM=&amp;VAR:CURRENCY=&amp;VAR:CURRSOURCE=EXSHARE&amp;","VAR:NATFREQ=QUARTERLY&amp;VAR:RFIELD=FINALIZED&amp;VAR:DB_TYPE=&amp;VAR:UNITS=M&amp;window=popup&amp;width=450&amp;height=300&amp;START_MAXIMIZED=FALSE"}</definedName>
    <definedName name="_1224__FDSAUDITLINK__" hidden="1">{"fdsup://IBCentral/FAT Viewer?action=UPDATE&amp;creator=factset&amp;DOC_NAME=fat:reuters_qtrly_source_window.fat&amp;display_string=Audit&amp;DYN_ARGS=TRUE&amp;VAR:ID1=00174410&amp;VAR:RCODE=ATOT&amp;VAR:SDATE=20081299&amp;VAR:FREQ=DAILY&amp;VAR:RELITEM=&amp;VAR:CURRENCY=&amp;VAR:CURRSOURCE=EXSHARE&amp;","VAR:NATFREQ=QUARTERLY&amp;VAR:RFIELD=FINALIZED&amp;VAR:DB_TYPE=&amp;VAR:UNITS=M&amp;window=popup&amp;width=450&amp;height=300&amp;START_MAXIMIZED=FALSE"}</definedName>
    <definedName name="_1225__FDSAUDITLINK__" hidden="1">{"fdsup://IBCentral/FAT Viewer?action=UPDATE&amp;creator=factset&amp;DOC_NAME=fat:reuters_qtrly_source_window.fat&amp;display_string=Audit&amp;DYN_ARGS=TRUE&amp;VAR:ID1=01736110&amp;VAR:RCODE=LTLL&amp;VAR:SDATE=20081299&amp;VAR:FREQ=DAILY&amp;VAR:RELITEM=&amp;VAR:CURRENCY=&amp;VAR:CURRSOURCE=EXSHARE&amp;","VAR:NATFREQ=QUARTERLY&amp;VAR:RFIELD=FINALIZED&amp;VAR:DB_TYPE=&amp;VAR:UNITS=M&amp;window=popup&amp;width=450&amp;height=300&amp;START_MAXIMIZED=FALSE"}</definedName>
    <definedName name="_1226__FDSAUDITLINK__" hidden="1">{"fdsup://IBCentral/FAT Viewer?action=UPDATE&amp;creator=factset&amp;DOC_NAME=fat:reuters_qtrly_source_window.fat&amp;display_string=Audit&amp;DYN_ARGS=TRUE&amp;VAR:ID1=01736110&amp;VAR:RCODE=LTCL&amp;VAR:SDATE=20081299&amp;VAR:FREQ=DAILY&amp;VAR:RELITEM=&amp;VAR:CURRENCY=&amp;VAR:CURRSOURCE=EXSHARE&amp;","VAR:NATFREQ=QUARTERLY&amp;VAR:RFIELD=FINALIZED&amp;VAR:DB_TYPE=&amp;VAR:UNITS=M&amp;window=popup&amp;width=450&amp;height=300&amp;START_MAXIMIZED=FALSE"}</definedName>
    <definedName name="_1227__FDSAUDITLINK__" hidden="1">{"fdsup://IBCentral/FAT Viewer?action=UPDATE&amp;creator=factset&amp;DOC_NAME=fat:reuters_qtrly_source_window.fat&amp;display_string=Audit&amp;DYN_ARGS=TRUE&amp;VAR:ID1=01736110&amp;VAR:RCODE=ATCA&amp;VAR:SDATE=20081299&amp;VAR:FREQ=DAILY&amp;VAR:RELITEM=&amp;VAR:CURRENCY=&amp;VAR:CURRSOURCE=EXSHARE&amp;","VAR:NATFREQ=QUARTERLY&amp;VAR:RFIELD=FINALIZED&amp;VAR:DB_TYPE=&amp;VAR:UNITS=M&amp;window=popup&amp;width=450&amp;height=300&amp;START_MAXIMIZED=FALSE"}</definedName>
    <definedName name="_1228__FDSAUDITLINK__" hidden="1">{"fdsup://IBCentral/FAT Viewer?action=UPDATE&amp;creator=factset&amp;DOC_NAME=fat:reuters_qtrly_source_window.fat&amp;display_string=Audit&amp;DYN_ARGS=TRUE&amp;VAR:ID1=01736110&amp;VAR:RCODE=ATOT&amp;VAR:SDATE=20081299&amp;VAR:FREQ=DAILY&amp;VAR:RELITEM=&amp;VAR:CURRENCY=&amp;VAR:CURRSOURCE=EXSHARE&amp;","VAR:NATFREQ=QUARTERLY&amp;VAR:RFIELD=FINALIZED&amp;VAR:DB_TYPE=&amp;VAR:UNITS=M&amp;window=popup&amp;width=450&amp;height=300&amp;START_MAXIMIZED=FALSE"}</definedName>
    <definedName name="_1229__FDSAUDITLINK__" hidden="1">{"fdsup://IBCentral/FAT Viewer?action=UPDATE&amp;creator=factset&amp;DOC_NAME=fat:reuters_qtrly_source_window.fat&amp;display_string=Audit&amp;DYN_ARGS=TRUE&amp;VAR:ID1=00108410&amp;VAR:RCODE=LTLL&amp;VAR:SDATE=20081299&amp;VAR:FREQ=DAILY&amp;VAR:RELITEM=&amp;VAR:CURRENCY=&amp;VAR:CURRSOURCE=EXSHARE&amp;","VAR:NATFREQ=QUARTERLY&amp;VAR:RFIELD=FINALIZED&amp;VAR:DB_TYPE=&amp;VAR:UNITS=M&amp;window=popup&amp;width=450&amp;height=300&amp;START_MAXIMIZED=FALSE"}</definedName>
    <definedName name="_123__FDSAUDITLINK__" hidden="1">{"fdsup://Directions/FactSet Auditing Viewer?action=AUDIT_VALUE&amp;DB=129&amp;ID1=17187110&amp;VALUEID=02999&amp;SDATE=201001&amp;PERIODTYPE=QTR_STD&amp;window=popup_no_bar&amp;width=385&amp;height=120&amp;START_MAXIMIZED=FALSE&amp;creator=factset&amp;display_string=Audit"}</definedName>
    <definedName name="_1230__FDSAUDITLINK__" hidden="1">{"fdsup://IBCentral/FAT Viewer?action=UPDATE&amp;creator=factset&amp;DOC_NAME=fat:reuters_qtrly_source_window.fat&amp;display_string=Audit&amp;DYN_ARGS=TRUE&amp;VAR:ID1=00108410&amp;VAR:RCODE=LTCL&amp;VAR:SDATE=20081299&amp;VAR:FREQ=DAILY&amp;VAR:RELITEM=&amp;VAR:CURRENCY=&amp;VAR:CURRSOURCE=EXSHARE&amp;","VAR:NATFREQ=QUARTERLY&amp;VAR:RFIELD=FINALIZED&amp;VAR:DB_TYPE=&amp;VAR:UNITS=M&amp;window=popup&amp;width=450&amp;height=300&amp;START_MAXIMIZED=FALSE"}</definedName>
    <definedName name="_1231__FDSAUDITLINK__" hidden="1">{"fdsup://IBCentral/FAT Viewer?action=UPDATE&amp;creator=factset&amp;DOC_NAME=fat:reuters_qtrly_source_window.fat&amp;display_string=Audit&amp;DYN_ARGS=TRUE&amp;VAR:ID1=00108410&amp;VAR:RCODE=ATCA&amp;VAR:SDATE=20081299&amp;VAR:FREQ=DAILY&amp;VAR:RELITEM=&amp;VAR:CURRENCY=&amp;VAR:CURRSOURCE=EXSHARE&amp;","VAR:NATFREQ=QUARTERLY&amp;VAR:RFIELD=FINALIZED&amp;VAR:DB_TYPE=&amp;VAR:UNITS=M&amp;window=popup&amp;width=450&amp;height=300&amp;START_MAXIMIZED=FALSE"}</definedName>
    <definedName name="_1232__FDSAUDITLINK__" hidden="1">{"fdsup://IBCentral/FAT Viewer?action=UPDATE&amp;creator=factset&amp;DOC_NAME=fat:reuters_qtrly_source_window.fat&amp;display_string=Audit&amp;DYN_ARGS=TRUE&amp;VAR:ID1=00108410&amp;VAR:RCODE=ATOT&amp;VAR:SDATE=20081299&amp;VAR:FREQ=DAILY&amp;VAR:RELITEM=&amp;VAR:CURRENCY=&amp;VAR:CURRSOURCE=EXSHARE&amp;","VAR:NATFREQ=QUARTERLY&amp;VAR:RFIELD=FINALIZED&amp;VAR:DB_TYPE=&amp;VAR:UNITS=M&amp;window=popup&amp;width=450&amp;height=300&amp;START_MAXIMIZED=FALSE"}</definedName>
    <definedName name="_1233__FDSAUDITLINK__" hidden="1">{"fdsup://IBCentral/FAT Viewer?action=UPDATE&amp;creator=factset&amp;DOC_NAME=fat:reuters_qtrly_source_window.fat&amp;display_string=Audit&amp;DYN_ARGS=TRUE&amp;VAR:ID1=00819010&amp;VAR:RCODE=LTLL&amp;VAR:SDATE=20081299&amp;VAR:FREQ=DAILY&amp;VAR:RELITEM=&amp;VAR:CURRENCY=&amp;VAR:CURRSOURCE=EXSHARE&amp;","VAR:NATFREQ=QUARTERLY&amp;VAR:RFIELD=FINALIZED&amp;VAR:DB_TYPE=&amp;VAR:UNITS=M&amp;window=popup&amp;width=450&amp;height=300&amp;START_MAXIMIZED=FALSE"}</definedName>
    <definedName name="_1234__FDSAUDITLINK__" hidden="1">{"fdsup://IBCentral/FAT Viewer?action=UPDATE&amp;creator=factset&amp;DOC_NAME=fat:reuters_qtrly_source_window.fat&amp;display_string=Audit&amp;DYN_ARGS=TRUE&amp;VAR:ID1=00819010&amp;VAR:RCODE=LTCL&amp;VAR:SDATE=20081299&amp;VAR:FREQ=DAILY&amp;VAR:RELITEM=&amp;VAR:CURRENCY=&amp;VAR:CURRSOURCE=EXSHARE&amp;","VAR:NATFREQ=QUARTERLY&amp;VAR:RFIELD=FINALIZED&amp;VAR:DB_TYPE=&amp;VAR:UNITS=M&amp;window=popup&amp;width=450&amp;height=300&amp;START_MAXIMIZED=FALSE"}</definedName>
    <definedName name="_1235__FDSAUDITLINK__" hidden="1">{"fdsup://IBCentral/FAT Viewer?action=UPDATE&amp;creator=factset&amp;DOC_NAME=fat:reuters_qtrly_source_window.fat&amp;display_string=Audit&amp;DYN_ARGS=TRUE&amp;VAR:ID1=00819010&amp;VAR:RCODE=ATCA&amp;VAR:SDATE=20081299&amp;VAR:FREQ=DAILY&amp;VAR:RELITEM=&amp;VAR:CURRENCY=&amp;VAR:CURRSOURCE=EXSHARE&amp;","VAR:NATFREQ=QUARTERLY&amp;VAR:RFIELD=FINALIZED&amp;VAR:DB_TYPE=&amp;VAR:UNITS=M&amp;window=popup&amp;width=450&amp;height=300&amp;START_MAXIMIZED=FALSE"}</definedName>
    <definedName name="_1236__FDSAUDITLINK__" hidden="1">{"fdsup://IBCentral/FAT Viewer?action=UPDATE&amp;creator=factset&amp;DOC_NAME=fat:reuters_qtrly_source_window.fat&amp;display_string=Audit&amp;DYN_ARGS=TRUE&amp;VAR:ID1=00819010&amp;VAR:RCODE=ATOT&amp;VAR:SDATE=20081299&amp;VAR:FREQ=DAILY&amp;VAR:RELITEM=&amp;VAR:CURRENCY=&amp;VAR:CURRSOURCE=EXSHARE&amp;","VAR:NATFREQ=QUARTERLY&amp;VAR:RFIELD=FINALIZED&amp;VAR:DB_TYPE=&amp;VAR:UNITS=M&amp;window=popup&amp;width=450&amp;height=300&amp;START_MAXIMIZED=FALSE"}</definedName>
    <definedName name="_1237__FDSAUDITLINK__" hidden="1">{"fdsup://IBCentral/FAT Viewer?action=UPDATE&amp;creator=factset&amp;DOC_NAME=fat:reuters_qtrly_source_window.fat&amp;display_string=Audit&amp;DYN_ARGS=TRUE&amp;VAR:ID1=00512510&amp;VAR:RCODE=LTLL&amp;VAR:SDATE=20081299&amp;VAR:FREQ=DAILY&amp;VAR:RELITEM=&amp;VAR:CURRENCY=&amp;VAR:CURRSOURCE=EXSHARE&amp;","VAR:NATFREQ=QUARTERLY&amp;VAR:RFIELD=FINALIZED&amp;VAR:DB_TYPE=&amp;VAR:UNITS=M&amp;window=popup&amp;width=450&amp;height=300&amp;START_MAXIMIZED=FALSE"}</definedName>
    <definedName name="_1238__FDSAUDITLINK__" hidden="1">{"fdsup://IBCentral/FAT Viewer?action=UPDATE&amp;creator=factset&amp;DOC_NAME=fat:reuters_qtrly_source_window.fat&amp;display_string=Audit&amp;DYN_ARGS=TRUE&amp;VAR:ID1=00512510&amp;VAR:RCODE=LTCL&amp;VAR:SDATE=20081299&amp;VAR:FREQ=DAILY&amp;VAR:RELITEM=&amp;VAR:CURRENCY=&amp;VAR:CURRSOURCE=EXSHARE&amp;","VAR:NATFREQ=QUARTERLY&amp;VAR:RFIELD=FINALIZED&amp;VAR:DB_TYPE=&amp;VAR:UNITS=M&amp;window=popup&amp;width=450&amp;height=300&amp;START_MAXIMIZED=FALSE"}</definedName>
    <definedName name="_1239__FDSAUDITLINK__" hidden="1">{"fdsup://IBCentral/FAT Viewer?action=UPDATE&amp;creator=factset&amp;DOC_NAME=fat:reuters_qtrly_source_window.fat&amp;display_string=Audit&amp;DYN_ARGS=TRUE&amp;VAR:ID1=00512510&amp;VAR:RCODE=ATCA&amp;VAR:SDATE=20081299&amp;VAR:FREQ=DAILY&amp;VAR:RELITEM=&amp;VAR:CURRENCY=&amp;VAR:CURRSOURCE=EXSHARE&amp;","VAR:NATFREQ=QUARTERLY&amp;VAR:RFIELD=FINALIZED&amp;VAR:DB_TYPE=&amp;VAR:UNITS=M&amp;window=popup&amp;width=450&amp;height=300&amp;START_MAXIMIZED=FALSE"}</definedName>
    <definedName name="_124__FDSAUDITLINK__" hidden="1">{"fdsup://Directions/FactSet Auditing Viewer?action=AUDIT_VALUE&amp;DB=129&amp;ID1=17243V10&amp;VALUEID=02999&amp;SDATE=201001&amp;PERIODTYPE=QTR_STD&amp;window=popup_no_bar&amp;width=385&amp;height=120&amp;START_MAXIMIZED=FALSE&amp;creator=factset&amp;display_string=Audit"}</definedName>
    <definedName name="_1240__FDSAUDITLINK__" hidden="1">{"fdsup://IBCentral/FAT Viewer?action=UPDATE&amp;creator=factset&amp;DOC_NAME=fat:reuters_qtrly_source_window.fat&amp;display_string=Audit&amp;DYN_ARGS=TRUE&amp;VAR:ID1=00512510&amp;VAR:RCODE=ATOT&amp;VAR:SDATE=20081299&amp;VAR:FREQ=DAILY&amp;VAR:RELITEM=&amp;VAR:CURRENCY=&amp;VAR:CURRSOURCE=EXSHARE&amp;","VAR:NATFREQ=QUARTERLY&amp;VAR:RFIELD=FINALIZED&amp;VAR:DB_TYPE=&amp;VAR:UNITS=M&amp;window=popup&amp;width=450&amp;height=300&amp;START_MAXIMIZED=FALSE"}</definedName>
    <definedName name="_1241__FDSAUDITLINK__" hidden="1">{"fdsup://IBCentral/FAT Viewer?action=UPDATE&amp;creator=factset&amp;DOC_NAME=fat:reuters_qtrly_source_window.fat&amp;display_string=Audit&amp;DYN_ARGS=TRUE&amp;VAR:ID1=94862610&amp;VAR:RCODE=LTLL&amp;VAR:SDATE=20081299&amp;VAR:FREQ=DAILY&amp;VAR:RELITEM=&amp;VAR:CURRENCY=&amp;VAR:CURRSOURCE=EXSHARE&amp;","VAR:NATFREQ=QUARTERLY&amp;VAR:RFIELD=FINALIZED&amp;VAR:DB_TYPE=&amp;VAR:UNITS=M&amp;window=popup&amp;width=450&amp;height=300&amp;START_MAXIMIZED=FALSE"}</definedName>
    <definedName name="_1242__FDSAUDITLINK__" hidden="1">{"fdsup://IBCentral/FAT Viewer?action=UPDATE&amp;creator=factset&amp;DOC_NAME=fat:reuters_qtrly_source_window.fat&amp;display_string=Audit&amp;DYN_ARGS=TRUE&amp;VAR:ID1=94862610&amp;VAR:RCODE=LTCL&amp;VAR:SDATE=20081299&amp;VAR:FREQ=DAILY&amp;VAR:RELITEM=&amp;VAR:CURRENCY=&amp;VAR:CURRSOURCE=EXSHARE&amp;","VAR:NATFREQ=QUARTERLY&amp;VAR:RFIELD=FINALIZED&amp;VAR:DB_TYPE=&amp;VAR:UNITS=M&amp;window=popup&amp;width=450&amp;height=300&amp;START_MAXIMIZED=FALSE"}</definedName>
    <definedName name="_1243__FDSAUDITLINK__" hidden="1">{"fdsup://IBCentral/FAT Viewer?action=UPDATE&amp;creator=factset&amp;DOC_NAME=fat:reuters_qtrly_source_window.fat&amp;display_string=Audit&amp;DYN_ARGS=TRUE&amp;VAR:ID1=94862610&amp;VAR:RCODE=ATCA&amp;VAR:SDATE=20081299&amp;VAR:FREQ=DAILY&amp;VAR:RELITEM=&amp;VAR:CURRENCY=&amp;VAR:CURRSOURCE=EXSHARE&amp;","VAR:NATFREQ=QUARTERLY&amp;VAR:RFIELD=FINALIZED&amp;VAR:DB_TYPE=&amp;VAR:UNITS=M&amp;window=popup&amp;width=450&amp;height=300&amp;START_MAXIMIZED=FALSE"}</definedName>
    <definedName name="_1244__FDSAUDITLINK__" hidden="1">{"fdsup://IBCentral/FAT Viewer?action=UPDATE&amp;creator=factset&amp;DOC_NAME=fat:reuters_qtrly_source_window.fat&amp;display_string=Audit&amp;DYN_ARGS=TRUE&amp;VAR:ID1=94862610&amp;VAR:RCODE=ATOT&amp;VAR:SDATE=20081299&amp;VAR:FREQ=DAILY&amp;VAR:RELITEM=&amp;VAR:CURRENCY=&amp;VAR:CURRSOURCE=EXSHARE&amp;","VAR:NATFREQ=QUARTERLY&amp;VAR:RFIELD=FINALIZED&amp;VAR:DB_TYPE=&amp;VAR:UNITS=M&amp;window=popup&amp;width=450&amp;height=300&amp;START_MAXIMIZED=FALSE"}</definedName>
    <definedName name="_1245__FDSAUDITLINK__" hidden="1">{"fdsup://IBCentral/FAT Viewer?action=UPDATE&amp;creator=factset&amp;DOC_NAME=fat:reuters_qtrly_source_window.fat&amp;display_string=Audit&amp;DYN_ARGS=TRUE&amp;VAR:ID1=94268310&amp;VAR:RCODE=LTLL&amp;VAR:SDATE=20081299&amp;VAR:FREQ=DAILY&amp;VAR:RELITEM=&amp;VAR:CURRENCY=&amp;VAR:CURRSOURCE=EXSHARE&amp;","VAR:NATFREQ=QUARTERLY&amp;VAR:RFIELD=FINALIZED&amp;VAR:DB_TYPE=&amp;VAR:UNITS=M&amp;window=popup&amp;width=450&amp;height=300&amp;START_MAXIMIZED=FALSE"}</definedName>
    <definedName name="_1246__FDSAUDITLINK__" hidden="1">{"fdsup://IBCentral/FAT Viewer?action=UPDATE&amp;creator=factset&amp;DOC_NAME=fat:reuters_qtrly_source_window.fat&amp;display_string=Audit&amp;DYN_ARGS=TRUE&amp;VAR:ID1=94268310&amp;VAR:RCODE=LTCL&amp;VAR:SDATE=20081299&amp;VAR:FREQ=DAILY&amp;VAR:RELITEM=&amp;VAR:CURRENCY=&amp;VAR:CURRSOURCE=EXSHARE&amp;","VAR:NATFREQ=QUARTERLY&amp;VAR:RFIELD=FINALIZED&amp;VAR:DB_TYPE=&amp;VAR:UNITS=M&amp;window=popup&amp;width=450&amp;height=300&amp;START_MAXIMIZED=FALSE"}</definedName>
    <definedName name="_1247__FDSAUDITLINK__" hidden="1">{"fdsup://IBCentral/FAT Viewer?action=UPDATE&amp;creator=factset&amp;DOC_NAME=fat:reuters_qtrly_source_window.fat&amp;display_string=Audit&amp;DYN_ARGS=TRUE&amp;VAR:ID1=94268310&amp;VAR:RCODE=ATCA&amp;VAR:SDATE=20081299&amp;VAR:FREQ=DAILY&amp;VAR:RELITEM=&amp;VAR:CURRENCY=&amp;VAR:CURRSOURCE=EXSHARE&amp;","VAR:NATFREQ=QUARTERLY&amp;VAR:RFIELD=FINALIZED&amp;VAR:DB_TYPE=&amp;VAR:UNITS=M&amp;window=popup&amp;width=450&amp;height=300&amp;START_MAXIMIZED=FALSE"}</definedName>
    <definedName name="_1248__FDSAUDITLINK__" hidden="1">{"fdsup://IBCentral/FAT Viewer?action=UPDATE&amp;creator=factset&amp;DOC_NAME=fat:reuters_qtrly_source_window.fat&amp;display_string=Audit&amp;DYN_ARGS=TRUE&amp;VAR:ID1=94268310&amp;VAR:RCODE=ATOT&amp;VAR:SDATE=20081299&amp;VAR:FREQ=DAILY&amp;VAR:RELITEM=&amp;VAR:CURRENCY=&amp;VAR:CURRSOURCE=EXSHARE&amp;","VAR:NATFREQ=QUARTERLY&amp;VAR:RFIELD=FINALIZED&amp;VAR:DB_TYPE=&amp;VAR:UNITS=M&amp;window=popup&amp;width=450&amp;height=300&amp;START_MAXIMIZED=FALSE"}</definedName>
    <definedName name="_1249__FDSAUDITLINK__" hidden="1">{"fdsup://IBCentral/FAT Viewer?action=UPDATE&amp;creator=factset&amp;DOC_NAME=fat:reuters_qtrly_source_window.fat&amp;display_string=Audit&amp;DYN_ARGS=TRUE&amp;VAR:ID1=92974010&amp;VAR:RCODE=LTLL&amp;VAR:SDATE=20081299&amp;VAR:FREQ=DAILY&amp;VAR:RELITEM=&amp;VAR:CURRENCY=&amp;VAR:CURRSOURCE=EXSHARE&amp;","VAR:NATFREQ=QUARTERLY&amp;VAR:RFIELD=FINALIZED&amp;VAR:DB_TYPE=&amp;VAR:UNITS=M&amp;window=popup&amp;width=450&amp;height=300&amp;START_MAXIMIZED=FALSE"}</definedName>
    <definedName name="_125__FDSAUDITLINK__" hidden="1">{"fdsup://Directions/FactSet Auditing Viewer?action=AUDIT_VALUE&amp;DB=129&amp;ID1=17275R10&amp;VALUEID=02999&amp;SDATE=201003&amp;PERIODTYPE=QTR_STD&amp;window=popup_no_bar&amp;width=385&amp;height=120&amp;START_MAXIMIZED=FALSE&amp;creator=factset&amp;display_string=Audit"}</definedName>
    <definedName name="_1250__FDSAUDITLINK__" hidden="1">{"fdsup://IBCentral/FAT Viewer?action=UPDATE&amp;creator=factset&amp;DOC_NAME=fat:reuters_qtrly_source_window.fat&amp;display_string=Audit&amp;DYN_ARGS=TRUE&amp;VAR:ID1=92974010&amp;VAR:RCODE=LTCL&amp;VAR:SDATE=20081299&amp;VAR:FREQ=DAILY&amp;VAR:RELITEM=&amp;VAR:CURRENCY=&amp;VAR:CURRSOURCE=EXSHARE&amp;","VAR:NATFREQ=QUARTERLY&amp;VAR:RFIELD=FINALIZED&amp;VAR:DB_TYPE=&amp;VAR:UNITS=M&amp;window=popup&amp;width=450&amp;height=300&amp;START_MAXIMIZED=FALSE"}</definedName>
    <definedName name="_1251__FDSAUDITLINK__" hidden="1">{"fdsup://IBCentral/FAT Viewer?action=UPDATE&amp;creator=factset&amp;DOC_NAME=fat:reuters_qtrly_source_window.fat&amp;display_string=Audit&amp;DYN_ARGS=TRUE&amp;VAR:ID1=92974010&amp;VAR:RCODE=ATCA&amp;VAR:SDATE=20081299&amp;VAR:FREQ=DAILY&amp;VAR:RELITEM=&amp;VAR:CURRENCY=&amp;VAR:CURRSOURCE=EXSHARE&amp;","VAR:NATFREQ=QUARTERLY&amp;VAR:RFIELD=FINALIZED&amp;VAR:DB_TYPE=&amp;VAR:UNITS=M&amp;window=popup&amp;width=450&amp;height=300&amp;START_MAXIMIZED=FALSE"}</definedName>
    <definedName name="_1252__FDSAUDITLINK__" hidden="1">{"fdsup://IBCentral/FAT Viewer?action=UPDATE&amp;creator=factset&amp;DOC_NAME=fat:reuters_qtrly_source_window.fat&amp;display_string=Audit&amp;DYN_ARGS=TRUE&amp;VAR:ID1=92974010&amp;VAR:RCODE=ATOT&amp;VAR:SDATE=20081299&amp;VAR:FREQ=DAILY&amp;VAR:RELITEM=&amp;VAR:CURRENCY=&amp;VAR:CURRSOURCE=EXSHARE&amp;","VAR:NATFREQ=QUARTERLY&amp;VAR:RFIELD=FINALIZED&amp;VAR:DB_TYPE=&amp;VAR:UNITS=M&amp;window=popup&amp;width=450&amp;height=300&amp;START_MAXIMIZED=FALSE"}</definedName>
    <definedName name="_1253__FDSAUDITLINK__" hidden="1">{"fdsup://IBCentral/FAT Viewer?action=UPDATE&amp;creator=factset&amp;DOC_NAME=fat:reuters_qtrly_source_window.fat&amp;display_string=Audit&amp;DYN_ARGS=TRUE&amp;VAR:ID1=91345610&amp;VAR:RCODE=LTLL&amp;VAR:SDATE=20081299&amp;VAR:FREQ=DAILY&amp;VAR:RELITEM=&amp;VAR:CURRENCY=&amp;VAR:CURRSOURCE=EXSHARE&amp;","VAR:NATFREQ=QUARTERLY&amp;VAR:RFIELD=FINALIZED&amp;VAR:DB_TYPE=&amp;VAR:UNITS=M&amp;window=popup&amp;width=450&amp;height=300&amp;START_MAXIMIZED=FALSE"}</definedName>
    <definedName name="_1254__FDSAUDITLINK__" hidden="1">{"fdsup://IBCentral/FAT Viewer?action=UPDATE&amp;creator=factset&amp;DOC_NAME=fat:reuters_qtrly_source_window.fat&amp;display_string=Audit&amp;DYN_ARGS=TRUE&amp;VAR:ID1=91345610&amp;VAR:RCODE=LTCL&amp;VAR:SDATE=20081299&amp;VAR:FREQ=DAILY&amp;VAR:RELITEM=&amp;VAR:CURRENCY=&amp;VAR:CURRSOURCE=EXSHARE&amp;","VAR:NATFREQ=QUARTERLY&amp;VAR:RFIELD=FINALIZED&amp;VAR:DB_TYPE=&amp;VAR:UNITS=M&amp;window=popup&amp;width=450&amp;height=300&amp;START_MAXIMIZED=FALSE"}</definedName>
    <definedName name="_1255__FDSAUDITLINK__" hidden="1">{"fdsup://IBCentral/FAT Viewer?action=UPDATE&amp;creator=factset&amp;DOC_NAME=fat:reuters_qtrly_source_window.fat&amp;display_string=Audit&amp;DYN_ARGS=TRUE&amp;VAR:ID1=91345610&amp;VAR:RCODE=ATCA&amp;VAR:SDATE=20081299&amp;VAR:FREQ=DAILY&amp;VAR:RELITEM=&amp;VAR:CURRENCY=&amp;VAR:CURRSOURCE=EXSHARE&amp;","VAR:NATFREQ=QUARTERLY&amp;VAR:RFIELD=FINALIZED&amp;VAR:DB_TYPE=&amp;VAR:UNITS=M&amp;window=popup&amp;width=450&amp;height=300&amp;START_MAXIMIZED=FALSE"}</definedName>
    <definedName name="_1256__FDSAUDITLINK__" hidden="1">{"fdsup://IBCentral/FAT Viewer?action=UPDATE&amp;creator=factset&amp;DOC_NAME=fat:reuters_qtrly_source_window.fat&amp;display_string=Audit&amp;DYN_ARGS=TRUE&amp;VAR:ID1=91345610&amp;VAR:RCODE=ATOT&amp;VAR:SDATE=20081299&amp;VAR:FREQ=DAILY&amp;VAR:RELITEM=&amp;VAR:CURRENCY=&amp;VAR:CURRSOURCE=EXSHARE&amp;","VAR:NATFREQ=QUARTERLY&amp;VAR:RFIELD=FINALIZED&amp;VAR:DB_TYPE=&amp;VAR:UNITS=M&amp;window=popup&amp;width=450&amp;height=300&amp;START_MAXIMIZED=FALSE"}</definedName>
    <definedName name="_1257__FDSAUDITLINK__" hidden="1">{"fdsup://IBCentral/FAT Viewer?action=UPDATE&amp;creator=factset&amp;DOC_NAME=fat:reuters_qtrly_source_window.fat&amp;display_string=Audit&amp;DYN_ARGS=TRUE&amp;VAR:ID1=89989610&amp;VAR:RCODE=LTLL&amp;VAR:SDATE=20081299&amp;VAR:FREQ=DAILY&amp;VAR:RELITEM=&amp;VAR:CURRENCY=&amp;VAR:CURRSOURCE=EXSHARE&amp;","VAR:NATFREQ=QUARTERLY&amp;VAR:RFIELD=FINALIZED&amp;VAR:DB_TYPE=&amp;VAR:UNITS=M&amp;window=popup&amp;width=450&amp;height=300&amp;START_MAXIMIZED=FALSE"}</definedName>
    <definedName name="_1258__FDSAUDITLINK__" hidden="1">{"fdsup://IBCentral/FAT Viewer?action=UPDATE&amp;creator=factset&amp;DOC_NAME=fat:reuters_qtrly_source_window.fat&amp;display_string=Audit&amp;DYN_ARGS=TRUE&amp;VAR:ID1=89989610&amp;VAR:RCODE=LTCL&amp;VAR:SDATE=20081299&amp;VAR:FREQ=DAILY&amp;VAR:RELITEM=&amp;VAR:CURRENCY=&amp;VAR:CURRSOURCE=EXSHARE&amp;","VAR:NATFREQ=QUARTERLY&amp;VAR:RFIELD=FINALIZED&amp;VAR:DB_TYPE=&amp;VAR:UNITS=M&amp;window=popup&amp;width=450&amp;height=300&amp;START_MAXIMIZED=FALSE"}</definedName>
    <definedName name="_1259__FDSAUDITLINK__" hidden="1">{"fdsup://IBCentral/FAT Viewer?action=UPDATE&amp;creator=factset&amp;DOC_NAME=fat:reuters_qtrly_source_window.fat&amp;display_string=Audit&amp;DYN_ARGS=TRUE&amp;VAR:ID1=89989610&amp;VAR:RCODE=ATCA&amp;VAR:SDATE=20081299&amp;VAR:FREQ=DAILY&amp;VAR:RELITEM=&amp;VAR:CURRENCY=&amp;VAR:CURRSOURCE=EXSHARE&amp;","VAR:NATFREQ=QUARTERLY&amp;VAR:RFIELD=FINALIZED&amp;VAR:DB_TYPE=&amp;VAR:UNITS=M&amp;window=popup&amp;width=450&amp;height=300&amp;START_MAXIMIZED=FALSE"}</definedName>
    <definedName name="_126__FDSAUDITLINK__" hidden="1">{"fdsup://Directions/FactSet Auditing Viewer?action=AUDIT_VALUE&amp;DB=129&amp;ID1=17285T10&amp;VALUEID=02999&amp;SDATE=201001&amp;PERIODTYPE=QTR_STD&amp;window=popup_no_bar&amp;width=385&amp;height=120&amp;START_MAXIMIZED=FALSE&amp;creator=factset&amp;display_string=Audit"}</definedName>
    <definedName name="_1260__FDSAUDITLINK__" hidden="1">{"fdsup://IBCentral/FAT Viewer?action=UPDATE&amp;creator=factset&amp;DOC_NAME=fat:reuters_qtrly_source_window.fat&amp;display_string=Audit&amp;DYN_ARGS=TRUE&amp;VAR:ID1=89989610&amp;VAR:RCODE=ATOT&amp;VAR:SDATE=20081299&amp;VAR:FREQ=DAILY&amp;VAR:RELITEM=&amp;VAR:CURRENCY=&amp;VAR:CURRSOURCE=EXSHARE&amp;","VAR:NATFREQ=QUARTERLY&amp;VAR:RFIELD=FINALIZED&amp;VAR:DB_TYPE=&amp;VAR:UNITS=M&amp;window=popup&amp;width=450&amp;height=300&amp;START_MAXIMIZED=FALSE"}</definedName>
    <definedName name="_1261__FDSAUDITLINK__" hidden="1">{"fdsup://IBCentral/FAT Viewer?action=UPDATE&amp;creator=factset&amp;DOC_NAME=fat:reuters_qtrly_source_window.fat&amp;display_string=Audit&amp;DYN_ARGS=TRUE&amp;VAR:ID1=87823710&amp;VAR:RCODE=LTLL&amp;VAR:SDATE=20081099&amp;VAR:FREQ=DAILY&amp;VAR:RELITEM=&amp;VAR:CURRENCY=&amp;VAR:CURRSOURCE=EXSHARE&amp;","VAR:NATFREQ=QUARTERLY&amp;VAR:RFIELD=FINALIZED&amp;VAR:DB_TYPE=&amp;VAR:UNITS=M&amp;window=popup&amp;width=450&amp;height=300&amp;START_MAXIMIZED=FALSE"}</definedName>
    <definedName name="_1262__FDSAUDITLINK__" hidden="1">{"fdsup://IBCentral/FAT Viewer?action=UPDATE&amp;creator=factset&amp;DOC_NAME=fat:reuters_qtrly_source_window.fat&amp;display_string=Audit&amp;DYN_ARGS=TRUE&amp;VAR:ID1=87823710&amp;VAR:RCODE=LTCL&amp;VAR:SDATE=20081099&amp;VAR:FREQ=DAILY&amp;VAR:RELITEM=&amp;VAR:CURRENCY=&amp;VAR:CURRSOURCE=EXSHARE&amp;","VAR:NATFREQ=QUARTERLY&amp;VAR:RFIELD=FINALIZED&amp;VAR:DB_TYPE=&amp;VAR:UNITS=M&amp;window=popup&amp;width=450&amp;height=300&amp;START_MAXIMIZED=FALSE"}</definedName>
    <definedName name="_1263__FDSAUDITLINK__" hidden="1">{"fdsup://IBCentral/FAT Viewer?action=UPDATE&amp;creator=factset&amp;DOC_NAME=fat:reuters_qtrly_source_window.fat&amp;display_string=Audit&amp;DYN_ARGS=TRUE&amp;VAR:ID1=87823710&amp;VAR:RCODE=ATCA&amp;VAR:SDATE=20081099&amp;VAR:FREQ=DAILY&amp;VAR:RELITEM=&amp;VAR:CURRENCY=&amp;VAR:CURRSOURCE=EXSHARE&amp;","VAR:NATFREQ=QUARTERLY&amp;VAR:RFIELD=FINALIZED&amp;VAR:DB_TYPE=&amp;VAR:UNITS=M&amp;window=popup&amp;width=450&amp;height=300&amp;START_MAXIMIZED=FALSE"}</definedName>
    <definedName name="_1264__FDSAUDITLINK__" hidden="1">{"fdsup://IBCentral/FAT Viewer?action=UPDATE&amp;creator=factset&amp;DOC_NAME=fat:reuters_qtrly_source_window.fat&amp;display_string=Audit&amp;DYN_ARGS=TRUE&amp;VAR:ID1=87823710&amp;VAR:RCODE=ATOT&amp;VAR:SDATE=20081099&amp;VAR:FREQ=DAILY&amp;VAR:RELITEM=&amp;VAR:CURRENCY=&amp;VAR:CURRSOURCE=EXSHARE&amp;","VAR:NATFREQ=QUARTERLY&amp;VAR:RFIELD=FINALIZED&amp;VAR:DB_TYPE=&amp;VAR:UNITS=M&amp;window=popup&amp;width=450&amp;height=300&amp;START_MAXIMIZED=FALSE"}</definedName>
    <definedName name="_1265__FDSAUDITLINK__" hidden="1">{"fdsup://IBCentral/FAT Viewer?action=UPDATE&amp;creator=factset&amp;DOC_NAME=fat:reuters_qtrly_source_window.fat&amp;display_string=Audit&amp;DYN_ARGS=TRUE&amp;VAR:ID1=85811910&amp;VAR:RCODE=LTLL&amp;VAR:SDATE=20081299&amp;VAR:FREQ=DAILY&amp;VAR:RELITEM=&amp;VAR:CURRENCY=&amp;VAR:CURRSOURCE=EXSHARE&amp;","VAR:NATFREQ=QUARTERLY&amp;VAR:RFIELD=FINALIZED&amp;VAR:DB_TYPE=&amp;VAR:UNITS=M&amp;window=popup&amp;width=450&amp;height=300&amp;START_MAXIMIZED=FALSE"}</definedName>
    <definedName name="_1266__FDSAUDITLINK__" hidden="1">{"fdsup://IBCentral/FAT Viewer?action=UPDATE&amp;creator=factset&amp;DOC_NAME=fat:reuters_qtrly_source_window.fat&amp;display_string=Audit&amp;DYN_ARGS=TRUE&amp;VAR:ID1=85811910&amp;VAR:RCODE=LTCL&amp;VAR:SDATE=20081299&amp;VAR:FREQ=DAILY&amp;VAR:RELITEM=&amp;VAR:CURRENCY=&amp;VAR:CURRSOURCE=EXSHARE&amp;","VAR:NATFREQ=QUARTERLY&amp;VAR:RFIELD=FINALIZED&amp;VAR:DB_TYPE=&amp;VAR:UNITS=M&amp;window=popup&amp;width=450&amp;height=300&amp;START_MAXIMIZED=FALSE"}</definedName>
    <definedName name="_1267__FDSAUDITLINK__" hidden="1">{"fdsup://IBCentral/FAT Viewer?action=UPDATE&amp;creator=factset&amp;DOC_NAME=fat:reuters_qtrly_source_window.fat&amp;display_string=Audit&amp;DYN_ARGS=TRUE&amp;VAR:ID1=85811910&amp;VAR:RCODE=ATCA&amp;VAR:SDATE=20081299&amp;VAR:FREQ=DAILY&amp;VAR:RELITEM=&amp;VAR:CURRENCY=&amp;VAR:CURRSOURCE=EXSHARE&amp;","VAR:NATFREQ=QUARTERLY&amp;VAR:RFIELD=FINALIZED&amp;VAR:DB_TYPE=&amp;VAR:UNITS=M&amp;window=popup&amp;width=450&amp;height=300&amp;START_MAXIMIZED=FALSE"}</definedName>
    <definedName name="_1268__FDSAUDITLINK__" hidden="1">{"fdsup://IBCentral/FAT Viewer?action=UPDATE&amp;creator=factset&amp;DOC_NAME=fat:reuters_qtrly_source_window.fat&amp;display_string=Audit&amp;DYN_ARGS=TRUE&amp;VAR:ID1=85811910&amp;VAR:RCODE=ATOT&amp;VAR:SDATE=20081299&amp;VAR:FREQ=DAILY&amp;VAR:RELITEM=&amp;VAR:CURRENCY=&amp;VAR:CURRSOURCE=EXSHARE&amp;","VAR:NATFREQ=QUARTERLY&amp;VAR:RFIELD=FINALIZED&amp;VAR:DB_TYPE=&amp;VAR:UNITS=M&amp;window=popup&amp;width=450&amp;height=300&amp;START_MAXIMIZED=FALSE"}</definedName>
    <definedName name="_1269__FDSAUDITLINK__" hidden="1">{"fdsup://IBCentral/FAT Viewer?action=UPDATE&amp;creator=factset&amp;DOC_NAME=fat:reuters_qtrly_source_window.fat&amp;display_string=Audit&amp;DYN_ARGS=TRUE&amp;VAR:ID1=78463510&amp;VAR:RCODE=LTLL&amp;VAR:SDATE=20081299&amp;VAR:FREQ=DAILY&amp;VAR:RELITEM=&amp;VAR:CURRENCY=&amp;VAR:CURRSOURCE=EXSHARE&amp;","VAR:NATFREQ=QUARTERLY&amp;VAR:RFIELD=FINALIZED&amp;VAR:DB_TYPE=&amp;VAR:UNITS=M&amp;window=popup&amp;width=450&amp;height=300&amp;START_MAXIMIZED=FALSE"}</definedName>
    <definedName name="_127__FDSAUDITLINK__" hidden="1">{"fdsup://Directions/FactSet Auditing Viewer?action=AUDIT_VALUE&amp;DB=129&amp;ID1=12561E10&amp;VALUEID=02999&amp;SDATE=201001&amp;PERIODTYPE=QTR_STD&amp;window=popup_no_bar&amp;width=385&amp;height=120&amp;START_MAXIMIZED=FALSE&amp;creator=factset&amp;display_string=Audit"}</definedName>
    <definedName name="_1270__FDSAUDITLINK__" hidden="1">{"fdsup://IBCentral/FAT Viewer?action=UPDATE&amp;creator=factset&amp;DOC_NAME=fat:reuters_qtrly_source_window.fat&amp;display_string=Audit&amp;DYN_ARGS=TRUE&amp;VAR:ID1=78463510&amp;VAR:RCODE=LTCL&amp;VAR:SDATE=20081299&amp;VAR:FREQ=DAILY&amp;VAR:RELITEM=&amp;VAR:CURRENCY=&amp;VAR:CURRSOURCE=EXSHARE&amp;","VAR:NATFREQ=QUARTERLY&amp;VAR:RFIELD=FINALIZED&amp;VAR:DB_TYPE=&amp;VAR:UNITS=M&amp;window=popup&amp;width=450&amp;height=300&amp;START_MAXIMIZED=FALSE"}</definedName>
    <definedName name="_1271__FDSAUDITLINK__" hidden="1">{"fdsup://IBCentral/FAT Viewer?action=UPDATE&amp;creator=factset&amp;DOC_NAME=fat:reuters_qtrly_source_window.fat&amp;display_string=Audit&amp;DYN_ARGS=TRUE&amp;VAR:ID1=78463510&amp;VAR:RCODE=ATCA&amp;VAR:SDATE=20081299&amp;VAR:FREQ=DAILY&amp;VAR:RELITEM=&amp;VAR:CURRENCY=&amp;VAR:CURRSOURCE=EXSHARE&amp;","VAR:NATFREQ=QUARTERLY&amp;VAR:RFIELD=FINALIZED&amp;VAR:DB_TYPE=&amp;VAR:UNITS=M&amp;window=popup&amp;width=450&amp;height=300&amp;START_MAXIMIZED=FALSE"}</definedName>
    <definedName name="_1272__FDSAUDITLINK__" hidden="1">{"fdsup://IBCentral/FAT Viewer?action=UPDATE&amp;creator=factset&amp;DOC_NAME=fat:reuters_qtrly_source_window.fat&amp;display_string=Audit&amp;DYN_ARGS=TRUE&amp;VAR:ID1=78463510&amp;VAR:RCODE=ATOT&amp;VAR:SDATE=20081299&amp;VAR:FREQ=DAILY&amp;VAR:RELITEM=&amp;VAR:CURRENCY=&amp;VAR:CURRSOURCE=EXSHARE&amp;","VAR:NATFREQ=QUARTERLY&amp;VAR:RFIELD=FINALIZED&amp;VAR:DB_TYPE=&amp;VAR:UNITS=M&amp;window=popup&amp;width=450&amp;height=300&amp;START_MAXIMIZED=FALSE"}</definedName>
    <definedName name="_1273__FDSAUDITLINK__" hidden="1">{"fdsup://IBCentral/FAT Viewer?action=UPDATE&amp;creator=factset&amp;DOC_NAME=fat:reuters_qtrly_source_window.fat&amp;display_string=Audit&amp;DYN_ARGS=TRUE&amp;VAR:ID1=85206110&amp;VAR:RCODE=LTLL&amp;VAR:SDATE=20081299&amp;VAR:FREQ=DAILY&amp;VAR:RELITEM=&amp;VAR:CURRENCY=&amp;VAR:CURRSOURCE=EXSHARE&amp;","VAR:NATFREQ=QUARTERLY&amp;VAR:RFIELD=FINALIZED&amp;VAR:DB_TYPE=&amp;VAR:UNITS=M&amp;window=popup&amp;width=450&amp;height=300&amp;START_MAXIMIZED=FALSE"}</definedName>
    <definedName name="_1274__FDSAUDITLINK__" hidden="1">{"fdsup://IBCentral/FAT Viewer?action=UPDATE&amp;creator=factset&amp;DOC_NAME=fat:reuters_qtrly_source_window.fat&amp;display_string=Audit&amp;DYN_ARGS=TRUE&amp;VAR:ID1=85206110&amp;VAR:RCODE=LTCL&amp;VAR:SDATE=20081299&amp;VAR:FREQ=DAILY&amp;VAR:RELITEM=&amp;VAR:CURRENCY=&amp;VAR:CURRSOURCE=EXSHARE&amp;","VAR:NATFREQ=QUARTERLY&amp;VAR:RFIELD=FINALIZED&amp;VAR:DB_TYPE=&amp;VAR:UNITS=M&amp;window=popup&amp;width=450&amp;height=300&amp;START_MAXIMIZED=FALSE"}</definedName>
    <definedName name="_1275__FDSAUDITLINK__" hidden="1">{"fdsup://IBCentral/FAT Viewer?action=UPDATE&amp;creator=factset&amp;DOC_NAME=fat:reuters_qtrly_source_window.fat&amp;display_string=Audit&amp;DYN_ARGS=TRUE&amp;VAR:ID1=85206110&amp;VAR:RCODE=ATCA&amp;VAR:SDATE=20081299&amp;VAR:FREQ=DAILY&amp;VAR:RELITEM=&amp;VAR:CURRENCY=&amp;VAR:CURRSOURCE=EXSHARE&amp;","VAR:NATFREQ=QUARTERLY&amp;VAR:RFIELD=FINALIZED&amp;VAR:DB_TYPE=&amp;VAR:UNITS=M&amp;window=popup&amp;width=450&amp;height=300&amp;START_MAXIMIZED=FALSE"}</definedName>
    <definedName name="_1276__FDSAUDITLINK__" hidden="1">{"fdsup://IBCentral/FAT Viewer?action=UPDATE&amp;creator=factset&amp;DOC_NAME=fat:reuters_qtrly_source_window.fat&amp;display_string=Audit&amp;DYN_ARGS=TRUE&amp;VAR:ID1=85206110&amp;VAR:RCODE=ATOT&amp;VAR:SDATE=20081299&amp;VAR:FREQ=DAILY&amp;VAR:RELITEM=&amp;VAR:CURRENCY=&amp;VAR:CURRSOURCE=EXSHARE&amp;","VAR:NATFREQ=QUARTERLY&amp;VAR:RFIELD=FINALIZED&amp;VAR:DB_TYPE=&amp;VAR:UNITS=M&amp;window=popup&amp;width=450&amp;height=300&amp;START_MAXIMIZED=FALSE"}</definedName>
    <definedName name="_1277__FDSAUDITLINK__" hidden="1">{"fdsup://IBCentral/FAT Viewer?action=UPDATE&amp;creator=factset&amp;DOC_NAME=fat:reuters_qtrly_source_window.fat&amp;display_string=Audit&amp;DYN_ARGS=TRUE&amp;VAR:ID1=84778810&amp;VAR:RCODE=LTLL&amp;VAR:SDATE=20081299&amp;VAR:FREQ=DAILY&amp;VAR:RELITEM=&amp;VAR:CURRENCY=&amp;VAR:CURRSOURCE=EXSHARE&amp;","VAR:NATFREQ=QUARTERLY&amp;VAR:RFIELD=FINALIZED&amp;VAR:DB_TYPE=&amp;VAR:UNITS=M&amp;window=popup&amp;width=450&amp;height=300&amp;START_MAXIMIZED=FALSE"}</definedName>
    <definedName name="_1278__FDSAUDITLINK__" hidden="1">{"fdsup://IBCentral/FAT Viewer?action=UPDATE&amp;creator=factset&amp;DOC_NAME=fat:reuters_qtrly_source_window.fat&amp;display_string=Audit&amp;DYN_ARGS=TRUE&amp;VAR:ID1=84778810&amp;VAR:RCODE=LTCL&amp;VAR:SDATE=20081299&amp;VAR:FREQ=DAILY&amp;VAR:RELITEM=&amp;VAR:CURRENCY=&amp;VAR:CURRSOURCE=EXSHARE&amp;","VAR:NATFREQ=QUARTERLY&amp;VAR:RFIELD=FINALIZED&amp;VAR:DB_TYPE=&amp;VAR:UNITS=M&amp;window=popup&amp;width=450&amp;height=300&amp;START_MAXIMIZED=FALSE"}</definedName>
    <definedName name="_1279__FDSAUDITLINK__" hidden="1">{"fdsup://IBCentral/FAT Viewer?action=UPDATE&amp;creator=factset&amp;DOC_NAME=fat:reuters_qtrly_source_window.fat&amp;display_string=Audit&amp;DYN_ARGS=TRUE&amp;VAR:ID1=84778810&amp;VAR:RCODE=ATCA&amp;VAR:SDATE=20081299&amp;VAR:FREQ=DAILY&amp;VAR:RELITEM=&amp;VAR:CURRENCY=&amp;VAR:CURRSOURCE=EXSHARE&amp;","VAR:NATFREQ=QUARTERLY&amp;VAR:RFIELD=FINALIZED&amp;VAR:DB_TYPE=&amp;VAR:UNITS=M&amp;window=popup&amp;width=450&amp;height=300&amp;START_MAXIMIZED=FALSE"}</definedName>
    <definedName name="_128__FDSAUDITLINK__" hidden="1">{"fdsup://Directions/FactSet Auditing Viewer?action=AUDIT_VALUE&amp;DB=129&amp;ID1=96949010&amp;VALUEID=02999&amp;SDATE=201001&amp;PERIODTYPE=QTR_STD&amp;window=popup_no_bar&amp;width=385&amp;height=120&amp;START_MAXIMIZED=FALSE&amp;creator=factset&amp;display_string=Audit"}</definedName>
    <definedName name="_1280__FDSAUDITLINK__" hidden="1">{"fdsup://IBCentral/FAT Viewer?action=UPDATE&amp;creator=factset&amp;DOC_NAME=fat:reuters_qtrly_source_window.fat&amp;display_string=Audit&amp;DYN_ARGS=TRUE&amp;VAR:ID1=84778810&amp;VAR:RCODE=ATOT&amp;VAR:SDATE=20081299&amp;VAR:FREQ=DAILY&amp;VAR:RELITEM=&amp;VAR:CURRENCY=&amp;VAR:CURRSOURCE=EXSHARE&amp;","VAR:NATFREQ=QUARTERLY&amp;VAR:RFIELD=FINALIZED&amp;VAR:DB_TYPE=&amp;VAR:UNITS=M&amp;window=popup&amp;width=450&amp;height=300&amp;START_MAXIMIZED=FALSE"}</definedName>
    <definedName name="_1281__FDSAUDITLINK__" hidden="1">{"fdsup://IBCentral/FAT Viewer?action=UPDATE&amp;creator=factset&amp;DOC_NAME=fat:reuters_qtrly_source_window.fat&amp;display_string=Audit&amp;DYN_ARGS=TRUE&amp;VAR:ID1=84546710&amp;VAR:RCODE=LTLL&amp;VAR:SDATE=20081299&amp;VAR:FREQ=DAILY&amp;VAR:RELITEM=&amp;VAR:CURRENCY=&amp;VAR:CURRSOURCE=EXSHARE&amp;","VAR:NATFREQ=QUARTERLY&amp;VAR:RFIELD=FINALIZED&amp;VAR:DB_TYPE=&amp;VAR:UNITS=M&amp;window=popup&amp;width=450&amp;height=300&amp;START_MAXIMIZED=FALSE"}</definedName>
    <definedName name="_1282__FDSAUDITLINK__" hidden="1">{"fdsup://IBCentral/FAT Viewer?action=UPDATE&amp;creator=factset&amp;DOC_NAME=fat:reuters_qtrly_source_window.fat&amp;display_string=Audit&amp;DYN_ARGS=TRUE&amp;VAR:ID1=84546710&amp;VAR:RCODE=LTCL&amp;VAR:SDATE=20081299&amp;VAR:FREQ=DAILY&amp;VAR:RELITEM=&amp;VAR:CURRENCY=&amp;VAR:CURRSOURCE=EXSHARE&amp;","VAR:NATFREQ=QUARTERLY&amp;VAR:RFIELD=FINALIZED&amp;VAR:DB_TYPE=&amp;VAR:UNITS=M&amp;window=popup&amp;width=450&amp;height=300&amp;START_MAXIMIZED=FALSE"}</definedName>
    <definedName name="_1283__FDSAUDITLINK__" hidden="1">{"fdsup://IBCentral/FAT Viewer?action=UPDATE&amp;creator=factset&amp;DOC_NAME=fat:reuters_qtrly_source_window.fat&amp;display_string=Audit&amp;DYN_ARGS=TRUE&amp;VAR:ID1=84546710&amp;VAR:RCODE=ATCA&amp;VAR:SDATE=20081299&amp;VAR:FREQ=DAILY&amp;VAR:RELITEM=&amp;VAR:CURRENCY=&amp;VAR:CURRSOURCE=EXSHARE&amp;","VAR:NATFREQ=QUARTERLY&amp;VAR:RFIELD=FINALIZED&amp;VAR:DB_TYPE=&amp;VAR:UNITS=M&amp;window=popup&amp;width=450&amp;height=300&amp;START_MAXIMIZED=FALSE"}</definedName>
    <definedName name="_1284__FDSAUDITLINK__" hidden="1">{"fdsup://IBCentral/FAT Viewer?action=UPDATE&amp;creator=factset&amp;DOC_NAME=fat:reuters_qtrly_source_window.fat&amp;display_string=Audit&amp;DYN_ARGS=TRUE&amp;VAR:ID1=84546710&amp;VAR:RCODE=ATOT&amp;VAR:SDATE=20081299&amp;VAR:FREQ=DAILY&amp;VAR:RELITEM=&amp;VAR:CURRENCY=&amp;VAR:CURRSOURCE=EXSHARE&amp;","VAR:NATFREQ=QUARTERLY&amp;VAR:RFIELD=FINALIZED&amp;VAR:DB_TYPE=&amp;VAR:UNITS=M&amp;window=popup&amp;width=450&amp;height=300&amp;START_MAXIMIZED=FALSE"}</definedName>
    <definedName name="_1285__FDSAUDITLINK__" hidden="1">{"fdsup://IBCentral/FAT Viewer?action=UPDATE&amp;creator=factset&amp;DOC_NAME=fat:reuters_qtrly_source_window.fat&amp;display_string=Audit&amp;DYN_ARGS=TRUE&amp;VAR:ID1=82028010&amp;VAR:RCODE=LTLL&amp;VAR:SDATE=20081199&amp;VAR:FREQ=DAILY&amp;VAR:RELITEM=&amp;VAR:CURRENCY=&amp;VAR:CURRSOURCE=EXSHARE&amp;","VAR:NATFREQ=QUARTERLY&amp;VAR:RFIELD=FINALIZED&amp;VAR:DB_TYPE=&amp;VAR:UNITS=M&amp;window=popup&amp;width=450&amp;height=300&amp;START_MAXIMIZED=FALSE"}</definedName>
    <definedName name="_1286__FDSAUDITLINK__" hidden="1">{"fdsup://IBCentral/FAT Viewer?action=UPDATE&amp;creator=factset&amp;DOC_NAME=fat:reuters_qtrly_source_window.fat&amp;display_string=Audit&amp;DYN_ARGS=TRUE&amp;VAR:ID1=82028010&amp;VAR:RCODE=LTCL&amp;VAR:SDATE=20081199&amp;VAR:FREQ=DAILY&amp;VAR:RELITEM=&amp;VAR:CURRENCY=&amp;VAR:CURRSOURCE=EXSHARE&amp;","VAR:NATFREQ=QUARTERLY&amp;VAR:RFIELD=FINALIZED&amp;VAR:DB_TYPE=&amp;VAR:UNITS=M&amp;window=popup&amp;width=450&amp;height=300&amp;START_MAXIMIZED=FALSE"}</definedName>
    <definedName name="_1287__FDSAUDITLINK__" hidden="1">{"fdsup://IBCentral/FAT Viewer?action=UPDATE&amp;creator=factset&amp;DOC_NAME=fat:reuters_qtrly_source_window.fat&amp;display_string=Audit&amp;DYN_ARGS=TRUE&amp;VAR:ID1=82028010&amp;VAR:RCODE=ATCA&amp;VAR:SDATE=20081199&amp;VAR:FREQ=DAILY&amp;VAR:RELITEM=&amp;VAR:CURRENCY=&amp;VAR:CURRSOURCE=EXSHARE&amp;","VAR:NATFREQ=QUARTERLY&amp;VAR:RFIELD=FINALIZED&amp;VAR:DB_TYPE=&amp;VAR:UNITS=M&amp;window=popup&amp;width=450&amp;height=300&amp;START_MAXIMIZED=FALSE"}</definedName>
    <definedName name="_1288__FDSAUDITLINK__" hidden="1">{"fdsup://IBCentral/FAT Viewer?action=UPDATE&amp;creator=factset&amp;DOC_NAME=fat:reuters_qtrly_source_window.fat&amp;display_string=Audit&amp;DYN_ARGS=TRUE&amp;VAR:ID1=82028010&amp;VAR:RCODE=ATOT&amp;VAR:SDATE=20081199&amp;VAR:FREQ=DAILY&amp;VAR:RELITEM=&amp;VAR:CURRENCY=&amp;VAR:CURRSOURCE=EXSHARE&amp;","VAR:NATFREQ=QUARTERLY&amp;VAR:RFIELD=FINALIZED&amp;VAR:DB_TYPE=&amp;VAR:UNITS=M&amp;window=popup&amp;width=450&amp;height=300&amp;START_MAXIMIZED=FALSE"}</definedName>
    <definedName name="_1289__FDSAUDITLINK__" hidden="1">{"fdsup://IBCentral/FAT Viewer?action=UPDATE&amp;creator=factset&amp;DOC_NAME=fat:reuters_qtrly_source_window.fat&amp;display_string=Audit&amp;DYN_ARGS=TRUE&amp;VAR:ID1=80706610&amp;VAR:RCODE=LTLL&amp;VAR:SDATE=20081199&amp;VAR:FREQ=DAILY&amp;VAR:RELITEM=&amp;VAR:CURRENCY=&amp;VAR:CURRSOURCE=EXSHARE&amp;","VAR:NATFREQ=QUARTERLY&amp;VAR:RFIELD=FINALIZED&amp;VAR:DB_TYPE=&amp;VAR:UNITS=M&amp;window=popup&amp;width=450&amp;height=300&amp;START_MAXIMIZED=FALSE"}</definedName>
    <definedName name="_129__FDSAUDITLINK__" hidden="1">{"fdsup://Directions/FactSet Auditing Viewer?action=AUDIT_VALUE&amp;DB=129&amp;ID1=18449610&amp;VALUEID=02999&amp;SDATE=201001&amp;PERIODTYPE=QTR_STD&amp;window=popup_no_bar&amp;width=385&amp;height=120&amp;START_MAXIMIZED=FALSE&amp;creator=factset&amp;display_string=Audit"}</definedName>
    <definedName name="_1290__FDSAUDITLINK__" hidden="1">{"fdsup://IBCentral/FAT Viewer?action=UPDATE&amp;creator=factset&amp;DOC_NAME=fat:reuters_qtrly_source_window.fat&amp;display_string=Audit&amp;DYN_ARGS=TRUE&amp;VAR:ID1=80706610&amp;VAR:RCODE=LTCL&amp;VAR:SDATE=20081199&amp;VAR:FREQ=DAILY&amp;VAR:RELITEM=&amp;VAR:CURRENCY=&amp;VAR:CURRSOURCE=EXSHARE&amp;","VAR:NATFREQ=QUARTERLY&amp;VAR:RFIELD=FINALIZED&amp;VAR:DB_TYPE=&amp;VAR:UNITS=M&amp;window=popup&amp;width=450&amp;height=300&amp;START_MAXIMIZED=FALSE"}</definedName>
    <definedName name="_1291__FDSAUDITLINK__" hidden="1">{"fdsup://IBCentral/FAT Viewer?action=UPDATE&amp;creator=factset&amp;DOC_NAME=fat:reuters_qtrly_source_window.fat&amp;display_string=Audit&amp;DYN_ARGS=TRUE&amp;VAR:ID1=80706610&amp;VAR:RCODE=ATCA&amp;VAR:SDATE=20081199&amp;VAR:FREQ=DAILY&amp;VAR:RELITEM=&amp;VAR:CURRENCY=&amp;VAR:CURRSOURCE=EXSHARE&amp;","VAR:NATFREQ=QUARTERLY&amp;VAR:RFIELD=FINALIZED&amp;VAR:DB_TYPE=&amp;VAR:UNITS=M&amp;window=popup&amp;width=450&amp;height=300&amp;START_MAXIMIZED=FALSE"}</definedName>
    <definedName name="_1292__FDSAUDITLINK__" hidden="1">{"fdsup://IBCentral/FAT Viewer?action=UPDATE&amp;creator=factset&amp;DOC_NAME=fat:reuters_qtrly_source_window.fat&amp;display_string=Audit&amp;DYN_ARGS=TRUE&amp;VAR:ID1=80706610&amp;VAR:RCODE=ATOT&amp;VAR:SDATE=20081199&amp;VAR:FREQ=DAILY&amp;VAR:RELITEM=&amp;VAR:CURRENCY=&amp;VAR:CURRSOURCE=EXSHARE&amp;","VAR:NATFREQ=QUARTERLY&amp;VAR:RFIELD=FINALIZED&amp;VAR:DB_TYPE=&amp;VAR:UNITS=M&amp;window=popup&amp;width=450&amp;height=300&amp;START_MAXIMIZED=FALSE"}</definedName>
    <definedName name="_1293__FDSAUDITLINK__" hidden="1">{"fdsup://IBCentral/FAT Viewer?action=UPDATE&amp;creator=factset&amp;DOC_NAME=fat:reuters_qtrly_source_window.fat&amp;display_string=Audit&amp;DYN_ARGS=TRUE&amp;VAR:ID1=69349H10&amp;VAR:RCODE=LTLL&amp;VAR:SDATE=20081299&amp;VAR:FREQ=DAILY&amp;VAR:RELITEM=&amp;VAR:CURRENCY=&amp;VAR:CURRSOURCE=EXSHARE&amp;","VAR:NATFREQ=QUARTERLY&amp;VAR:RFIELD=FINALIZED&amp;VAR:DB_TYPE=&amp;VAR:UNITS=M&amp;window=popup&amp;width=450&amp;height=300&amp;START_MAXIMIZED=FALSE"}</definedName>
    <definedName name="_1294__FDSAUDITLINK__" hidden="1">{"fdsup://IBCentral/FAT Viewer?action=UPDATE&amp;creator=factset&amp;DOC_NAME=fat:reuters_qtrly_source_window.fat&amp;display_string=Audit&amp;DYN_ARGS=TRUE&amp;VAR:ID1=69349H10&amp;VAR:RCODE=LTCL&amp;VAR:SDATE=20081299&amp;VAR:FREQ=DAILY&amp;VAR:RELITEM=&amp;VAR:CURRENCY=&amp;VAR:CURRSOURCE=EXSHARE&amp;","VAR:NATFREQ=QUARTERLY&amp;VAR:RFIELD=FINALIZED&amp;VAR:DB_TYPE=&amp;VAR:UNITS=M&amp;window=popup&amp;width=450&amp;height=300&amp;START_MAXIMIZED=FALSE"}</definedName>
    <definedName name="_1295__FDSAUDITLINK__" hidden="1">{"fdsup://IBCentral/FAT Viewer?action=UPDATE&amp;creator=factset&amp;DOC_NAME=fat:reuters_qtrly_source_window.fat&amp;display_string=Audit&amp;DYN_ARGS=TRUE&amp;VAR:ID1=69349H10&amp;VAR:RCODE=ATCA&amp;VAR:SDATE=20081299&amp;VAR:FREQ=DAILY&amp;VAR:RELITEM=&amp;VAR:CURRENCY=&amp;VAR:CURRSOURCE=EXSHARE&amp;","VAR:NATFREQ=QUARTERLY&amp;VAR:RFIELD=FINALIZED&amp;VAR:DB_TYPE=&amp;VAR:UNITS=M&amp;window=popup&amp;width=450&amp;height=300&amp;START_MAXIMIZED=FALSE"}</definedName>
    <definedName name="_1296__FDSAUDITLINK__" hidden="1">{"fdsup://IBCentral/FAT Viewer?action=UPDATE&amp;creator=factset&amp;DOC_NAME=fat:reuters_qtrly_source_window.fat&amp;display_string=Audit&amp;DYN_ARGS=TRUE&amp;VAR:ID1=69349H10&amp;VAR:RCODE=ATOT&amp;VAR:SDATE=20081299&amp;VAR:FREQ=DAILY&amp;VAR:RELITEM=&amp;VAR:CURRENCY=&amp;VAR:CURRSOURCE=EXSHARE&amp;","VAR:NATFREQ=QUARTERLY&amp;VAR:RFIELD=FINALIZED&amp;VAR:DB_TYPE=&amp;VAR:UNITS=M&amp;window=popup&amp;width=450&amp;height=300&amp;START_MAXIMIZED=FALSE"}</definedName>
    <definedName name="_1297__FDSAUDITLINK__" hidden="1">{"fdsup://IBCentral/FAT Viewer?action=UPDATE&amp;creator=factset&amp;DOC_NAME=fat:reuters_qtrly_source_window.fat&amp;display_string=Audit&amp;DYN_ARGS=TRUE&amp;VAR:ID1=71404610&amp;VAR:RCODE=LTLL&amp;VAR:SDATE=20081299&amp;VAR:FREQ=DAILY&amp;VAR:RELITEM=&amp;VAR:CURRENCY=&amp;VAR:CURRSOURCE=EXSHARE&amp;","VAR:NATFREQ=QUARTERLY&amp;VAR:RFIELD=FINALIZED&amp;VAR:DB_TYPE=&amp;VAR:UNITS=M&amp;window=popup&amp;width=450&amp;height=300&amp;START_MAXIMIZED=FALSE"}</definedName>
    <definedName name="_1298__FDSAUDITLINK__" hidden="1">{"fdsup://IBCentral/FAT Viewer?action=UPDATE&amp;creator=factset&amp;DOC_NAME=fat:reuters_qtrly_source_window.fat&amp;display_string=Audit&amp;DYN_ARGS=TRUE&amp;VAR:ID1=71404610&amp;VAR:RCODE=LTCL&amp;VAR:SDATE=20081299&amp;VAR:FREQ=DAILY&amp;VAR:RELITEM=&amp;VAR:CURRENCY=&amp;VAR:CURRSOURCE=EXSHARE&amp;","VAR:NATFREQ=QUARTERLY&amp;VAR:RFIELD=FINALIZED&amp;VAR:DB_TYPE=&amp;VAR:UNITS=M&amp;window=popup&amp;width=450&amp;height=300&amp;START_MAXIMIZED=FALSE"}</definedName>
    <definedName name="_1299__FDSAUDITLINK__" hidden="1">{"fdsup://IBCentral/FAT Viewer?action=UPDATE&amp;creator=factset&amp;DOC_NAME=fat:reuters_qtrly_source_window.fat&amp;display_string=Audit&amp;DYN_ARGS=TRUE&amp;VAR:ID1=71404610&amp;VAR:RCODE=ATCA&amp;VAR:SDATE=20081299&amp;VAR:FREQ=DAILY&amp;VAR:RELITEM=&amp;VAR:CURRENCY=&amp;VAR:CURRSOURCE=EXSHARE&amp;","VAR:NATFREQ=QUARTERLY&amp;VAR:RFIELD=FINALIZED&amp;VAR:DB_TYPE=&amp;VAR:UNITS=M&amp;window=popup&amp;width=450&amp;height=300&amp;START_MAXIMIZED=FALSE"}</definedName>
    <definedName name="_13__FDSAUDITLINK__" hidden="1">{"fdsup://Directions/FactSet Auditing Viewer?action=AUDIT_VALUE&amp;DB=129&amp;ID1=80660510&amp;VALUEID=02999&amp;SDATE=200903&amp;PERIODTYPE=QTR_STD&amp;window=popup_no_bar&amp;width=385&amp;height=120&amp;START_MAXIMIZED=FALSE&amp;creator=factset&amp;display_string=Audit"}</definedName>
    <definedName name="_130__FDSAUDITLINK__" hidden="1">{"fdsup://Directions/FactSet Auditing Viewer?action=AUDIT_VALUE&amp;DB=129&amp;ID1=18538R10&amp;VALUEID=02999&amp;SDATE=201001&amp;PERIODTYPE=QTR_STD&amp;window=popup_no_bar&amp;width=385&amp;height=120&amp;START_MAXIMIZED=FALSE&amp;creator=factset&amp;display_string=Audit"}</definedName>
    <definedName name="_1300__FDSAUDITLINK__" hidden="1">{"fdsup://IBCentral/FAT Viewer?action=UPDATE&amp;creator=factset&amp;DOC_NAME=fat:reuters_qtrly_source_window.fat&amp;display_string=Audit&amp;DYN_ARGS=TRUE&amp;VAR:ID1=71404610&amp;VAR:RCODE=ATOT&amp;VAR:SDATE=20081299&amp;VAR:FREQ=DAILY&amp;VAR:RELITEM=&amp;VAR:CURRENCY=&amp;VAR:CURRSOURCE=EXSHARE&amp;","VAR:NATFREQ=QUARTERLY&amp;VAR:RFIELD=FINALIZED&amp;VAR:DB_TYPE=&amp;VAR:UNITS=M&amp;window=popup&amp;width=450&amp;height=300&amp;START_MAXIMIZED=FALSE"}</definedName>
    <definedName name="_1301__FDSAUDITLINK__" hidden="1">{"fdsup://IBCentral/FAT Viewer?action=UPDATE&amp;creator=factset&amp;DOC_NAME=fat:reuters_qtrly_source_window.fat&amp;display_string=Audit&amp;DYN_ARGS=TRUE&amp;VAR:ID1=69073210&amp;VAR:RCODE=LTLL&amp;VAR:SDATE=20081299&amp;VAR:FREQ=DAILY&amp;VAR:RELITEM=&amp;VAR:CURRENCY=&amp;VAR:CURRSOURCE=EXSHARE&amp;","VAR:NATFREQ=QUARTERLY&amp;VAR:RFIELD=FINALIZED&amp;VAR:DB_TYPE=&amp;VAR:UNITS=M&amp;window=popup&amp;width=450&amp;height=300&amp;START_MAXIMIZED=FALSE"}</definedName>
    <definedName name="_1302__FDSAUDITLINK__" hidden="1">{"fdsup://IBCentral/FAT Viewer?action=UPDATE&amp;creator=factset&amp;DOC_NAME=fat:reuters_qtrly_source_window.fat&amp;display_string=Audit&amp;DYN_ARGS=TRUE&amp;VAR:ID1=69073210&amp;VAR:RCODE=LTCL&amp;VAR:SDATE=20081299&amp;VAR:FREQ=DAILY&amp;VAR:RELITEM=&amp;VAR:CURRENCY=&amp;VAR:CURRSOURCE=EXSHARE&amp;","VAR:NATFREQ=QUARTERLY&amp;VAR:RFIELD=FINALIZED&amp;VAR:DB_TYPE=&amp;VAR:UNITS=M&amp;window=popup&amp;width=450&amp;height=300&amp;START_MAXIMIZED=FALSE"}</definedName>
    <definedName name="_1303__FDSAUDITLINK__" hidden="1">{"fdsup://IBCentral/FAT Viewer?action=UPDATE&amp;creator=factset&amp;DOC_NAME=fat:reuters_qtrly_source_window.fat&amp;display_string=Audit&amp;DYN_ARGS=TRUE&amp;VAR:ID1=69073210&amp;VAR:RCODE=ATCA&amp;VAR:SDATE=20081299&amp;VAR:FREQ=DAILY&amp;VAR:RELITEM=&amp;VAR:CURRENCY=&amp;VAR:CURRSOURCE=EXSHARE&amp;","VAR:NATFREQ=QUARTERLY&amp;VAR:RFIELD=FINALIZED&amp;VAR:DB_TYPE=&amp;VAR:UNITS=M&amp;window=popup&amp;width=450&amp;height=300&amp;START_MAXIMIZED=FALSE"}</definedName>
    <definedName name="_1304__FDSAUDITLINK__" hidden="1">{"fdsup://IBCentral/FAT Viewer?action=UPDATE&amp;creator=factset&amp;DOC_NAME=fat:reuters_qtrly_source_window.fat&amp;display_string=Audit&amp;DYN_ARGS=TRUE&amp;VAR:ID1=69073210&amp;VAR:RCODE=ATOT&amp;VAR:SDATE=20081299&amp;VAR:FREQ=DAILY&amp;VAR:RELITEM=&amp;VAR:CURRENCY=&amp;VAR:CURRSOURCE=EXSHARE&amp;","VAR:NATFREQ=QUARTERLY&amp;VAR:RFIELD=FINALIZED&amp;VAR:DB_TYPE=&amp;VAR:UNITS=M&amp;window=popup&amp;width=450&amp;height=300&amp;START_MAXIMIZED=FALSE"}</definedName>
    <definedName name="_1305__FDSAUDITLINK__" hidden="1">{"fdsup://IBCentral/FAT Viewer?action=UPDATE&amp;creator=factset&amp;DOC_NAME=fat:reuters_qtrly_source_window.fat&amp;display_string=Audit&amp;DYN_ARGS=TRUE&amp;VAR:ID1=68556410&amp;VAR:RCODE=LTLL&amp;VAR:SDATE=20081299&amp;VAR:FREQ=DAILY&amp;VAR:RELITEM=&amp;VAR:CURRENCY=&amp;VAR:CURRSOURCE=EXSHARE&amp;","VAR:NATFREQ=QUARTERLY&amp;VAR:RFIELD=FINALIZED&amp;VAR:DB_TYPE=&amp;VAR:UNITS=M&amp;window=popup&amp;width=450&amp;height=300&amp;START_MAXIMIZED=FALSE"}</definedName>
    <definedName name="_1306__FDSAUDITLINK__" hidden="1">{"fdsup://IBCentral/FAT Viewer?action=UPDATE&amp;creator=factset&amp;DOC_NAME=fat:reuters_qtrly_source_window.fat&amp;display_string=Audit&amp;DYN_ARGS=TRUE&amp;VAR:ID1=68556410&amp;VAR:RCODE=LTCL&amp;VAR:SDATE=20081299&amp;VAR:FREQ=DAILY&amp;VAR:RELITEM=&amp;VAR:CURRENCY=&amp;VAR:CURRSOURCE=EXSHARE&amp;","VAR:NATFREQ=QUARTERLY&amp;VAR:RFIELD=FINALIZED&amp;VAR:DB_TYPE=&amp;VAR:UNITS=M&amp;window=popup&amp;width=450&amp;height=300&amp;START_MAXIMIZED=FALSE"}</definedName>
    <definedName name="_1307__FDSAUDITLINK__" hidden="1">{"fdsup://IBCentral/FAT Viewer?action=UPDATE&amp;creator=factset&amp;DOC_NAME=fat:reuters_qtrly_source_window.fat&amp;display_string=Audit&amp;DYN_ARGS=TRUE&amp;VAR:ID1=68556410&amp;VAR:RCODE=ATCA&amp;VAR:SDATE=20081299&amp;VAR:FREQ=DAILY&amp;VAR:RELITEM=&amp;VAR:CURRENCY=&amp;VAR:CURRSOURCE=EXSHARE&amp;","VAR:NATFREQ=QUARTERLY&amp;VAR:RFIELD=FINALIZED&amp;VAR:DB_TYPE=&amp;VAR:UNITS=M&amp;window=popup&amp;width=450&amp;height=300&amp;START_MAXIMIZED=FALSE"}</definedName>
    <definedName name="_1308__FDSAUDITLINK__" hidden="1">{"fdsup://IBCentral/FAT Viewer?action=UPDATE&amp;creator=factset&amp;DOC_NAME=fat:reuters_qtrly_source_window.fat&amp;display_string=Audit&amp;DYN_ARGS=TRUE&amp;VAR:ID1=68556410&amp;VAR:RCODE=ATOT&amp;VAR:SDATE=20081299&amp;VAR:FREQ=DAILY&amp;VAR:RELITEM=&amp;VAR:CURRENCY=&amp;VAR:CURRSOURCE=EXSHARE&amp;","VAR:NATFREQ=QUARTERLY&amp;VAR:RFIELD=FINALIZED&amp;VAR:DB_TYPE=&amp;VAR:UNITS=M&amp;window=popup&amp;width=450&amp;height=300&amp;START_MAXIMIZED=FALSE"}</definedName>
    <definedName name="_1309__FDSAUDITLINK__" hidden="1">{"fdsup://IBCentral/FAT Viewer?action=UPDATE&amp;creator=factset&amp;DOC_NAME=fat:reuters_qtrly_source_window.fat&amp;display_string=Audit&amp;DYN_ARGS=TRUE&amp;VAR:ID1=60107310&amp;VAR:RCODE=LTLL&amp;VAR:SDATE=20081299&amp;VAR:FREQ=DAILY&amp;VAR:RELITEM=&amp;VAR:CURRENCY=&amp;VAR:CURRSOURCE=EXSHARE&amp;","VAR:NATFREQ=QUARTERLY&amp;VAR:RFIELD=FINALIZED&amp;VAR:DB_TYPE=&amp;VAR:UNITS=M&amp;window=popup&amp;width=450&amp;height=300&amp;START_MAXIMIZED=FALSE"}</definedName>
    <definedName name="_131__FDSAUDITLINK__" hidden="1">{"fdsup://Directions/FactSet Auditing Viewer?action=AUDIT_VALUE&amp;DB=129&amp;ID1=18538Q10&amp;VALUEID=02999&amp;SDATE=201001&amp;PERIODTYPE=QTR_STD&amp;window=popup_no_bar&amp;width=385&amp;height=120&amp;START_MAXIMIZED=FALSE&amp;creator=factset&amp;display_string=Audit"}</definedName>
    <definedName name="_1310__FDSAUDITLINK__" hidden="1">{"fdsup://IBCentral/FAT Viewer?action=UPDATE&amp;creator=factset&amp;DOC_NAME=fat:reuters_qtrly_source_window.fat&amp;display_string=Audit&amp;DYN_ARGS=TRUE&amp;VAR:ID1=60107310&amp;VAR:RCODE=LTCL&amp;VAR:SDATE=20081299&amp;VAR:FREQ=DAILY&amp;VAR:RELITEM=&amp;VAR:CURRENCY=&amp;VAR:CURRSOURCE=EXSHARE&amp;","VAR:NATFREQ=QUARTERLY&amp;VAR:RFIELD=FINALIZED&amp;VAR:DB_TYPE=&amp;VAR:UNITS=M&amp;window=popup&amp;width=450&amp;height=300&amp;START_MAXIMIZED=FALSE"}</definedName>
    <definedName name="_1311__FDSAUDITLINK__" hidden="1">{"fdsup://IBCentral/FAT Viewer?action=UPDATE&amp;creator=factset&amp;DOC_NAME=fat:reuters_qtrly_source_window.fat&amp;display_string=Audit&amp;DYN_ARGS=TRUE&amp;VAR:ID1=60107310&amp;VAR:RCODE=ATCA&amp;VAR:SDATE=20081299&amp;VAR:FREQ=DAILY&amp;VAR:RELITEM=&amp;VAR:CURRENCY=&amp;VAR:CURRSOURCE=EXSHARE&amp;","VAR:NATFREQ=QUARTERLY&amp;VAR:RFIELD=FINALIZED&amp;VAR:DB_TYPE=&amp;VAR:UNITS=M&amp;window=popup&amp;width=450&amp;height=300&amp;START_MAXIMIZED=FALSE"}</definedName>
    <definedName name="_1312__FDSAUDITLINK__" hidden="1">{"fdsup://IBCentral/FAT Viewer?action=UPDATE&amp;creator=factset&amp;DOC_NAME=fat:reuters_qtrly_source_window.fat&amp;display_string=Audit&amp;DYN_ARGS=TRUE&amp;VAR:ID1=60107310&amp;VAR:RCODE=ATOT&amp;VAR:SDATE=20081299&amp;VAR:FREQ=DAILY&amp;VAR:RELITEM=&amp;VAR:CURRENCY=&amp;VAR:CURRSOURCE=EXSHARE&amp;","VAR:NATFREQ=QUARTERLY&amp;VAR:RFIELD=FINALIZED&amp;VAR:DB_TYPE=&amp;VAR:UNITS=M&amp;window=popup&amp;width=450&amp;height=300&amp;START_MAXIMIZED=FALSE"}</definedName>
    <definedName name="_1313__FDSAUDITLINK__" hidden="1">{"fdsup://IBCentral/FAT Viewer?action=UPDATE&amp;creator=factset&amp;DOC_NAME=fat:reuters_qtrly_source_window.fat&amp;display_string=Audit&amp;DYN_ARGS=TRUE&amp;VAR:ID1=53932010&amp;VAR:RCODE=LTLL&amp;VAR:SDATE=20081299&amp;VAR:FREQ=DAILY&amp;VAR:RELITEM=&amp;VAR:CURRENCY=&amp;VAR:CURRSOURCE=EXSHARE&amp;","VAR:NATFREQ=QUARTERLY&amp;VAR:RFIELD=FINALIZED&amp;VAR:DB_TYPE=&amp;VAR:UNITS=M&amp;window=popup&amp;width=450&amp;height=300&amp;START_MAXIMIZED=FALSE"}</definedName>
    <definedName name="_1314__FDSAUDITLINK__" hidden="1">{"fdsup://IBCentral/FAT Viewer?action=UPDATE&amp;creator=factset&amp;DOC_NAME=fat:reuters_qtrly_source_window.fat&amp;display_string=Audit&amp;DYN_ARGS=TRUE&amp;VAR:ID1=53932010&amp;VAR:RCODE=LTCL&amp;VAR:SDATE=20081299&amp;VAR:FREQ=DAILY&amp;VAR:RELITEM=&amp;VAR:CURRENCY=&amp;VAR:CURRSOURCE=EXSHARE&amp;","VAR:NATFREQ=QUARTERLY&amp;VAR:RFIELD=FINALIZED&amp;VAR:DB_TYPE=&amp;VAR:UNITS=M&amp;window=popup&amp;width=450&amp;height=300&amp;START_MAXIMIZED=FALSE"}</definedName>
    <definedName name="_1315__FDSAUDITLINK__" hidden="1">{"fdsup://IBCentral/FAT Viewer?action=UPDATE&amp;creator=factset&amp;DOC_NAME=fat:reuters_qtrly_source_window.fat&amp;display_string=Audit&amp;DYN_ARGS=TRUE&amp;VAR:ID1=53932010&amp;VAR:RCODE=ATCA&amp;VAR:SDATE=20081299&amp;VAR:FREQ=DAILY&amp;VAR:RELITEM=&amp;VAR:CURRENCY=&amp;VAR:CURRSOURCE=EXSHARE&amp;","VAR:NATFREQ=QUARTERLY&amp;VAR:RFIELD=FINALIZED&amp;VAR:DB_TYPE=&amp;VAR:UNITS=M&amp;window=popup&amp;width=450&amp;height=300&amp;START_MAXIMIZED=FALSE"}</definedName>
    <definedName name="_1316__FDSAUDITLINK__" hidden="1">{"fdsup://IBCentral/FAT Viewer?action=UPDATE&amp;creator=factset&amp;DOC_NAME=fat:reuters_qtrly_source_window.fat&amp;display_string=Audit&amp;DYN_ARGS=TRUE&amp;VAR:ID1=53932010&amp;VAR:RCODE=ATOT&amp;VAR:SDATE=20081299&amp;VAR:FREQ=DAILY&amp;VAR:RELITEM=&amp;VAR:CURRENCY=&amp;VAR:CURRSOURCE=EXSHARE&amp;","VAR:NATFREQ=QUARTERLY&amp;VAR:RFIELD=FINALIZED&amp;VAR:DB_TYPE=&amp;VAR:UNITS=M&amp;window=popup&amp;width=450&amp;height=300&amp;START_MAXIMIZED=FALSE"}</definedName>
    <definedName name="_1317__FDSAUDITLINK__" hidden="1">{"fdsup://IBCentral/FAT Viewer?action=UPDATE&amp;creator=factset&amp;DOC_NAME=fat:reuters_qtrly_source_window.fat&amp;display_string=Audit&amp;DYN_ARGS=TRUE&amp;VAR:ID1=53217V10&amp;VAR:RCODE=LTLL&amp;VAR:SDATE=20081299&amp;VAR:FREQ=DAILY&amp;VAR:RELITEM=&amp;VAR:CURRENCY=&amp;VAR:CURRSOURCE=EXSHARE&amp;","VAR:NATFREQ=QUARTERLY&amp;VAR:RFIELD=FINALIZED&amp;VAR:DB_TYPE=&amp;VAR:UNITS=M&amp;window=popup&amp;width=450&amp;height=300&amp;START_MAXIMIZED=FALSE"}</definedName>
    <definedName name="_1318__FDSAUDITLINK__" hidden="1">{"fdsup://IBCentral/FAT Viewer?action=UPDATE&amp;creator=factset&amp;DOC_NAME=fat:reuters_qtrly_source_window.fat&amp;display_string=Audit&amp;DYN_ARGS=TRUE&amp;VAR:ID1=53217V10&amp;VAR:RCODE=LTCL&amp;VAR:SDATE=20081299&amp;VAR:FREQ=DAILY&amp;VAR:RELITEM=&amp;VAR:CURRENCY=&amp;VAR:CURRSOURCE=EXSHARE&amp;","VAR:NATFREQ=QUARTERLY&amp;VAR:RFIELD=FINALIZED&amp;VAR:DB_TYPE=&amp;VAR:UNITS=M&amp;window=popup&amp;width=450&amp;height=300&amp;START_MAXIMIZED=FALSE"}</definedName>
    <definedName name="_1319__FDSAUDITLINK__" hidden="1">{"fdsup://IBCentral/FAT Viewer?action=UPDATE&amp;creator=factset&amp;DOC_NAME=fat:reuters_qtrly_source_window.fat&amp;display_string=Audit&amp;DYN_ARGS=TRUE&amp;VAR:ID1=53217V10&amp;VAR:RCODE=ATCA&amp;VAR:SDATE=20081299&amp;VAR:FREQ=DAILY&amp;VAR:RELITEM=&amp;VAR:CURRENCY=&amp;VAR:CURRSOURCE=EXSHARE&amp;","VAR:NATFREQ=QUARTERLY&amp;VAR:RFIELD=FINALIZED&amp;VAR:DB_TYPE=&amp;VAR:UNITS=M&amp;window=popup&amp;width=450&amp;height=300&amp;START_MAXIMIZED=FALSE"}</definedName>
    <definedName name="_132__FDSAUDITLINK__" hidden="1">{"fdsup://Directions/FactSet Auditing Viewer?action=AUDIT_VALUE&amp;DB=129&amp;ID1=18683K10&amp;VALUEID=02999&amp;SDATE=201001&amp;PERIODTYPE=QTR_STD&amp;window=popup_no_bar&amp;width=385&amp;height=120&amp;START_MAXIMIZED=FALSE&amp;creator=factset&amp;display_string=Audit"}</definedName>
    <definedName name="_1320__FDSAUDITLINK__" hidden="1">{"fdsup://IBCentral/FAT Viewer?action=UPDATE&amp;creator=factset&amp;DOC_NAME=fat:reuters_qtrly_source_window.fat&amp;display_string=Audit&amp;DYN_ARGS=TRUE&amp;VAR:ID1=53217V10&amp;VAR:RCODE=ATOT&amp;VAR:SDATE=20081299&amp;VAR:FREQ=DAILY&amp;VAR:RELITEM=&amp;VAR:CURRENCY=&amp;VAR:CURRSOURCE=EXSHARE&amp;","VAR:NATFREQ=QUARTERLY&amp;VAR:RFIELD=FINALIZED&amp;VAR:DB_TYPE=&amp;VAR:UNITS=M&amp;window=popup&amp;width=450&amp;height=300&amp;START_MAXIMIZED=FALSE"}</definedName>
    <definedName name="_1321__FDSAUDITLINK__" hidden="1">{"fdsup://IBCentral/FAT Viewer?action=UPDATE&amp;creator=factset&amp;DOC_NAME=fat:reuters_qtrly_source_window.fat&amp;display_string=Audit&amp;DYN_ARGS=TRUE&amp;VAR:ID1=52728810&amp;VAR:RCODE=LTLL&amp;VAR:SDATE=20081299&amp;VAR:FREQ=DAILY&amp;VAR:RELITEM=&amp;VAR:CURRENCY=&amp;VAR:CURRSOURCE=EXSHARE&amp;","VAR:NATFREQ=QUARTERLY&amp;VAR:RFIELD=FINALIZED&amp;VAR:DB_TYPE=&amp;VAR:UNITS=M&amp;window=popup&amp;width=450&amp;height=300&amp;START_MAXIMIZED=FALSE"}</definedName>
    <definedName name="_1322__FDSAUDITLINK__" hidden="1">{"fdsup://IBCentral/FAT Viewer?action=UPDATE&amp;creator=factset&amp;DOC_NAME=fat:reuters_qtrly_source_window.fat&amp;display_string=Audit&amp;DYN_ARGS=TRUE&amp;VAR:ID1=52728810&amp;VAR:RCODE=LTCL&amp;VAR:SDATE=20081299&amp;VAR:FREQ=DAILY&amp;VAR:RELITEM=&amp;VAR:CURRENCY=&amp;VAR:CURRSOURCE=EXSHARE&amp;","VAR:NATFREQ=QUARTERLY&amp;VAR:RFIELD=FINALIZED&amp;VAR:DB_TYPE=&amp;VAR:UNITS=M&amp;window=popup&amp;width=450&amp;height=300&amp;START_MAXIMIZED=FALSE"}</definedName>
    <definedName name="_1323__FDSAUDITLINK__" hidden="1">{"fdsup://IBCentral/FAT Viewer?action=UPDATE&amp;creator=factset&amp;DOC_NAME=fat:reuters_qtrly_source_window.fat&amp;display_string=Audit&amp;DYN_ARGS=TRUE&amp;VAR:ID1=52728810&amp;VAR:RCODE=ATCA&amp;VAR:SDATE=20081299&amp;VAR:FREQ=DAILY&amp;VAR:RELITEM=&amp;VAR:CURRENCY=&amp;VAR:CURRSOURCE=EXSHARE&amp;","VAR:NATFREQ=QUARTERLY&amp;VAR:RFIELD=FINALIZED&amp;VAR:DB_TYPE=&amp;VAR:UNITS=M&amp;window=popup&amp;width=450&amp;height=300&amp;START_MAXIMIZED=FALSE"}</definedName>
    <definedName name="_1324__FDSAUDITLINK__" hidden="1">{"fdsup://IBCentral/FAT Viewer?action=UPDATE&amp;creator=factset&amp;DOC_NAME=fat:reuters_qtrly_source_window.fat&amp;display_string=Audit&amp;DYN_ARGS=TRUE&amp;VAR:ID1=52728810&amp;VAR:RCODE=ATOT&amp;VAR:SDATE=20081299&amp;VAR:FREQ=DAILY&amp;VAR:RELITEM=&amp;VAR:CURRENCY=&amp;VAR:CURRSOURCE=EXSHARE&amp;","VAR:NATFREQ=QUARTERLY&amp;VAR:RFIELD=FINALIZED&amp;VAR:DB_TYPE=&amp;VAR:UNITS=M&amp;window=popup&amp;width=450&amp;height=300&amp;START_MAXIMIZED=FALSE"}</definedName>
    <definedName name="_1325__FDSAUDITLINK__" hidden="1">{"fdsup://IBCentral/FAT Viewer?action=UPDATE&amp;creator=factset&amp;DOC_NAME=fat:reuters_qtrly_source_window.fat&amp;display_string=Audit&amp;DYN_ARGS=TRUE&amp;VAR:ID1=52602E10&amp;VAR:RCODE=LTLL&amp;VAR:SDATE=20081299&amp;VAR:FREQ=DAILY&amp;VAR:RELITEM=&amp;VAR:CURRENCY=&amp;VAR:CURRSOURCE=EXSHARE&amp;","VAR:NATFREQ=QUARTERLY&amp;VAR:RFIELD=FINALIZED&amp;VAR:DB_TYPE=&amp;VAR:UNITS=M&amp;window=popup&amp;width=450&amp;height=300&amp;START_MAXIMIZED=FALSE"}</definedName>
    <definedName name="_1326__FDSAUDITLINK__" hidden="1">{"fdsup://IBCentral/FAT Viewer?action=UPDATE&amp;creator=factset&amp;DOC_NAME=fat:reuters_qtrly_source_window.fat&amp;display_string=Audit&amp;DYN_ARGS=TRUE&amp;VAR:ID1=52602E10&amp;VAR:RCODE=LTCL&amp;VAR:SDATE=20081299&amp;VAR:FREQ=DAILY&amp;VAR:RELITEM=&amp;VAR:CURRENCY=&amp;VAR:CURRSOURCE=EXSHARE&amp;","VAR:NATFREQ=QUARTERLY&amp;VAR:RFIELD=FINALIZED&amp;VAR:DB_TYPE=&amp;VAR:UNITS=M&amp;window=popup&amp;width=450&amp;height=300&amp;START_MAXIMIZED=FALSE"}</definedName>
    <definedName name="_1327__FDSAUDITLINK__" hidden="1">{"fdsup://IBCentral/FAT Viewer?action=UPDATE&amp;creator=factset&amp;DOC_NAME=fat:reuters_qtrly_source_window.fat&amp;display_string=Audit&amp;DYN_ARGS=TRUE&amp;VAR:ID1=52602E10&amp;VAR:RCODE=ATCA&amp;VAR:SDATE=20081299&amp;VAR:FREQ=DAILY&amp;VAR:RELITEM=&amp;VAR:CURRENCY=&amp;VAR:CURRSOURCE=EXSHARE&amp;","VAR:NATFREQ=QUARTERLY&amp;VAR:RFIELD=FINALIZED&amp;VAR:DB_TYPE=&amp;VAR:UNITS=M&amp;window=popup&amp;width=450&amp;height=300&amp;START_MAXIMIZED=FALSE"}</definedName>
    <definedName name="_1328__FDSAUDITLINK__" hidden="1">{"fdsup://IBCentral/FAT Viewer?action=UPDATE&amp;creator=factset&amp;DOC_NAME=fat:reuters_qtrly_source_window.fat&amp;display_string=Audit&amp;DYN_ARGS=TRUE&amp;VAR:ID1=52602E10&amp;VAR:RCODE=ATOT&amp;VAR:SDATE=20081299&amp;VAR:FREQ=DAILY&amp;VAR:RELITEM=&amp;VAR:CURRENCY=&amp;VAR:CURRSOURCE=EXSHARE&amp;","VAR:NATFREQ=QUARTERLY&amp;VAR:RFIELD=FINALIZED&amp;VAR:DB_TYPE=&amp;VAR:UNITS=M&amp;window=popup&amp;width=450&amp;height=300&amp;START_MAXIMIZED=FALSE"}</definedName>
    <definedName name="_1329__FDSAUDITLINK__" hidden="1">{"fdsup://IBCentral/FAT Viewer?action=UPDATE&amp;creator=factset&amp;DOC_NAME=fat:reuters_qtrly_source_window.fat&amp;display_string=Audit&amp;DYN_ARGS=TRUE&amp;VAR:ID1=48007410&amp;VAR:RCODE=LTLL&amp;VAR:SDATE=20081299&amp;VAR:FREQ=DAILY&amp;VAR:RELITEM=&amp;VAR:CURRENCY=&amp;VAR:CURRSOURCE=EXSHARE&amp;","VAR:NATFREQ=QUARTERLY&amp;VAR:RFIELD=FINALIZED&amp;VAR:DB_TYPE=&amp;VAR:UNITS=M&amp;window=popup&amp;width=450&amp;height=300&amp;START_MAXIMIZED=FALSE"}</definedName>
    <definedName name="_133__FDSAUDITLINK__" hidden="1">{"fdsup://Directions/FactSet Auditing Viewer?action=AUDIT_VALUE&amp;DB=129&amp;ID1=18905410&amp;VALUEID=02999&amp;SDATE=201003&amp;PERIODTYPE=QTR_STD&amp;window=popup_no_bar&amp;width=385&amp;height=120&amp;START_MAXIMIZED=FALSE&amp;creator=factset&amp;display_string=Audit"}</definedName>
    <definedName name="_1330__FDSAUDITLINK__" hidden="1">{"fdsup://IBCentral/FAT Viewer?action=UPDATE&amp;creator=factset&amp;DOC_NAME=fat:reuters_qtrly_source_window.fat&amp;display_string=Audit&amp;DYN_ARGS=TRUE&amp;VAR:ID1=48007410&amp;VAR:RCODE=LTCL&amp;VAR:SDATE=20081299&amp;VAR:FREQ=DAILY&amp;VAR:RELITEM=&amp;VAR:CURRENCY=&amp;VAR:CURRSOURCE=EXSHARE&amp;","VAR:NATFREQ=QUARTERLY&amp;VAR:RFIELD=FINALIZED&amp;VAR:DB_TYPE=&amp;VAR:UNITS=M&amp;window=popup&amp;width=450&amp;height=300&amp;START_MAXIMIZED=FALSE"}</definedName>
    <definedName name="_1331__FDSAUDITLINK__" hidden="1">{"fdsup://IBCentral/FAT Viewer?action=UPDATE&amp;creator=factset&amp;DOC_NAME=fat:reuters_qtrly_source_window.fat&amp;display_string=Audit&amp;DYN_ARGS=TRUE&amp;VAR:ID1=48007410&amp;VAR:RCODE=ATCA&amp;VAR:SDATE=20081299&amp;VAR:FREQ=DAILY&amp;VAR:RELITEM=&amp;VAR:CURRENCY=&amp;VAR:CURRSOURCE=EXSHARE&amp;","VAR:NATFREQ=QUARTERLY&amp;VAR:RFIELD=FINALIZED&amp;VAR:DB_TYPE=&amp;VAR:UNITS=M&amp;window=popup&amp;width=450&amp;height=300&amp;START_MAXIMIZED=FALSE"}</definedName>
    <definedName name="_1332__FDSAUDITLINK__" hidden="1">{"fdsup://IBCentral/FAT Viewer?action=UPDATE&amp;creator=factset&amp;DOC_NAME=fat:reuters_qtrly_source_window.fat&amp;display_string=Audit&amp;DYN_ARGS=TRUE&amp;VAR:ID1=48007410&amp;VAR:RCODE=ATOT&amp;VAR:SDATE=20081299&amp;VAR:FREQ=DAILY&amp;VAR:RELITEM=&amp;VAR:CURRENCY=&amp;VAR:CURRSOURCE=EXSHARE&amp;","VAR:NATFREQ=QUARTERLY&amp;VAR:RFIELD=FINALIZED&amp;VAR:DB_TYPE=&amp;VAR:UNITS=M&amp;window=popup&amp;width=450&amp;height=300&amp;START_MAXIMIZED=FALSE"}</definedName>
    <definedName name="_1333__FDSAUDITLINK__" hidden="1">{"fdsup://IBCentral/FAT Viewer?action=UPDATE&amp;creator=factset&amp;DOC_NAME=fat:reuters_qtrly_source_window.fat&amp;display_string=Audit&amp;DYN_ARGS=TRUE&amp;VAR:ID1=45715310&amp;VAR:RCODE=LTLL&amp;VAR:SDATE=20081299&amp;VAR:FREQ=DAILY&amp;VAR:RELITEM=&amp;VAR:CURRENCY=&amp;VAR:CURRSOURCE=EXSHARE&amp;","VAR:NATFREQ=QUARTERLY&amp;VAR:RFIELD=FINALIZED&amp;VAR:DB_TYPE=&amp;VAR:UNITS=M&amp;window=popup&amp;width=450&amp;height=300&amp;START_MAXIMIZED=FALSE"}</definedName>
    <definedName name="_1334__FDSAUDITLINK__" hidden="1">{"fdsup://IBCentral/FAT Viewer?action=UPDATE&amp;creator=factset&amp;DOC_NAME=fat:reuters_qtrly_source_window.fat&amp;display_string=Audit&amp;DYN_ARGS=TRUE&amp;VAR:ID1=45715310&amp;VAR:RCODE=LTCL&amp;VAR:SDATE=20081299&amp;VAR:FREQ=DAILY&amp;VAR:RELITEM=&amp;VAR:CURRENCY=&amp;VAR:CURRSOURCE=EXSHARE&amp;","VAR:NATFREQ=QUARTERLY&amp;VAR:RFIELD=FINALIZED&amp;VAR:DB_TYPE=&amp;VAR:UNITS=M&amp;window=popup&amp;width=450&amp;height=300&amp;START_MAXIMIZED=FALSE"}</definedName>
    <definedName name="_1335__FDSAUDITLINK__" hidden="1">{"fdsup://IBCentral/FAT Viewer?action=UPDATE&amp;creator=factset&amp;DOC_NAME=fat:reuters_qtrly_source_window.fat&amp;display_string=Audit&amp;DYN_ARGS=TRUE&amp;VAR:ID1=45715310&amp;VAR:RCODE=ATCA&amp;VAR:SDATE=20081299&amp;VAR:FREQ=DAILY&amp;VAR:RELITEM=&amp;VAR:CURRENCY=&amp;VAR:CURRSOURCE=EXSHARE&amp;","VAR:NATFREQ=QUARTERLY&amp;VAR:RFIELD=FINALIZED&amp;VAR:DB_TYPE=&amp;VAR:UNITS=M&amp;window=popup&amp;width=450&amp;height=300&amp;START_MAXIMIZED=FALSE"}</definedName>
    <definedName name="_1336__FDSAUDITLINK__" hidden="1">{"fdsup://IBCentral/FAT Viewer?action=UPDATE&amp;creator=factset&amp;DOC_NAME=fat:reuters_qtrly_source_window.fat&amp;display_string=Audit&amp;DYN_ARGS=TRUE&amp;VAR:ID1=45715310&amp;VAR:RCODE=ATOT&amp;VAR:SDATE=20081299&amp;VAR:FREQ=DAILY&amp;VAR:RELITEM=&amp;VAR:CURRENCY=&amp;VAR:CURRSOURCE=EXSHARE&amp;","VAR:NATFREQ=QUARTERLY&amp;VAR:RFIELD=FINALIZED&amp;VAR:DB_TYPE=&amp;VAR:UNITS=M&amp;window=popup&amp;width=450&amp;height=300&amp;START_MAXIMIZED=FALSE"}</definedName>
    <definedName name="_1337__FDSAUDITLINK__" hidden="1">{"fdsup://IBCentral/FAT Viewer?action=UPDATE&amp;creator=factset&amp;DOC_NAME=fat:reuters_qtrly_source_window.fat&amp;display_string=Audit&amp;DYN_ARGS=TRUE&amp;VAR:ID1=40430310&amp;VAR:RCODE=LTLL&amp;VAR:SDATE=20081299&amp;VAR:FREQ=DAILY&amp;VAR:RELITEM=&amp;VAR:CURRENCY=&amp;VAR:CURRSOURCE=EXSHARE&amp;","VAR:NATFREQ=QUARTERLY&amp;VAR:RFIELD=FINALIZED&amp;VAR:DB_TYPE=&amp;VAR:UNITS=M&amp;window=popup&amp;width=450&amp;height=300&amp;START_MAXIMIZED=FALSE"}</definedName>
    <definedName name="_1338__FDSAUDITLINK__" hidden="1">{"fdsup://IBCentral/FAT Viewer?action=UPDATE&amp;creator=factset&amp;DOC_NAME=fat:reuters_qtrly_source_window.fat&amp;display_string=Audit&amp;DYN_ARGS=TRUE&amp;VAR:ID1=40430310&amp;VAR:RCODE=LTCL&amp;VAR:SDATE=20081299&amp;VAR:FREQ=DAILY&amp;VAR:RELITEM=&amp;VAR:CURRENCY=&amp;VAR:CURRSOURCE=EXSHARE&amp;","VAR:NATFREQ=QUARTERLY&amp;VAR:RFIELD=FINALIZED&amp;VAR:DB_TYPE=&amp;VAR:UNITS=M&amp;window=popup&amp;width=450&amp;height=300&amp;START_MAXIMIZED=FALSE"}</definedName>
    <definedName name="_1339__FDSAUDITLINK__" hidden="1">{"fdsup://IBCentral/FAT Viewer?action=UPDATE&amp;creator=factset&amp;DOC_NAME=fat:reuters_qtrly_source_window.fat&amp;display_string=Audit&amp;DYN_ARGS=TRUE&amp;VAR:ID1=40430310&amp;VAR:RCODE=ATCA&amp;VAR:SDATE=20081299&amp;VAR:FREQ=DAILY&amp;VAR:RELITEM=&amp;VAR:CURRENCY=&amp;VAR:CURRSOURCE=EXSHARE&amp;","VAR:NATFREQ=QUARTERLY&amp;VAR:RFIELD=FINALIZED&amp;VAR:DB_TYPE=&amp;VAR:UNITS=M&amp;window=popup&amp;width=450&amp;height=300&amp;START_MAXIMIZED=FALSE"}</definedName>
    <definedName name="_134__FDSAUDITLINK__" hidden="1">{"fdsup://Directions/FactSet Auditing Viewer?action=AUDIT_VALUE&amp;DB=129&amp;ID1=19109810&amp;VALUEID=02999&amp;SDATE=201001&amp;PERIODTYPE=QTR_STD&amp;window=popup_no_bar&amp;width=385&amp;height=120&amp;START_MAXIMIZED=FALSE&amp;creator=factset&amp;display_string=Audit"}</definedName>
    <definedName name="_1340__FDSAUDITLINK__" hidden="1">{"fdsup://IBCentral/FAT Viewer?action=UPDATE&amp;creator=factset&amp;DOC_NAME=fat:reuters_qtrly_source_window.fat&amp;display_string=Audit&amp;DYN_ARGS=TRUE&amp;VAR:ID1=40430310&amp;VAR:RCODE=ATOT&amp;VAR:SDATE=20081299&amp;VAR:FREQ=DAILY&amp;VAR:RELITEM=&amp;VAR:CURRENCY=&amp;VAR:CURRSOURCE=EXSHARE&amp;","VAR:NATFREQ=QUARTERLY&amp;VAR:RFIELD=FINALIZED&amp;VAR:DB_TYPE=&amp;VAR:UNITS=M&amp;window=popup&amp;width=450&amp;height=300&amp;START_MAXIMIZED=FALSE"}</definedName>
    <definedName name="_1341__FDSAUDITLINK__" hidden="1">{"fdsup://IBCentral/FAT Viewer?action=UPDATE&amp;creator=factset&amp;DOC_NAME=fat:reuters_qtrly_source_window.fat&amp;display_string=Audit&amp;DYN_ARGS=TRUE&amp;VAR:ID1=41308610&amp;VAR:RCODE=LTLL&amp;VAR:SDATE=20081299&amp;VAR:FREQ=DAILY&amp;VAR:RELITEM=&amp;VAR:CURRENCY=&amp;VAR:CURRSOURCE=EXSHARE&amp;","VAR:NATFREQ=QUARTERLY&amp;VAR:RFIELD=FINALIZED&amp;VAR:DB_TYPE=&amp;VAR:UNITS=M&amp;window=popup&amp;width=450&amp;height=300&amp;START_MAXIMIZED=FALSE"}</definedName>
    <definedName name="_1342__FDSAUDITLINK__" hidden="1">{"fdsup://IBCentral/FAT Viewer?action=UPDATE&amp;creator=factset&amp;DOC_NAME=fat:reuters_qtrly_source_window.fat&amp;display_string=Audit&amp;DYN_ARGS=TRUE&amp;VAR:ID1=41308610&amp;VAR:RCODE=LTCL&amp;VAR:SDATE=20081299&amp;VAR:FREQ=DAILY&amp;VAR:RELITEM=&amp;VAR:CURRENCY=&amp;VAR:CURRSOURCE=EXSHARE&amp;","VAR:NATFREQ=QUARTERLY&amp;VAR:RFIELD=FINALIZED&amp;VAR:DB_TYPE=&amp;VAR:UNITS=M&amp;window=popup&amp;width=450&amp;height=300&amp;START_MAXIMIZED=FALSE"}</definedName>
    <definedName name="_1343__FDSAUDITLINK__" hidden="1">{"fdsup://IBCentral/FAT Viewer?action=UPDATE&amp;creator=factset&amp;DOC_NAME=fat:reuters_qtrly_source_window.fat&amp;display_string=Audit&amp;DYN_ARGS=TRUE&amp;VAR:ID1=41308610&amp;VAR:RCODE=ATCA&amp;VAR:SDATE=20081299&amp;VAR:FREQ=DAILY&amp;VAR:RELITEM=&amp;VAR:CURRENCY=&amp;VAR:CURRSOURCE=EXSHARE&amp;","VAR:NATFREQ=QUARTERLY&amp;VAR:RFIELD=FINALIZED&amp;VAR:DB_TYPE=&amp;VAR:UNITS=M&amp;window=popup&amp;width=450&amp;height=300&amp;START_MAXIMIZED=FALSE"}</definedName>
    <definedName name="_1344__FDSAUDITLINK__" hidden="1">{"fdsup://IBCentral/FAT Viewer?action=UPDATE&amp;creator=factset&amp;DOC_NAME=fat:reuters_qtrly_source_window.fat&amp;display_string=Audit&amp;DYN_ARGS=TRUE&amp;VAR:ID1=41308610&amp;VAR:RCODE=ATOT&amp;VAR:SDATE=20081299&amp;VAR:FREQ=DAILY&amp;VAR:RELITEM=&amp;VAR:CURRENCY=&amp;VAR:CURRSOURCE=EXSHARE&amp;","VAR:NATFREQ=QUARTERLY&amp;VAR:RFIELD=FINALIZED&amp;VAR:DB_TYPE=&amp;VAR:UNITS=M&amp;window=popup&amp;width=450&amp;height=300&amp;START_MAXIMIZED=FALSE"}</definedName>
    <definedName name="_1345__FDSAUDITLINK__" hidden="1">{"fdsup://IBCentral/FAT Viewer?action=UPDATE&amp;creator=factset&amp;DOC_NAME=fat:reuters_qtrly_source_window.fat&amp;display_string=Audit&amp;DYN_ARGS=TRUE&amp;VAR:ID1=39762410&amp;VAR:RCODE=LTLL&amp;VAR:SDATE=20081099&amp;VAR:FREQ=DAILY&amp;VAR:RELITEM=&amp;VAR:CURRENCY=&amp;VAR:CURRSOURCE=EXSHARE&amp;","VAR:NATFREQ=QUARTERLY&amp;VAR:RFIELD=FINALIZED&amp;VAR:DB_TYPE=&amp;VAR:UNITS=M&amp;window=popup&amp;width=450&amp;height=300&amp;START_MAXIMIZED=FALSE"}</definedName>
    <definedName name="_1346__FDSAUDITLINK__" hidden="1">{"fdsup://IBCentral/FAT Viewer?action=UPDATE&amp;creator=factset&amp;DOC_NAME=fat:reuters_qtrly_source_window.fat&amp;display_string=Audit&amp;DYN_ARGS=TRUE&amp;VAR:ID1=39762410&amp;VAR:RCODE=LTCL&amp;VAR:SDATE=20081099&amp;VAR:FREQ=DAILY&amp;VAR:RELITEM=&amp;VAR:CURRENCY=&amp;VAR:CURRSOURCE=EXSHARE&amp;","VAR:NATFREQ=QUARTERLY&amp;VAR:RFIELD=FINALIZED&amp;VAR:DB_TYPE=&amp;VAR:UNITS=M&amp;window=popup&amp;width=450&amp;height=300&amp;START_MAXIMIZED=FALSE"}</definedName>
    <definedName name="_1347__FDSAUDITLINK__" hidden="1">{"fdsup://IBCentral/FAT Viewer?action=UPDATE&amp;creator=factset&amp;DOC_NAME=fat:reuters_qtrly_source_window.fat&amp;display_string=Audit&amp;DYN_ARGS=TRUE&amp;VAR:ID1=39762410&amp;VAR:RCODE=ATCA&amp;VAR:SDATE=20081099&amp;VAR:FREQ=DAILY&amp;VAR:RELITEM=&amp;VAR:CURRENCY=&amp;VAR:CURRSOURCE=EXSHARE&amp;","VAR:NATFREQ=QUARTERLY&amp;VAR:RFIELD=FINALIZED&amp;VAR:DB_TYPE=&amp;VAR:UNITS=M&amp;window=popup&amp;width=450&amp;height=300&amp;START_MAXIMIZED=FALSE"}</definedName>
    <definedName name="_1348__FDSAUDITLINK__" hidden="1">{"fdsup://IBCentral/FAT Viewer?action=UPDATE&amp;creator=factset&amp;DOC_NAME=fat:reuters_qtrly_source_window.fat&amp;display_string=Audit&amp;DYN_ARGS=TRUE&amp;VAR:ID1=39762410&amp;VAR:RCODE=ATOT&amp;VAR:SDATE=20081099&amp;VAR:FREQ=DAILY&amp;VAR:RELITEM=&amp;VAR:CURRENCY=&amp;VAR:CURRSOURCE=EXSHARE&amp;","VAR:NATFREQ=QUARTERLY&amp;VAR:RFIELD=FINALIZED&amp;VAR:DB_TYPE=&amp;VAR:UNITS=M&amp;window=popup&amp;width=450&amp;height=300&amp;START_MAXIMIZED=FALSE"}</definedName>
    <definedName name="_1349__FDSAUDITLINK__" hidden="1">{"fdsup://IBCentral/FAT Viewer?action=UPDATE&amp;creator=factset&amp;DOC_NAME=fat:reuters_qtrly_source_window.fat&amp;display_string=Audit&amp;DYN_ARGS=TRUE&amp;VAR:ID1=37731610&amp;VAR:RCODE=LTLL&amp;VAR:SDATE=20081299&amp;VAR:FREQ=DAILY&amp;VAR:RELITEM=&amp;VAR:CURRENCY=&amp;VAR:CURRSOURCE=EXSHARE&amp;","VAR:NATFREQ=QUARTERLY&amp;VAR:RFIELD=FINALIZED&amp;VAR:DB_TYPE=&amp;VAR:UNITS=M&amp;window=popup&amp;width=450&amp;height=300&amp;START_MAXIMIZED=FALSE"}</definedName>
    <definedName name="_135__FDSAUDITLINK__" hidden="1">{"fdsup://Directions/FactSet Auditing Viewer?action=AUDIT_VALUE&amp;DB=129&amp;ID1=19121610&amp;VALUEID=02999&amp;SDATE=201001&amp;PERIODTYPE=QTR_STD&amp;window=popup_no_bar&amp;width=385&amp;height=120&amp;START_MAXIMIZED=FALSE&amp;creator=factset&amp;display_string=Audit"}</definedName>
    <definedName name="_1350__FDSAUDITLINK__" hidden="1">{"fdsup://IBCentral/FAT Viewer?action=UPDATE&amp;creator=factset&amp;DOC_NAME=fat:reuters_qtrly_source_window.fat&amp;display_string=Audit&amp;DYN_ARGS=TRUE&amp;VAR:ID1=37731610&amp;VAR:RCODE=LTCL&amp;VAR:SDATE=20081299&amp;VAR:FREQ=DAILY&amp;VAR:RELITEM=&amp;VAR:CURRENCY=&amp;VAR:CURRSOURCE=EXSHARE&amp;","VAR:NATFREQ=QUARTERLY&amp;VAR:RFIELD=FINALIZED&amp;VAR:DB_TYPE=&amp;VAR:UNITS=M&amp;window=popup&amp;width=450&amp;height=300&amp;START_MAXIMIZED=FALSE"}</definedName>
    <definedName name="_1351__FDSAUDITLINK__" hidden="1">{"fdsup://IBCentral/FAT Viewer?action=UPDATE&amp;creator=factset&amp;DOC_NAME=fat:reuters_qtrly_source_window.fat&amp;display_string=Audit&amp;DYN_ARGS=TRUE&amp;VAR:ID1=37731610&amp;VAR:RCODE=ATCA&amp;VAR:SDATE=20081299&amp;VAR:FREQ=DAILY&amp;VAR:RELITEM=&amp;VAR:CURRENCY=&amp;VAR:CURRSOURCE=EXSHARE&amp;","VAR:NATFREQ=QUARTERLY&amp;VAR:RFIELD=FINALIZED&amp;VAR:DB_TYPE=&amp;VAR:UNITS=M&amp;window=popup&amp;width=450&amp;height=300&amp;START_MAXIMIZED=FALSE"}</definedName>
    <definedName name="_1352__FDSAUDITLINK__" hidden="1">{"fdsup://IBCentral/FAT Viewer?action=UPDATE&amp;creator=factset&amp;DOC_NAME=fat:reuters_qtrly_source_window.fat&amp;display_string=Audit&amp;DYN_ARGS=TRUE&amp;VAR:ID1=37731610&amp;VAR:RCODE=ATOT&amp;VAR:SDATE=20081299&amp;VAR:FREQ=DAILY&amp;VAR:RELITEM=&amp;VAR:CURRENCY=&amp;VAR:CURRSOURCE=EXSHARE&amp;","VAR:NATFREQ=QUARTERLY&amp;VAR:RFIELD=FINALIZED&amp;VAR:DB_TYPE=&amp;VAR:UNITS=M&amp;window=popup&amp;width=450&amp;height=300&amp;START_MAXIMIZED=FALSE"}</definedName>
    <definedName name="_1353__FDSAUDITLINK__" hidden="1">{"fdsup://IBCentral/FAT Viewer?action=UPDATE&amp;creator=factset&amp;DOC_NAME=fat:reuters_qtrly_source_window.fat&amp;display_string=Audit&amp;DYN_ARGS=TRUE&amp;VAR:ID1=30294110&amp;VAR:RCODE=LTLL&amp;VAR:SDATE=20081299&amp;VAR:FREQ=DAILY&amp;VAR:RELITEM=&amp;VAR:CURRENCY=&amp;VAR:CURRSOURCE=EXSHARE&amp;","VAR:NATFREQ=QUARTERLY&amp;VAR:RFIELD=FINALIZED&amp;VAR:DB_TYPE=&amp;VAR:UNITS=M&amp;window=popup&amp;width=450&amp;height=300&amp;START_MAXIMIZED=FALSE"}</definedName>
    <definedName name="_1354__FDSAUDITLINK__" hidden="1">{"fdsup://IBCentral/FAT Viewer?action=UPDATE&amp;creator=factset&amp;DOC_NAME=fat:reuters_qtrly_source_window.fat&amp;display_string=Audit&amp;DYN_ARGS=TRUE&amp;VAR:ID1=30294110&amp;VAR:RCODE=LTCL&amp;VAR:SDATE=20081299&amp;VAR:FREQ=DAILY&amp;VAR:RELITEM=&amp;VAR:CURRENCY=&amp;VAR:CURRSOURCE=EXSHARE&amp;","VAR:NATFREQ=QUARTERLY&amp;VAR:RFIELD=FINALIZED&amp;VAR:DB_TYPE=&amp;VAR:UNITS=M&amp;window=popup&amp;width=450&amp;height=300&amp;START_MAXIMIZED=FALSE"}</definedName>
    <definedName name="_1355__FDSAUDITLINK__" hidden="1">{"fdsup://IBCentral/FAT Viewer?action=UPDATE&amp;creator=factset&amp;DOC_NAME=fat:reuters_qtrly_source_window.fat&amp;display_string=Audit&amp;DYN_ARGS=TRUE&amp;VAR:ID1=30294110&amp;VAR:RCODE=ATCA&amp;VAR:SDATE=20081299&amp;VAR:FREQ=DAILY&amp;VAR:RELITEM=&amp;VAR:CURRENCY=&amp;VAR:CURRSOURCE=EXSHARE&amp;","VAR:NATFREQ=QUARTERLY&amp;VAR:RFIELD=FINALIZED&amp;VAR:DB_TYPE=&amp;VAR:UNITS=M&amp;window=popup&amp;width=450&amp;height=300&amp;START_MAXIMIZED=FALSE"}</definedName>
    <definedName name="_1356__FDSAUDITLINK__" hidden="1">{"fdsup://IBCentral/FAT Viewer?action=UPDATE&amp;creator=factset&amp;DOC_NAME=fat:reuters_qtrly_source_window.fat&amp;display_string=Audit&amp;DYN_ARGS=TRUE&amp;VAR:ID1=30294110&amp;VAR:RCODE=ATOT&amp;VAR:SDATE=20081299&amp;VAR:FREQ=DAILY&amp;VAR:RELITEM=&amp;VAR:CURRENCY=&amp;VAR:CURRSOURCE=EXSHARE&amp;","VAR:NATFREQ=QUARTERLY&amp;VAR:RFIELD=FINALIZED&amp;VAR:DB_TYPE=&amp;VAR:UNITS=M&amp;window=popup&amp;width=450&amp;height=300&amp;START_MAXIMIZED=FALSE"}</definedName>
    <definedName name="_1357__FDSAUDITLINK__" hidden="1">{"fdsup://IBCentral/FAT Viewer?action=UPDATE&amp;creator=factset&amp;DOC_NAME=fat:reuters_qtrly_source_window.fat&amp;display_string=Audit&amp;DYN_ARGS=TRUE&amp;VAR:ID1=35906A10&amp;VAR:RCODE=LTLL&amp;VAR:SDATE=20081299&amp;VAR:FREQ=DAILY&amp;VAR:RELITEM=&amp;VAR:CURRENCY=&amp;VAR:CURRSOURCE=EXSHARE&amp;","VAR:NATFREQ=QUARTERLY&amp;VAR:RFIELD=FINALIZED&amp;VAR:DB_TYPE=&amp;VAR:UNITS=M&amp;window=popup&amp;width=450&amp;height=300&amp;START_MAXIMIZED=FALSE"}</definedName>
    <definedName name="_1358__FDSAUDITLINK__" hidden="1">{"fdsup://IBCentral/FAT Viewer?action=UPDATE&amp;creator=factset&amp;DOC_NAME=fat:reuters_qtrly_source_window.fat&amp;display_string=Audit&amp;DYN_ARGS=TRUE&amp;VAR:ID1=35906A10&amp;VAR:RCODE=LTCL&amp;VAR:SDATE=20081299&amp;VAR:FREQ=DAILY&amp;VAR:RELITEM=&amp;VAR:CURRENCY=&amp;VAR:CURRSOURCE=EXSHARE&amp;","VAR:NATFREQ=QUARTERLY&amp;VAR:RFIELD=FINALIZED&amp;VAR:DB_TYPE=&amp;VAR:UNITS=M&amp;window=popup&amp;width=450&amp;height=300&amp;START_MAXIMIZED=FALSE"}</definedName>
    <definedName name="_1359__FDSAUDITLINK__" hidden="1">{"fdsup://IBCentral/FAT Viewer?action=UPDATE&amp;creator=factset&amp;DOC_NAME=fat:reuters_qtrly_source_window.fat&amp;display_string=Audit&amp;DYN_ARGS=TRUE&amp;VAR:ID1=35906A10&amp;VAR:RCODE=ATCA&amp;VAR:SDATE=20081299&amp;VAR:FREQ=DAILY&amp;VAR:RELITEM=&amp;VAR:CURRENCY=&amp;VAR:CURRSOURCE=EXSHARE&amp;","VAR:NATFREQ=QUARTERLY&amp;VAR:RFIELD=FINALIZED&amp;VAR:DB_TYPE=&amp;VAR:UNITS=M&amp;window=popup&amp;width=450&amp;height=300&amp;START_MAXIMIZED=FALSE"}</definedName>
    <definedName name="_136__FDSAUDITLINK__" hidden="1">{"fdsup://Directions/FactSet Auditing Viewer?action=AUDIT_VALUE&amp;DB=129&amp;ID1=19121910&amp;VALUEID=02999&amp;SDATE=201001&amp;PERIODTYPE=QTR_STD&amp;window=popup_no_bar&amp;width=385&amp;height=120&amp;START_MAXIMIZED=FALSE&amp;creator=factset&amp;display_string=Audit"}</definedName>
    <definedName name="_1360__FDSAUDITLINK__" hidden="1">{"fdsup://IBCentral/FAT Viewer?action=UPDATE&amp;creator=factset&amp;DOC_NAME=fat:reuters_qtrly_source_window.fat&amp;display_string=Audit&amp;DYN_ARGS=TRUE&amp;VAR:ID1=35906A10&amp;VAR:RCODE=ATOT&amp;VAR:SDATE=20081299&amp;VAR:FREQ=DAILY&amp;VAR:RELITEM=&amp;VAR:CURRENCY=&amp;VAR:CURRSOURCE=EXSHARE&amp;","VAR:NATFREQ=QUARTERLY&amp;VAR:RFIELD=FINALIZED&amp;VAR:DB_TYPE=&amp;VAR:UNITS=M&amp;window=popup&amp;width=450&amp;height=300&amp;START_MAXIMIZED=FALSE"}</definedName>
    <definedName name="_1361__FDSAUDITLINK__" hidden="1">{"fdsup://IBCentral/FAT Viewer?action=UPDATE&amp;creator=factset&amp;DOC_NAME=fat:reuters_qtrly_source_window.fat&amp;display_string=Audit&amp;DYN_ARGS=TRUE&amp;VAR:ID1=35671D85&amp;VAR:RCODE=LTLL&amp;VAR:SDATE=20081299&amp;VAR:FREQ=DAILY&amp;VAR:RELITEM=&amp;VAR:CURRENCY=&amp;VAR:CURRSOURCE=EXSHARE&amp;","VAR:NATFREQ=QUARTERLY&amp;VAR:RFIELD=FINALIZED&amp;VAR:DB_TYPE=&amp;VAR:UNITS=M&amp;window=popup&amp;width=450&amp;height=300&amp;START_MAXIMIZED=FALSE"}</definedName>
    <definedName name="_1362__FDSAUDITLINK__" hidden="1">{"fdsup://IBCentral/FAT Viewer?action=UPDATE&amp;creator=factset&amp;DOC_NAME=fat:reuters_qtrly_source_window.fat&amp;display_string=Audit&amp;DYN_ARGS=TRUE&amp;VAR:ID1=35671D85&amp;VAR:RCODE=LTCL&amp;VAR:SDATE=20081299&amp;VAR:FREQ=DAILY&amp;VAR:RELITEM=&amp;VAR:CURRENCY=&amp;VAR:CURRSOURCE=EXSHARE&amp;","VAR:NATFREQ=QUARTERLY&amp;VAR:RFIELD=FINALIZED&amp;VAR:DB_TYPE=&amp;VAR:UNITS=M&amp;window=popup&amp;width=450&amp;height=300&amp;START_MAXIMIZED=FALSE"}</definedName>
    <definedName name="_1363__FDSAUDITLINK__" hidden="1">{"fdsup://IBCentral/FAT Viewer?action=UPDATE&amp;creator=factset&amp;DOC_NAME=fat:reuters_qtrly_source_window.fat&amp;display_string=Audit&amp;DYN_ARGS=TRUE&amp;VAR:ID1=35671D85&amp;VAR:RCODE=ATCA&amp;VAR:SDATE=20081299&amp;VAR:FREQ=DAILY&amp;VAR:RELITEM=&amp;VAR:CURRENCY=&amp;VAR:CURRSOURCE=EXSHARE&amp;","VAR:NATFREQ=QUARTERLY&amp;VAR:RFIELD=FINALIZED&amp;VAR:DB_TYPE=&amp;VAR:UNITS=M&amp;window=popup&amp;width=450&amp;height=300&amp;START_MAXIMIZED=FALSE"}</definedName>
    <definedName name="_1364__FDSAUDITLINK__" hidden="1">{"fdsup://IBCentral/FAT Viewer?action=UPDATE&amp;creator=factset&amp;DOC_NAME=fat:reuters_qtrly_source_window.fat&amp;display_string=Audit&amp;DYN_ARGS=TRUE&amp;VAR:ID1=35671D85&amp;VAR:RCODE=ATOT&amp;VAR:SDATE=20081299&amp;VAR:FREQ=DAILY&amp;VAR:RELITEM=&amp;VAR:CURRENCY=&amp;VAR:CURRSOURCE=EXSHARE&amp;","VAR:NATFREQ=QUARTERLY&amp;VAR:RFIELD=FINALIZED&amp;VAR:DB_TYPE=&amp;VAR:UNITS=M&amp;window=popup&amp;width=450&amp;height=300&amp;START_MAXIMIZED=FALSE"}</definedName>
    <definedName name="_1365__FDSAUDITLINK__" hidden="1">{"fdsup://IBCentral/FAT Viewer?action=UPDATE&amp;creator=factset&amp;DOC_NAME=fat:reuters_qtrly_source_window.fat&amp;display_string=Audit&amp;DYN_ARGS=TRUE&amp;VAR:ID1=31620M10&amp;VAR:RCODE=LTLL&amp;VAR:SDATE=20081299&amp;VAR:FREQ=DAILY&amp;VAR:RELITEM=&amp;VAR:CURRENCY=&amp;VAR:CURRSOURCE=EXSHARE&amp;","VAR:NATFREQ=QUARTERLY&amp;VAR:RFIELD=FINALIZED&amp;VAR:DB_TYPE=&amp;VAR:UNITS=M&amp;window=popup&amp;width=450&amp;height=300&amp;START_MAXIMIZED=FALSE"}</definedName>
    <definedName name="_1366__FDSAUDITLINK__" hidden="1">{"fdsup://IBCentral/FAT Viewer?action=UPDATE&amp;creator=factset&amp;DOC_NAME=fat:reuters_qtrly_source_window.fat&amp;display_string=Audit&amp;DYN_ARGS=TRUE&amp;VAR:ID1=31620M10&amp;VAR:RCODE=LTCL&amp;VAR:SDATE=20081299&amp;VAR:FREQ=DAILY&amp;VAR:RELITEM=&amp;VAR:CURRENCY=&amp;VAR:CURRSOURCE=EXSHARE&amp;","VAR:NATFREQ=QUARTERLY&amp;VAR:RFIELD=FINALIZED&amp;VAR:DB_TYPE=&amp;VAR:UNITS=M&amp;window=popup&amp;width=450&amp;height=300&amp;START_MAXIMIZED=FALSE"}</definedName>
    <definedName name="_1367__FDSAUDITLINK__" hidden="1">{"fdsup://IBCentral/FAT Viewer?action=UPDATE&amp;creator=factset&amp;DOC_NAME=fat:reuters_qtrly_source_window.fat&amp;display_string=Audit&amp;DYN_ARGS=TRUE&amp;VAR:ID1=31620M10&amp;VAR:RCODE=ATCA&amp;VAR:SDATE=20081299&amp;VAR:FREQ=DAILY&amp;VAR:RELITEM=&amp;VAR:CURRENCY=&amp;VAR:CURRSOURCE=EXSHARE&amp;","VAR:NATFREQ=QUARTERLY&amp;VAR:RFIELD=FINALIZED&amp;VAR:DB_TYPE=&amp;VAR:UNITS=M&amp;window=popup&amp;width=450&amp;height=300&amp;START_MAXIMIZED=FALSE"}</definedName>
    <definedName name="_1368__FDSAUDITLINK__" hidden="1">{"fdsup://IBCentral/FAT Viewer?action=UPDATE&amp;creator=factset&amp;DOC_NAME=fat:reuters_qtrly_source_window.fat&amp;display_string=Audit&amp;DYN_ARGS=TRUE&amp;VAR:ID1=31620M10&amp;VAR:RCODE=ATOT&amp;VAR:SDATE=20081299&amp;VAR:FREQ=DAILY&amp;VAR:RELITEM=&amp;VAR:CURRENCY=&amp;VAR:CURRSOURCE=EXSHARE&amp;","VAR:NATFREQ=QUARTERLY&amp;VAR:RFIELD=FINALIZED&amp;VAR:DB_TYPE=&amp;VAR:UNITS=M&amp;window=popup&amp;width=450&amp;height=300&amp;START_MAXIMIZED=FALSE"}</definedName>
    <definedName name="_1369__FDSAUDITLINK__" hidden="1">{"fdsup://IBCentral/FAT Viewer?action=UPDATE&amp;creator=factset&amp;DOC_NAME=fat:reuters_qtrly_source_window.fat&amp;display_string=Audit&amp;DYN_ARGS=TRUE&amp;VAR:ID1=30212P10&amp;VAR:RCODE=LTLL&amp;VAR:SDATE=20081299&amp;VAR:FREQ=DAILY&amp;VAR:RELITEM=&amp;VAR:CURRENCY=&amp;VAR:CURRSOURCE=EXSHARE&amp;","VAR:NATFREQ=QUARTERLY&amp;VAR:RFIELD=FINALIZED&amp;VAR:DB_TYPE=&amp;VAR:UNITS=M&amp;window=popup&amp;width=450&amp;height=300&amp;START_MAXIMIZED=FALSE"}</definedName>
    <definedName name="_137__FDSAUDITLINK__" hidden="1">{"fdsup://Directions/FactSet Auditing Viewer?action=AUDIT_VALUE&amp;DB=129&amp;ID1=19210850&amp;VALUEID=02999&amp;SDATE=201001&amp;PERIODTYPE=QTR_STD&amp;window=popup_no_bar&amp;width=385&amp;height=120&amp;START_MAXIMIZED=FALSE&amp;creator=factset&amp;display_string=Audit"}</definedName>
    <definedName name="_1370__FDSAUDITLINK__" hidden="1">{"fdsup://IBCentral/FAT Viewer?action=UPDATE&amp;creator=factset&amp;DOC_NAME=fat:reuters_qtrly_source_window.fat&amp;display_string=Audit&amp;DYN_ARGS=TRUE&amp;VAR:ID1=30212P10&amp;VAR:RCODE=LTCL&amp;VAR:SDATE=20081299&amp;VAR:FREQ=DAILY&amp;VAR:RELITEM=&amp;VAR:CURRENCY=&amp;VAR:CURRSOURCE=EXSHARE&amp;","VAR:NATFREQ=QUARTERLY&amp;VAR:RFIELD=FINALIZED&amp;VAR:DB_TYPE=&amp;VAR:UNITS=M&amp;window=popup&amp;width=450&amp;height=300&amp;START_MAXIMIZED=FALSE"}</definedName>
    <definedName name="_1371__FDSAUDITLINK__" hidden="1">{"fdsup://IBCentral/FAT Viewer?action=UPDATE&amp;creator=factset&amp;DOC_NAME=fat:reuters_qtrly_source_window.fat&amp;display_string=Audit&amp;DYN_ARGS=TRUE&amp;VAR:ID1=30212P10&amp;VAR:RCODE=ATCA&amp;VAR:SDATE=20081299&amp;VAR:FREQ=DAILY&amp;VAR:RELITEM=&amp;VAR:CURRENCY=&amp;VAR:CURRSOURCE=EXSHARE&amp;","VAR:NATFREQ=QUARTERLY&amp;VAR:RFIELD=FINALIZED&amp;VAR:DB_TYPE=&amp;VAR:UNITS=M&amp;window=popup&amp;width=450&amp;height=300&amp;START_MAXIMIZED=FALSE"}</definedName>
    <definedName name="_1372__FDSAUDITLINK__" hidden="1">{"fdsup://IBCentral/FAT Viewer?action=UPDATE&amp;creator=factset&amp;DOC_NAME=fat:reuters_qtrly_source_window.fat&amp;display_string=Audit&amp;DYN_ARGS=TRUE&amp;VAR:ID1=30212P10&amp;VAR:RCODE=ATOT&amp;VAR:SDATE=20081299&amp;VAR:FREQ=DAILY&amp;VAR:RELITEM=&amp;VAR:CURRENCY=&amp;VAR:CURRSOURCE=EXSHARE&amp;","VAR:NATFREQ=QUARTERLY&amp;VAR:RFIELD=FINALIZED&amp;VAR:DB_TYPE=&amp;VAR:UNITS=M&amp;window=popup&amp;width=450&amp;height=300&amp;START_MAXIMIZED=FALSE"}</definedName>
    <definedName name="_1373__FDSAUDITLINK__" hidden="1">{"fdsup://IBCentral/FAT Viewer?action=UPDATE&amp;creator=factset&amp;DOC_NAME=fat:reuters_qtrly_source_window.fat&amp;display_string=Audit&amp;DYN_ARGS=TRUE&amp;VAR:ID1=29742510&amp;VAR:RCODE=LTLL&amp;VAR:SDATE=20081099&amp;VAR:FREQ=DAILY&amp;VAR:RELITEM=&amp;VAR:CURRENCY=&amp;VAR:CURRSOURCE=EXSHARE&amp;","VAR:NATFREQ=QUARTERLY&amp;VAR:RFIELD=FINALIZED&amp;VAR:DB_TYPE=&amp;VAR:UNITS=M&amp;window=popup&amp;width=450&amp;height=300&amp;START_MAXIMIZED=FALSE"}</definedName>
    <definedName name="_1374__FDSAUDITLINK__" hidden="1">{"fdsup://IBCentral/FAT Viewer?action=UPDATE&amp;creator=factset&amp;DOC_NAME=fat:reuters_qtrly_source_window.fat&amp;display_string=Audit&amp;DYN_ARGS=TRUE&amp;VAR:ID1=29742510&amp;VAR:RCODE=LTCL&amp;VAR:SDATE=20081099&amp;VAR:FREQ=DAILY&amp;VAR:RELITEM=&amp;VAR:CURRENCY=&amp;VAR:CURRSOURCE=EXSHARE&amp;","VAR:NATFREQ=QUARTERLY&amp;VAR:RFIELD=FINALIZED&amp;VAR:DB_TYPE=&amp;VAR:UNITS=M&amp;window=popup&amp;width=450&amp;height=300&amp;START_MAXIMIZED=FALSE"}</definedName>
    <definedName name="_1375__FDSAUDITLINK__" hidden="1">{"fdsup://IBCentral/FAT Viewer?action=UPDATE&amp;creator=factset&amp;DOC_NAME=fat:reuters_qtrly_source_window.fat&amp;display_string=Audit&amp;DYN_ARGS=TRUE&amp;VAR:ID1=29742510&amp;VAR:RCODE=ATCA&amp;VAR:SDATE=20081099&amp;VAR:FREQ=DAILY&amp;VAR:RELITEM=&amp;VAR:CURRENCY=&amp;VAR:CURRSOURCE=EXSHARE&amp;","VAR:NATFREQ=QUARTERLY&amp;VAR:RFIELD=FINALIZED&amp;VAR:DB_TYPE=&amp;VAR:UNITS=M&amp;window=popup&amp;width=450&amp;height=300&amp;START_MAXIMIZED=FALSE"}</definedName>
    <definedName name="_1376__FDSAUDITLINK__" hidden="1">{"fdsup://IBCentral/FAT Viewer?action=UPDATE&amp;creator=factset&amp;DOC_NAME=fat:reuters_qtrly_source_window.fat&amp;display_string=Audit&amp;DYN_ARGS=TRUE&amp;VAR:ID1=29742510&amp;VAR:RCODE=ATOT&amp;VAR:SDATE=20081099&amp;VAR:FREQ=DAILY&amp;VAR:RELITEM=&amp;VAR:CURRENCY=&amp;VAR:CURRSOURCE=EXSHARE&amp;","VAR:NATFREQ=QUARTERLY&amp;VAR:RFIELD=FINALIZED&amp;VAR:DB_TYPE=&amp;VAR:UNITS=M&amp;window=popup&amp;width=450&amp;height=300&amp;START_MAXIMIZED=FALSE"}</definedName>
    <definedName name="_1377__FDSAUDITLINK__" hidden="1">{"fdsup://IBCentral/FAT Viewer?action=UPDATE&amp;creator=factset&amp;DOC_NAME=fat:reuters_qtrly_source_window.fat&amp;display_string=Audit&amp;DYN_ARGS=TRUE&amp;VAR:ID1=29084Q10&amp;VAR:RCODE=LTLL&amp;VAR:SDATE=20081299&amp;VAR:FREQ=DAILY&amp;VAR:RELITEM=&amp;VAR:CURRENCY=&amp;VAR:CURRSOURCE=EXSHARE&amp;","VAR:NATFREQ=QUARTERLY&amp;VAR:RFIELD=FINALIZED&amp;VAR:DB_TYPE=&amp;VAR:UNITS=M&amp;window=popup&amp;width=450&amp;height=300&amp;START_MAXIMIZED=FALSE"}</definedName>
    <definedName name="_1378__FDSAUDITLINK__" hidden="1">{"fdsup://IBCentral/FAT Viewer?action=UPDATE&amp;creator=factset&amp;DOC_NAME=fat:reuters_qtrly_source_window.fat&amp;display_string=Audit&amp;DYN_ARGS=TRUE&amp;VAR:ID1=29084Q10&amp;VAR:RCODE=LTCL&amp;VAR:SDATE=20081299&amp;VAR:FREQ=DAILY&amp;VAR:RELITEM=&amp;VAR:CURRENCY=&amp;VAR:CURRSOURCE=EXSHARE&amp;","VAR:NATFREQ=QUARTERLY&amp;VAR:RFIELD=FINALIZED&amp;VAR:DB_TYPE=&amp;VAR:UNITS=M&amp;window=popup&amp;width=450&amp;height=300&amp;START_MAXIMIZED=FALSE"}</definedName>
    <definedName name="_1379__FDSAUDITLINK__" hidden="1">{"fdsup://IBCentral/FAT Viewer?action=UPDATE&amp;creator=factset&amp;DOC_NAME=fat:reuters_qtrly_source_window.fat&amp;display_string=Audit&amp;DYN_ARGS=TRUE&amp;VAR:ID1=29084Q10&amp;VAR:RCODE=ATCA&amp;VAR:SDATE=20081299&amp;VAR:FREQ=DAILY&amp;VAR:RELITEM=&amp;VAR:CURRENCY=&amp;VAR:CURRSOURCE=EXSHARE&amp;","VAR:NATFREQ=QUARTERLY&amp;VAR:RFIELD=FINALIZED&amp;VAR:DB_TYPE=&amp;VAR:UNITS=M&amp;window=popup&amp;width=450&amp;height=300&amp;START_MAXIMIZED=FALSE"}</definedName>
    <definedName name="_138__FDSAUDITLINK__" hidden="1">{"fdsup://Directions/FactSet Auditing Viewer?action=AUDIT_VALUE&amp;DB=129&amp;ID1=19416210&amp;VALUEID=02999&amp;SDATE=201001&amp;PERIODTYPE=QTR_STD&amp;window=popup_no_bar&amp;width=385&amp;height=120&amp;START_MAXIMIZED=FALSE&amp;creator=factset&amp;display_string=Audit"}</definedName>
    <definedName name="_1380__FDSAUDITLINK__" hidden="1">{"fdsup://IBCentral/FAT Viewer?action=UPDATE&amp;creator=factset&amp;DOC_NAME=fat:reuters_qtrly_source_window.fat&amp;display_string=Audit&amp;DYN_ARGS=TRUE&amp;VAR:ID1=29084Q10&amp;VAR:RCODE=ATOT&amp;VAR:SDATE=20081299&amp;VAR:FREQ=DAILY&amp;VAR:RELITEM=&amp;VAR:CURRENCY=&amp;VAR:CURRSOURCE=EXSHARE&amp;","VAR:NATFREQ=QUARTERLY&amp;VAR:RFIELD=FINALIZED&amp;VAR:DB_TYPE=&amp;VAR:UNITS=M&amp;window=popup&amp;width=450&amp;height=300&amp;START_MAXIMIZED=FALSE"}</definedName>
    <definedName name="_1381__FDSAUDITLINK__" hidden="1">{"fdsup://IBCentral/FAT Viewer?action=UPDATE&amp;creator=factset&amp;DOC_NAME=fat:reuters_qtrly_source_window.fat&amp;display_string=Audit&amp;DYN_ARGS=TRUE&amp;VAR:ID1=24801910&amp;VAR:RCODE=LTLL&amp;VAR:SDATE=20081299&amp;VAR:FREQ=DAILY&amp;VAR:RELITEM=&amp;VAR:CURRENCY=&amp;VAR:CURRSOURCE=EXSHARE&amp;","VAR:NATFREQ=QUARTERLY&amp;VAR:RFIELD=FINALIZED&amp;VAR:DB_TYPE=&amp;VAR:UNITS=M&amp;window=popup&amp;width=450&amp;height=300&amp;START_MAXIMIZED=FALSE"}</definedName>
    <definedName name="_1382__FDSAUDITLINK__" hidden="1">{"fdsup://IBCentral/FAT Viewer?action=UPDATE&amp;creator=factset&amp;DOC_NAME=fat:reuters_qtrly_source_window.fat&amp;display_string=Audit&amp;DYN_ARGS=TRUE&amp;VAR:ID1=24801910&amp;VAR:RCODE=LTCL&amp;VAR:SDATE=20081299&amp;VAR:FREQ=DAILY&amp;VAR:RELITEM=&amp;VAR:CURRENCY=&amp;VAR:CURRSOURCE=EXSHARE&amp;","VAR:NATFREQ=QUARTERLY&amp;VAR:RFIELD=FINALIZED&amp;VAR:DB_TYPE=&amp;VAR:UNITS=M&amp;window=popup&amp;width=450&amp;height=300&amp;START_MAXIMIZED=FALSE"}</definedName>
    <definedName name="_1383__FDSAUDITLINK__" hidden="1">{"fdsup://IBCentral/FAT Viewer?action=UPDATE&amp;creator=factset&amp;DOC_NAME=fat:reuters_qtrly_source_window.fat&amp;display_string=Audit&amp;DYN_ARGS=TRUE&amp;VAR:ID1=24801910&amp;VAR:RCODE=ATCA&amp;VAR:SDATE=20081299&amp;VAR:FREQ=DAILY&amp;VAR:RELITEM=&amp;VAR:CURRENCY=&amp;VAR:CURRSOURCE=EXSHARE&amp;","VAR:NATFREQ=QUARTERLY&amp;VAR:RFIELD=FINALIZED&amp;VAR:DB_TYPE=&amp;VAR:UNITS=M&amp;window=popup&amp;width=450&amp;height=300&amp;START_MAXIMIZED=FALSE"}</definedName>
    <definedName name="_1384__FDSAUDITLINK__" hidden="1">{"fdsup://IBCentral/FAT Viewer?action=UPDATE&amp;creator=factset&amp;DOC_NAME=fat:reuters_qtrly_source_window.fat&amp;display_string=Audit&amp;DYN_ARGS=TRUE&amp;VAR:ID1=24801910&amp;VAR:RCODE=ATOT&amp;VAR:SDATE=20081299&amp;VAR:FREQ=DAILY&amp;VAR:RELITEM=&amp;VAR:CURRENCY=&amp;VAR:CURRSOURCE=EXSHARE&amp;","VAR:NATFREQ=QUARTERLY&amp;VAR:RFIELD=FINALIZED&amp;VAR:DB_TYPE=&amp;VAR:UNITS=M&amp;window=popup&amp;width=450&amp;height=300&amp;START_MAXIMIZED=FALSE"}</definedName>
    <definedName name="_1385__FDSAUDITLINK__" hidden="1">{"fdsup://IBCentral/FAT Viewer?action=UPDATE&amp;creator=factset&amp;DOC_NAME=fat:reuters_qtrly_source_window.fat&amp;display_string=Audit&amp;DYN_ARGS=TRUE&amp;VAR:ID1=22025Y40&amp;VAR:RCODE=LTLL&amp;VAR:SDATE=20081299&amp;VAR:FREQ=DAILY&amp;VAR:RELITEM=&amp;VAR:CURRENCY=&amp;VAR:CURRSOURCE=EXSHARE&amp;","VAR:NATFREQ=QUARTERLY&amp;VAR:RFIELD=FINALIZED&amp;VAR:DB_TYPE=&amp;VAR:UNITS=M&amp;window=popup&amp;width=450&amp;height=300&amp;START_MAXIMIZED=FALSE"}</definedName>
    <definedName name="_1386__FDSAUDITLINK__" hidden="1">{"fdsup://IBCentral/FAT Viewer?action=UPDATE&amp;creator=factset&amp;DOC_NAME=fat:reuters_qtrly_source_window.fat&amp;display_string=Audit&amp;DYN_ARGS=TRUE&amp;VAR:ID1=22025Y40&amp;VAR:RCODE=LTCL&amp;VAR:SDATE=20081299&amp;VAR:FREQ=DAILY&amp;VAR:RELITEM=&amp;VAR:CURRENCY=&amp;VAR:CURRSOURCE=EXSHARE&amp;","VAR:NATFREQ=QUARTERLY&amp;VAR:RFIELD=FINALIZED&amp;VAR:DB_TYPE=&amp;VAR:UNITS=M&amp;window=popup&amp;width=450&amp;height=300&amp;START_MAXIMIZED=FALSE"}</definedName>
    <definedName name="_1387__FDSAUDITLINK__" hidden="1">{"fdsup://IBCentral/FAT Viewer?action=UPDATE&amp;creator=factset&amp;DOC_NAME=fat:reuters_qtrly_source_window.fat&amp;display_string=Audit&amp;DYN_ARGS=TRUE&amp;VAR:ID1=22025Y40&amp;VAR:RCODE=ATCA&amp;VAR:SDATE=20081299&amp;VAR:FREQ=DAILY&amp;VAR:RELITEM=&amp;VAR:CURRENCY=&amp;VAR:CURRSOURCE=EXSHARE&amp;","VAR:NATFREQ=QUARTERLY&amp;VAR:RFIELD=FINALIZED&amp;VAR:DB_TYPE=&amp;VAR:UNITS=M&amp;window=popup&amp;width=450&amp;height=300&amp;START_MAXIMIZED=FALSE"}</definedName>
    <definedName name="_1388__FDSAUDITLINK__" hidden="1">{"fdsup://IBCentral/FAT Viewer?action=UPDATE&amp;creator=factset&amp;DOC_NAME=fat:reuters_qtrly_source_window.fat&amp;display_string=Audit&amp;DYN_ARGS=TRUE&amp;VAR:ID1=22025Y40&amp;VAR:RCODE=ATOT&amp;VAR:SDATE=20081299&amp;VAR:FREQ=DAILY&amp;VAR:RELITEM=&amp;VAR:CURRENCY=&amp;VAR:CURRSOURCE=EXSHARE&amp;","VAR:NATFREQ=QUARTERLY&amp;VAR:RFIELD=FINALIZED&amp;VAR:DB_TYPE=&amp;VAR:UNITS=M&amp;window=popup&amp;width=450&amp;height=300&amp;START_MAXIMIZED=FALSE"}</definedName>
    <definedName name="_1389__FDSAUDITLINK__" hidden="1">{"fdsup://IBCentral/FAT Viewer?action=UPDATE&amp;creator=factset&amp;DOC_NAME=fat:reuters_qtrly_source_window.fat&amp;display_string=Audit&amp;DYN_ARGS=TRUE&amp;VAR:ID1=12561W10&amp;VAR:RCODE=LTLL&amp;VAR:SDATE=20081299&amp;VAR:FREQ=DAILY&amp;VAR:RELITEM=&amp;VAR:CURRENCY=&amp;VAR:CURRSOURCE=EXSHARE&amp;","VAR:NATFREQ=QUARTERLY&amp;VAR:RFIELD=FINALIZED&amp;VAR:DB_TYPE=&amp;VAR:UNITS=M&amp;window=popup&amp;width=450&amp;height=300&amp;START_MAXIMIZED=FALSE"}</definedName>
    <definedName name="_139__FDSAUDITLINK__" hidden="1">{"fdsup://Directions/FactSet Auditing Viewer?action=AUDIT_VALUE&amp;DB=129&amp;ID1=19421W10&amp;VALUEID=02999&amp;SDATE=201001&amp;PERIODTYPE=QTR_STD&amp;window=popup_no_bar&amp;width=385&amp;height=120&amp;START_MAXIMIZED=FALSE&amp;creator=factset&amp;display_string=Audit"}</definedName>
    <definedName name="_1390__FDSAUDITLINK__" hidden="1">{"fdsup://IBCentral/FAT Viewer?action=UPDATE&amp;creator=factset&amp;DOC_NAME=fat:reuters_qtrly_source_window.fat&amp;display_string=Audit&amp;DYN_ARGS=TRUE&amp;VAR:ID1=12561W10&amp;VAR:RCODE=LTCL&amp;VAR:SDATE=20081299&amp;VAR:FREQ=DAILY&amp;VAR:RELITEM=&amp;VAR:CURRENCY=&amp;VAR:CURRSOURCE=EXSHARE&amp;","VAR:NATFREQ=QUARTERLY&amp;VAR:RFIELD=FINALIZED&amp;VAR:DB_TYPE=&amp;VAR:UNITS=M&amp;window=popup&amp;width=450&amp;height=300&amp;START_MAXIMIZED=FALSE"}</definedName>
    <definedName name="_1391__FDSAUDITLINK__" hidden="1">{"fdsup://IBCentral/FAT Viewer?action=UPDATE&amp;creator=factset&amp;DOC_NAME=fat:reuters_qtrly_source_window.fat&amp;display_string=Audit&amp;DYN_ARGS=TRUE&amp;VAR:ID1=12561W10&amp;VAR:RCODE=ATCA&amp;VAR:SDATE=20081299&amp;VAR:FREQ=DAILY&amp;VAR:RELITEM=&amp;VAR:CURRENCY=&amp;VAR:CURRSOURCE=EXSHARE&amp;","VAR:NATFREQ=QUARTERLY&amp;VAR:RFIELD=FINALIZED&amp;VAR:DB_TYPE=&amp;VAR:UNITS=M&amp;window=popup&amp;width=450&amp;height=300&amp;START_MAXIMIZED=FALSE"}</definedName>
    <definedName name="_1392__FDSAUDITLINK__" hidden="1">{"fdsup://IBCentral/FAT Viewer?action=UPDATE&amp;creator=factset&amp;DOC_NAME=fat:reuters_qtrly_source_window.fat&amp;display_string=Audit&amp;DYN_ARGS=TRUE&amp;VAR:ID1=12561W10&amp;VAR:RCODE=ATOT&amp;VAR:SDATE=20081299&amp;VAR:FREQ=DAILY&amp;VAR:RELITEM=&amp;VAR:CURRENCY=&amp;VAR:CURRSOURCE=EXSHARE&amp;","VAR:NATFREQ=QUARTERLY&amp;VAR:RFIELD=FINALIZED&amp;VAR:DB_TYPE=&amp;VAR:UNITS=M&amp;window=popup&amp;width=450&amp;height=300&amp;START_MAXIMIZED=FALSE"}</definedName>
    <definedName name="_1393__FDSAUDITLINK__" hidden="1">{"fdsup://IBCentral/FAT Viewer?action=UPDATE&amp;creator=factset&amp;DOC_NAME=fat:reuters_qtrly_source_window.fat&amp;display_string=Audit&amp;DYN_ARGS=TRUE&amp;VAR:ID1=17134010&amp;VAR:RCODE=LTLL&amp;VAR:SDATE=20081299&amp;VAR:FREQ=DAILY&amp;VAR:RELITEM=&amp;VAR:CURRENCY=&amp;VAR:CURRSOURCE=EXSHARE&amp;","VAR:NATFREQ=QUARTERLY&amp;VAR:RFIELD=FINALIZED&amp;VAR:DB_TYPE=&amp;VAR:UNITS=M&amp;window=popup&amp;width=450&amp;height=300&amp;START_MAXIMIZED=FALSE"}</definedName>
    <definedName name="_1394__FDSAUDITLINK__" hidden="1">{"fdsup://IBCentral/FAT Viewer?action=UPDATE&amp;creator=factset&amp;DOC_NAME=fat:reuters_qtrly_source_window.fat&amp;display_string=Audit&amp;DYN_ARGS=TRUE&amp;VAR:ID1=17134010&amp;VAR:RCODE=LTCL&amp;VAR:SDATE=20081299&amp;VAR:FREQ=DAILY&amp;VAR:RELITEM=&amp;VAR:CURRENCY=&amp;VAR:CURRSOURCE=EXSHARE&amp;","VAR:NATFREQ=QUARTERLY&amp;VAR:RFIELD=FINALIZED&amp;VAR:DB_TYPE=&amp;VAR:UNITS=M&amp;window=popup&amp;width=450&amp;height=300&amp;START_MAXIMIZED=FALSE"}</definedName>
    <definedName name="_1395__FDSAUDITLINK__" hidden="1">{"fdsup://IBCentral/FAT Viewer?action=UPDATE&amp;creator=factset&amp;DOC_NAME=fat:reuters_qtrly_source_window.fat&amp;display_string=Audit&amp;DYN_ARGS=TRUE&amp;VAR:ID1=17134010&amp;VAR:RCODE=ATCA&amp;VAR:SDATE=20081299&amp;VAR:FREQ=DAILY&amp;VAR:RELITEM=&amp;VAR:CURRENCY=&amp;VAR:CURRSOURCE=EXSHARE&amp;","VAR:NATFREQ=QUARTERLY&amp;VAR:RFIELD=FINALIZED&amp;VAR:DB_TYPE=&amp;VAR:UNITS=M&amp;window=popup&amp;width=450&amp;height=300&amp;START_MAXIMIZED=FALSE"}</definedName>
    <definedName name="_1396__FDSAUDITLINK__" hidden="1">{"fdsup://IBCentral/FAT Viewer?action=UPDATE&amp;creator=factset&amp;DOC_NAME=fat:reuters_qtrly_source_window.fat&amp;display_string=Audit&amp;DYN_ARGS=TRUE&amp;VAR:ID1=17134010&amp;VAR:RCODE=ATOT&amp;VAR:SDATE=20081299&amp;VAR:FREQ=DAILY&amp;VAR:RELITEM=&amp;VAR:CURRENCY=&amp;VAR:CURRSOURCE=EXSHARE&amp;","VAR:NATFREQ=QUARTERLY&amp;VAR:RFIELD=FINALIZED&amp;VAR:DB_TYPE=&amp;VAR:UNITS=M&amp;window=popup&amp;width=450&amp;height=300&amp;START_MAXIMIZED=FALSE"}</definedName>
    <definedName name="_1397__FDSAUDITLINK__" hidden="1">{"fdsup://IBCentral/FAT Viewer?action=UPDATE&amp;creator=factset&amp;DOC_NAME=fat:reuters_qtrly_source_window.fat&amp;display_string=Audit&amp;DYN_ARGS=TRUE&amp;VAR:ID1=16990510&amp;VAR:RCODE=LTLL&amp;VAR:SDATE=20081299&amp;VAR:FREQ=DAILY&amp;VAR:RELITEM=&amp;VAR:CURRENCY=&amp;VAR:CURRSOURCE=EXSHARE&amp;","VAR:NATFREQ=QUARTERLY&amp;VAR:RFIELD=FINALIZED&amp;VAR:DB_TYPE=&amp;VAR:UNITS=M&amp;window=popup&amp;width=450&amp;height=300&amp;START_MAXIMIZED=FALSE"}</definedName>
    <definedName name="_1398__FDSAUDITLINK__" hidden="1">{"fdsup://IBCentral/FAT Viewer?action=UPDATE&amp;creator=factset&amp;DOC_NAME=fat:reuters_qtrly_source_window.fat&amp;display_string=Audit&amp;DYN_ARGS=TRUE&amp;VAR:ID1=16990510&amp;VAR:RCODE=LTCL&amp;VAR:SDATE=20081299&amp;VAR:FREQ=DAILY&amp;VAR:RELITEM=&amp;VAR:CURRENCY=&amp;VAR:CURRSOURCE=EXSHARE&amp;","VAR:NATFREQ=QUARTERLY&amp;VAR:RFIELD=FINALIZED&amp;VAR:DB_TYPE=&amp;VAR:UNITS=M&amp;window=popup&amp;width=450&amp;height=300&amp;START_MAXIMIZED=FALSE"}</definedName>
    <definedName name="_1399__FDSAUDITLINK__" hidden="1">{"fdsup://IBCentral/FAT Viewer?action=UPDATE&amp;creator=factset&amp;DOC_NAME=fat:reuters_qtrly_source_window.fat&amp;display_string=Audit&amp;DYN_ARGS=TRUE&amp;VAR:ID1=16990510&amp;VAR:RCODE=ATCA&amp;VAR:SDATE=20081299&amp;VAR:FREQ=DAILY&amp;VAR:RELITEM=&amp;VAR:CURRENCY=&amp;VAR:CURRSOURCE=EXSHARE&amp;","VAR:NATFREQ=QUARTERLY&amp;VAR:RFIELD=FINALIZED&amp;VAR:DB_TYPE=&amp;VAR:UNITS=M&amp;window=popup&amp;width=450&amp;height=300&amp;START_MAXIMIZED=FALSE"}</definedName>
    <definedName name="_14__FDSAUDITLINK__" hidden="1">{"fdsup://Directions/FactSet Auditing Viewer?action=AUDIT_VALUE&amp;DB=129&amp;ID1=86681020&amp;VALUEID=02999&amp;SDATE=201001&amp;PERIODTYPE=QTR_STD&amp;window=popup_no_bar&amp;width=385&amp;height=120&amp;START_MAXIMIZED=FALSE&amp;creator=factset&amp;display_string=Audit"}</definedName>
    <definedName name="_140__FDSAUDITLINK__" hidden="1">{"fdsup://Directions/FactSet Auditing Viewer?action=AUDIT_VALUE&amp;DB=129&amp;ID1=20030N10&amp;VALUEID=02999&amp;SDATE=201001&amp;PERIODTYPE=QTR_STD&amp;window=popup_no_bar&amp;width=385&amp;height=120&amp;START_MAXIMIZED=FALSE&amp;creator=factset&amp;display_string=Audit"}</definedName>
    <definedName name="_1400__FDSAUDITLINK__" hidden="1">{"fdsup://IBCentral/FAT Viewer?action=UPDATE&amp;creator=factset&amp;DOC_NAME=fat:reuters_qtrly_source_window.fat&amp;display_string=Audit&amp;DYN_ARGS=TRUE&amp;VAR:ID1=16990510&amp;VAR:RCODE=ATOT&amp;VAR:SDATE=20081299&amp;VAR:FREQ=DAILY&amp;VAR:RELITEM=&amp;VAR:CURRENCY=&amp;VAR:CURRSOURCE=EXSHARE&amp;","VAR:NATFREQ=QUARTERLY&amp;VAR:RFIELD=FINALIZED&amp;VAR:DB_TYPE=&amp;VAR:UNITS=M&amp;window=popup&amp;width=450&amp;height=300&amp;START_MAXIMIZED=FALSE"}</definedName>
    <definedName name="_1401__FDSAUDITLINK__" hidden="1">{"fdsup://IBCentral/FAT Viewer?action=UPDATE&amp;creator=factset&amp;DOC_NAME=fat:reuters_qtrly_source_window.fat&amp;display_string=Audit&amp;DYN_ARGS=TRUE&amp;VAR:ID1=15986410&amp;VAR:RCODE=LTLL&amp;VAR:SDATE=20081299&amp;VAR:FREQ=DAILY&amp;VAR:RELITEM=&amp;VAR:CURRENCY=&amp;VAR:CURRSOURCE=EXSHARE&amp;","VAR:NATFREQ=QUARTERLY&amp;VAR:RFIELD=FINALIZED&amp;VAR:DB_TYPE=&amp;VAR:UNITS=M&amp;window=popup&amp;width=450&amp;height=300&amp;START_MAXIMIZED=FALSE"}</definedName>
    <definedName name="_1402__FDSAUDITLINK__" hidden="1">{"fdsup://IBCentral/FAT Viewer?action=UPDATE&amp;creator=factset&amp;DOC_NAME=fat:reuters_qtrly_source_window.fat&amp;display_string=Audit&amp;DYN_ARGS=TRUE&amp;VAR:ID1=15986410&amp;VAR:RCODE=LTCL&amp;VAR:SDATE=20081299&amp;VAR:FREQ=DAILY&amp;VAR:RELITEM=&amp;VAR:CURRENCY=&amp;VAR:CURRSOURCE=EXSHARE&amp;","VAR:NATFREQ=QUARTERLY&amp;VAR:RFIELD=FINALIZED&amp;VAR:DB_TYPE=&amp;VAR:UNITS=M&amp;window=popup&amp;width=450&amp;height=300&amp;START_MAXIMIZED=FALSE"}</definedName>
    <definedName name="_1403__FDSAUDITLINK__" hidden="1">{"fdsup://IBCentral/FAT Viewer?action=UPDATE&amp;creator=factset&amp;DOC_NAME=fat:reuters_qtrly_source_window.fat&amp;display_string=Audit&amp;DYN_ARGS=TRUE&amp;VAR:ID1=15986410&amp;VAR:RCODE=ATCA&amp;VAR:SDATE=20081299&amp;VAR:FREQ=DAILY&amp;VAR:RELITEM=&amp;VAR:CURRENCY=&amp;VAR:CURRSOURCE=EXSHARE&amp;","VAR:NATFREQ=QUARTERLY&amp;VAR:RFIELD=FINALIZED&amp;VAR:DB_TYPE=&amp;VAR:UNITS=M&amp;window=popup&amp;width=450&amp;height=300&amp;START_MAXIMIZED=FALSE"}</definedName>
    <definedName name="_1404__FDSAUDITLINK__" hidden="1">{"fdsup://IBCentral/FAT Viewer?action=UPDATE&amp;creator=factset&amp;DOC_NAME=fat:reuters_qtrly_source_window.fat&amp;display_string=Audit&amp;DYN_ARGS=TRUE&amp;VAR:ID1=15986410&amp;VAR:RCODE=ATOT&amp;VAR:SDATE=20081299&amp;VAR:FREQ=DAILY&amp;VAR:RELITEM=&amp;VAR:CURRENCY=&amp;VAR:CURRSOURCE=EXSHARE&amp;","VAR:NATFREQ=QUARTERLY&amp;VAR:RFIELD=FINALIZED&amp;VAR:DB_TYPE=&amp;VAR:UNITS=M&amp;window=popup&amp;width=450&amp;height=300&amp;START_MAXIMIZED=FALSE"}</definedName>
    <definedName name="_1405__FDSAUDITLINK__" hidden="1">{"fdsup://IBCentral/FAT Viewer?action=UPDATE&amp;creator=factset&amp;DOC_NAME=fat:reuters_qtrly_source_window.fat&amp;display_string=Audit&amp;DYN_ARGS=TRUE&amp;VAR:ID1=11039410&amp;VAR:RCODE=LTLL&amp;VAR:SDATE=20081299&amp;VAR:FREQ=DAILY&amp;VAR:RELITEM=&amp;VAR:CURRENCY=&amp;VAR:CURRSOURCE=EXSHARE&amp;","VAR:NATFREQ=QUARTERLY&amp;VAR:RFIELD=FINALIZED&amp;VAR:DB_TYPE=&amp;VAR:UNITS=M&amp;window=popup&amp;width=450&amp;height=300&amp;START_MAXIMIZED=FALSE"}</definedName>
    <definedName name="_1406__FDSAUDITLINK__" hidden="1">{"fdsup://IBCentral/FAT Viewer?action=UPDATE&amp;creator=factset&amp;DOC_NAME=fat:reuters_qtrly_source_window.fat&amp;display_string=Audit&amp;DYN_ARGS=TRUE&amp;VAR:ID1=11039410&amp;VAR:RCODE=LTCL&amp;VAR:SDATE=20081299&amp;VAR:FREQ=DAILY&amp;VAR:RELITEM=&amp;VAR:CURRENCY=&amp;VAR:CURRSOURCE=EXSHARE&amp;","VAR:NATFREQ=QUARTERLY&amp;VAR:RFIELD=FINALIZED&amp;VAR:DB_TYPE=&amp;VAR:UNITS=M&amp;window=popup&amp;width=450&amp;height=300&amp;START_MAXIMIZED=FALSE"}</definedName>
    <definedName name="_1407__FDSAUDITLINK__" hidden="1">{"fdsup://IBCentral/FAT Viewer?action=UPDATE&amp;creator=factset&amp;DOC_NAME=fat:reuters_qtrly_source_window.fat&amp;display_string=Audit&amp;DYN_ARGS=TRUE&amp;VAR:ID1=11039410&amp;VAR:RCODE=ATCA&amp;VAR:SDATE=20081299&amp;VAR:FREQ=DAILY&amp;VAR:RELITEM=&amp;VAR:CURRENCY=&amp;VAR:CURRSOURCE=EXSHARE&amp;","VAR:NATFREQ=QUARTERLY&amp;VAR:RFIELD=FINALIZED&amp;VAR:DB_TYPE=&amp;VAR:UNITS=M&amp;window=popup&amp;width=450&amp;height=300&amp;START_MAXIMIZED=FALSE"}</definedName>
    <definedName name="_1408__FDSAUDITLINK__" hidden="1">{"fdsup://IBCentral/FAT Viewer?action=UPDATE&amp;creator=factset&amp;DOC_NAME=fat:reuters_qtrly_source_window.fat&amp;display_string=Audit&amp;DYN_ARGS=TRUE&amp;VAR:ID1=11039410&amp;VAR:RCODE=ATOT&amp;VAR:SDATE=20081299&amp;VAR:FREQ=DAILY&amp;VAR:RELITEM=&amp;VAR:CURRENCY=&amp;VAR:CURRSOURCE=EXSHARE&amp;","VAR:NATFREQ=QUARTERLY&amp;VAR:RFIELD=FINALIZED&amp;VAR:DB_TYPE=&amp;VAR:UNITS=M&amp;window=popup&amp;width=450&amp;height=300&amp;START_MAXIMIZED=FALSE"}</definedName>
    <definedName name="_1409__FDSAUDITLINK__" hidden="1">{"fdsup://IBCentral/FAT Viewer?action=UPDATE&amp;creator=factset&amp;DOC_NAME=fat:reuters_qtrly_source_window.fat&amp;display_string=Audit&amp;DYN_ARGS=TRUE&amp;VAR:ID1=10964110&amp;VAR:RCODE=LTLL&amp;VAR:SDATE=20081299&amp;VAR:FREQ=DAILY&amp;VAR:RELITEM=&amp;VAR:CURRENCY=&amp;VAR:CURRSOURCE=EXSHARE&amp;","VAR:NATFREQ=QUARTERLY&amp;VAR:RFIELD=FINALIZED&amp;VAR:DB_TYPE=&amp;VAR:UNITS=M&amp;window=popup&amp;width=450&amp;height=300&amp;START_MAXIMIZED=FALSE"}</definedName>
    <definedName name="_141__FDSAUDITLINK__" hidden="1">{"fdsup://Directions/FactSet Auditing Viewer?action=AUDIT_VALUE&amp;DB=129&amp;ID1=20172310&amp;VALUEID=02999&amp;SDATE=201003&amp;PERIODTYPE=QTR_STD&amp;window=popup_no_bar&amp;width=385&amp;height=120&amp;START_MAXIMIZED=FALSE&amp;creator=factset&amp;display_string=Audit"}</definedName>
    <definedName name="_1410__FDSAUDITLINK__" hidden="1">{"fdsup://IBCentral/FAT Viewer?action=UPDATE&amp;creator=factset&amp;DOC_NAME=fat:reuters_qtrly_source_window.fat&amp;display_string=Audit&amp;DYN_ARGS=TRUE&amp;VAR:ID1=10964110&amp;VAR:RCODE=LTCL&amp;VAR:SDATE=20081299&amp;VAR:FREQ=DAILY&amp;VAR:RELITEM=&amp;VAR:CURRENCY=&amp;VAR:CURRSOURCE=EXSHARE&amp;","VAR:NATFREQ=QUARTERLY&amp;VAR:RFIELD=FINALIZED&amp;VAR:DB_TYPE=&amp;VAR:UNITS=M&amp;window=popup&amp;width=450&amp;height=300&amp;START_MAXIMIZED=FALSE"}</definedName>
    <definedName name="_1411__FDSAUDITLINK__" hidden="1">{"fdsup://IBCentral/FAT Viewer?action=UPDATE&amp;creator=factset&amp;DOC_NAME=fat:reuters_qtrly_source_window.fat&amp;display_string=Audit&amp;DYN_ARGS=TRUE&amp;VAR:ID1=10964110&amp;VAR:RCODE=ATCA&amp;VAR:SDATE=20081299&amp;VAR:FREQ=DAILY&amp;VAR:RELITEM=&amp;VAR:CURRENCY=&amp;VAR:CURRSOURCE=EXSHARE&amp;","VAR:NATFREQ=QUARTERLY&amp;VAR:RFIELD=FINALIZED&amp;VAR:DB_TYPE=&amp;VAR:UNITS=M&amp;window=popup&amp;width=450&amp;height=300&amp;START_MAXIMIZED=FALSE"}</definedName>
    <definedName name="_1412__FDSAUDITLINK__" hidden="1">{"fdsup://IBCentral/FAT Viewer?action=UPDATE&amp;creator=factset&amp;DOC_NAME=fat:reuters_qtrly_source_window.fat&amp;display_string=Audit&amp;DYN_ARGS=TRUE&amp;VAR:ID1=10964110&amp;VAR:RCODE=ATOT&amp;VAR:SDATE=20081299&amp;VAR:FREQ=DAILY&amp;VAR:RELITEM=&amp;VAR:CURRENCY=&amp;VAR:CURRSOURCE=EXSHARE&amp;","VAR:NATFREQ=QUARTERLY&amp;VAR:RFIELD=FINALIZED&amp;VAR:DB_TYPE=&amp;VAR:UNITS=M&amp;window=popup&amp;width=450&amp;height=300&amp;START_MAXIMIZED=FALSE"}</definedName>
    <definedName name="_1413__FDSAUDITLINK__" hidden="1">{"fdsup://IBCentral/FAT Viewer?action=UPDATE&amp;creator=factset&amp;DOC_NAME=fat:reuters_qtrly_source_window.fat&amp;display_string=Audit&amp;DYN_ARGS=TRUE&amp;VAR:ID1=10904310&amp;VAR:RCODE=LTLL&amp;VAR:SDATE=20081299&amp;VAR:FREQ=DAILY&amp;VAR:RELITEM=&amp;VAR:CURRENCY=&amp;VAR:CURRSOURCE=EXSHARE&amp;","VAR:NATFREQ=QUARTERLY&amp;VAR:RFIELD=FINALIZED&amp;VAR:DB_TYPE=&amp;VAR:UNITS=M&amp;window=popup&amp;width=450&amp;height=300&amp;START_MAXIMIZED=FALSE"}</definedName>
    <definedName name="_1414__FDSAUDITLINK__" hidden="1">{"fdsup://IBCentral/FAT Viewer?action=UPDATE&amp;creator=factset&amp;DOC_NAME=fat:reuters_qtrly_source_window.fat&amp;display_string=Audit&amp;DYN_ARGS=TRUE&amp;VAR:ID1=10904310&amp;VAR:RCODE=LTCL&amp;VAR:SDATE=20081299&amp;VAR:FREQ=DAILY&amp;VAR:RELITEM=&amp;VAR:CURRENCY=&amp;VAR:CURRSOURCE=EXSHARE&amp;","VAR:NATFREQ=QUARTERLY&amp;VAR:RFIELD=FINALIZED&amp;VAR:DB_TYPE=&amp;VAR:UNITS=M&amp;window=popup&amp;width=450&amp;height=300&amp;START_MAXIMIZED=FALSE"}</definedName>
    <definedName name="_1415__FDSAUDITLINK__" hidden="1">{"fdsup://IBCentral/FAT Viewer?action=UPDATE&amp;creator=factset&amp;DOC_NAME=fat:reuters_qtrly_source_window.fat&amp;display_string=Audit&amp;DYN_ARGS=TRUE&amp;VAR:ID1=10904310&amp;VAR:RCODE=ATCA&amp;VAR:SDATE=20081299&amp;VAR:FREQ=DAILY&amp;VAR:RELITEM=&amp;VAR:CURRENCY=&amp;VAR:CURRSOURCE=EXSHARE&amp;","VAR:NATFREQ=QUARTERLY&amp;VAR:RFIELD=FINALIZED&amp;VAR:DB_TYPE=&amp;VAR:UNITS=M&amp;window=popup&amp;width=450&amp;height=300&amp;START_MAXIMIZED=FALSE"}</definedName>
    <definedName name="_1416__FDSAUDITLINK__" hidden="1">{"fdsup://IBCentral/FAT Viewer?action=UPDATE&amp;creator=factset&amp;DOC_NAME=fat:reuters_qtrly_source_window.fat&amp;display_string=Audit&amp;DYN_ARGS=TRUE&amp;VAR:ID1=10904310&amp;VAR:RCODE=ATOT&amp;VAR:SDATE=20081299&amp;VAR:FREQ=DAILY&amp;VAR:RELITEM=&amp;VAR:CURRENCY=&amp;VAR:CURRSOURCE=EXSHARE&amp;","VAR:NATFREQ=QUARTERLY&amp;VAR:RFIELD=FINALIZED&amp;VAR:DB_TYPE=&amp;VAR:UNITS=M&amp;window=popup&amp;width=450&amp;height=300&amp;START_MAXIMIZED=FALSE"}</definedName>
    <definedName name="_1417__FDSAUDITLINK__" hidden="1">{"fdsup://IBCentral/FAT Viewer?action=UPDATE&amp;creator=factset&amp;DOC_NAME=fat:reuters_qtrly_source_window.fat&amp;display_string=Audit&amp;DYN_ARGS=TRUE&amp;VAR:ID1=10113710&amp;VAR:RCODE=LTLL&amp;VAR:SDATE=20081299&amp;VAR:FREQ=DAILY&amp;VAR:RELITEM=&amp;VAR:CURRENCY=&amp;VAR:CURRSOURCE=EXSHARE&amp;","VAR:NATFREQ=QUARTERLY&amp;VAR:RFIELD=FINALIZED&amp;VAR:DB_TYPE=&amp;VAR:UNITS=M&amp;window=popup&amp;width=450&amp;height=300&amp;START_MAXIMIZED=FALSE"}</definedName>
    <definedName name="_1418__FDSAUDITLINK__" hidden="1">{"fdsup://IBCentral/FAT Viewer?action=UPDATE&amp;creator=factset&amp;DOC_NAME=fat:reuters_qtrly_source_window.fat&amp;display_string=Audit&amp;DYN_ARGS=TRUE&amp;VAR:ID1=10113710&amp;VAR:RCODE=LTCL&amp;VAR:SDATE=20081299&amp;VAR:FREQ=DAILY&amp;VAR:RELITEM=&amp;VAR:CURRENCY=&amp;VAR:CURRSOURCE=EXSHARE&amp;","VAR:NATFREQ=QUARTERLY&amp;VAR:RFIELD=FINALIZED&amp;VAR:DB_TYPE=&amp;VAR:UNITS=M&amp;window=popup&amp;width=450&amp;height=300&amp;START_MAXIMIZED=FALSE"}</definedName>
    <definedName name="_1419__FDSAUDITLINK__" hidden="1">{"fdsup://IBCentral/FAT Viewer?action=UPDATE&amp;creator=factset&amp;DOC_NAME=fat:reuters_qtrly_source_window.fat&amp;display_string=Audit&amp;DYN_ARGS=TRUE&amp;VAR:ID1=10113710&amp;VAR:RCODE=ATCA&amp;VAR:SDATE=20081299&amp;VAR:FREQ=DAILY&amp;VAR:RELITEM=&amp;VAR:CURRENCY=&amp;VAR:CURRSOURCE=EXSHARE&amp;","VAR:NATFREQ=QUARTERLY&amp;VAR:RFIELD=FINALIZED&amp;VAR:DB_TYPE=&amp;VAR:UNITS=M&amp;window=popup&amp;width=450&amp;height=300&amp;START_MAXIMIZED=FALSE"}</definedName>
    <definedName name="_142__FDSAUDITLINK__" hidden="1">{"fdsup://Directions/FactSet Auditing Viewer?action=AUDIT_VALUE&amp;DB=129&amp;ID1=20260810&amp;VALUEID=02999&amp;SDATE=201001&amp;PERIODTYPE=QTR_STD&amp;window=popup_no_bar&amp;width=385&amp;height=120&amp;START_MAXIMIZED=FALSE&amp;creator=factset&amp;display_string=Audit"}</definedName>
    <definedName name="_1420__FDSAUDITLINK__" hidden="1">{"fdsup://IBCentral/FAT Viewer?action=UPDATE&amp;creator=factset&amp;DOC_NAME=fat:reuters_qtrly_source_window.fat&amp;display_string=Audit&amp;DYN_ARGS=TRUE&amp;VAR:ID1=10113710&amp;VAR:RCODE=ATOT&amp;VAR:SDATE=20081299&amp;VAR:FREQ=DAILY&amp;VAR:RELITEM=&amp;VAR:CURRENCY=&amp;VAR:CURRSOURCE=EXSHARE&amp;","VAR:NATFREQ=QUARTERLY&amp;VAR:RFIELD=FINALIZED&amp;VAR:DB_TYPE=&amp;VAR:UNITS=M&amp;window=popup&amp;width=450&amp;height=300&amp;START_MAXIMIZED=FALSE"}</definedName>
    <definedName name="_1421__FDSAUDITLINK__" hidden="1">{"fdsup://IBCentral/FAT Viewer?action=UPDATE&amp;creator=factset&amp;DOC_NAME=fat:reuters_qtrly_source_window.fat&amp;display_string=Audit&amp;DYN_ARGS=TRUE&amp;VAR:ID1=09057220&amp;VAR:RCODE=LTLL&amp;VAR:SDATE=20081299&amp;VAR:FREQ=DAILY&amp;VAR:RELITEM=&amp;VAR:CURRENCY=&amp;VAR:CURRSOURCE=EXSHARE&amp;","VAR:NATFREQ=QUARTERLY&amp;VAR:RFIELD=FINALIZED&amp;VAR:DB_TYPE=&amp;VAR:UNITS=M&amp;window=popup&amp;width=450&amp;height=300&amp;START_MAXIMIZED=FALSE"}</definedName>
    <definedName name="_1422__FDSAUDITLINK__" hidden="1">{"fdsup://IBCentral/FAT Viewer?action=UPDATE&amp;creator=factset&amp;DOC_NAME=fat:reuters_qtrly_source_window.fat&amp;display_string=Audit&amp;DYN_ARGS=TRUE&amp;VAR:ID1=09057220&amp;VAR:RCODE=LTCL&amp;VAR:SDATE=20081299&amp;VAR:FREQ=DAILY&amp;VAR:RELITEM=&amp;VAR:CURRENCY=&amp;VAR:CURRSOURCE=EXSHARE&amp;","VAR:NATFREQ=QUARTERLY&amp;VAR:RFIELD=FINALIZED&amp;VAR:DB_TYPE=&amp;VAR:UNITS=M&amp;window=popup&amp;width=450&amp;height=300&amp;START_MAXIMIZED=FALSE"}</definedName>
    <definedName name="_1423__FDSAUDITLINK__" hidden="1">{"fdsup://IBCentral/FAT Viewer?action=UPDATE&amp;creator=factset&amp;DOC_NAME=fat:reuters_qtrly_source_window.fat&amp;display_string=Audit&amp;DYN_ARGS=TRUE&amp;VAR:ID1=09057220&amp;VAR:RCODE=ATCA&amp;VAR:SDATE=20081299&amp;VAR:FREQ=DAILY&amp;VAR:RELITEM=&amp;VAR:CURRENCY=&amp;VAR:CURRSOURCE=EXSHARE&amp;","VAR:NATFREQ=QUARTERLY&amp;VAR:RFIELD=FINALIZED&amp;VAR:DB_TYPE=&amp;VAR:UNITS=M&amp;window=popup&amp;width=450&amp;height=300&amp;START_MAXIMIZED=FALSE"}</definedName>
    <definedName name="_1424__FDSAUDITLINK__" hidden="1">{"fdsup://IBCentral/FAT Viewer?action=UPDATE&amp;creator=factset&amp;DOC_NAME=fat:reuters_qtrly_source_window.fat&amp;display_string=Audit&amp;DYN_ARGS=TRUE&amp;VAR:ID1=09057220&amp;VAR:RCODE=ATOT&amp;VAR:SDATE=20081299&amp;VAR:FREQ=DAILY&amp;VAR:RELITEM=&amp;VAR:CURRENCY=&amp;VAR:CURRSOURCE=EXSHARE&amp;","VAR:NATFREQ=QUARTERLY&amp;VAR:RFIELD=FINALIZED&amp;VAR:DB_TYPE=&amp;VAR:UNITS=M&amp;window=popup&amp;width=450&amp;height=300&amp;START_MAXIMIZED=FALSE"}</definedName>
    <definedName name="_1425__FDSAUDITLINK__" hidden="1">{"fdsup://IBCentral/FAT Viewer?action=UPDATE&amp;creator=factset&amp;DOC_NAME=fat:reuters_qtrly_source_window.fat&amp;display_string=Audit&amp;DYN_ARGS=TRUE&amp;VAR:ID1=05849810&amp;VAR:RCODE=LTLL&amp;VAR:SDATE=20081299&amp;VAR:FREQ=DAILY&amp;VAR:RELITEM=&amp;VAR:CURRENCY=&amp;VAR:CURRSOURCE=EXSHARE&amp;","VAR:NATFREQ=QUARTERLY&amp;VAR:RFIELD=FINALIZED&amp;VAR:DB_TYPE=&amp;VAR:UNITS=M&amp;window=popup&amp;width=450&amp;height=300&amp;START_MAXIMIZED=FALSE"}</definedName>
    <definedName name="_1426__FDSAUDITLINK__" hidden="1">{"fdsup://IBCentral/FAT Viewer?action=UPDATE&amp;creator=factset&amp;DOC_NAME=fat:reuters_qtrly_source_window.fat&amp;display_string=Audit&amp;DYN_ARGS=TRUE&amp;VAR:ID1=05849810&amp;VAR:RCODE=LTCL&amp;VAR:SDATE=20081299&amp;VAR:FREQ=DAILY&amp;VAR:RELITEM=&amp;VAR:CURRENCY=&amp;VAR:CURRSOURCE=EXSHARE&amp;","VAR:NATFREQ=QUARTERLY&amp;VAR:RFIELD=FINALIZED&amp;VAR:DB_TYPE=&amp;VAR:UNITS=M&amp;window=popup&amp;width=450&amp;height=300&amp;START_MAXIMIZED=FALSE"}</definedName>
    <definedName name="_1427__FDSAUDITLINK__" hidden="1">{"fdsup://IBCentral/FAT Viewer?action=UPDATE&amp;creator=factset&amp;DOC_NAME=fat:reuters_qtrly_source_window.fat&amp;display_string=Audit&amp;DYN_ARGS=TRUE&amp;VAR:ID1=05849810&amp;VAR:RCODE=ATCA&amp;VAR:SDATE=20081299&amp;VAR:FREQ=DAILY&amp;VAR:RELITEM=&amp;VAR:CURRENCY=&amp;VAR:CURRSOURCE=EXSHARE&amp;","VAR:NATFREQ=QUARTERLY&amp;VAR:RFIELD=FINALIZED&amp;VAR:DB_TYPE=&amp;VAR:UNITS=M&amp;window=popup&amp;width=450&amp;height=300&amp;START_MAXIMIZED=FALSE"}</definedName>
    <definedName name="_1428__FDSAUDITLINK__" hidden="1">{"fdsup://IBCentral/FAT Viewer?action=UPDATE&amp;creator=factset&amp;DOC_NAME=fat:reuters_qtrly_source_window.fat&amp;display_string=Audit&amp;DYN_ARGS=TRUE&amp;VAR:ID1=05849810&amp;VAR:RCODE=ATOT&amp;VAR:SDATE=20081299&amp;VAR:FREQ=DAILY&amp;VAR:RELITEM=&amp;VAR:CURRENCY=&amp;VAR:CURRSOURCE=EXSHARE&amp;","VAR:NATFREQ=QUARTERLY&amp;VAR:RFIELD=FINALIZED&amp;VAR:DB_TYPE=&amp;VAR:UNITS=M&amp;window=popup&amp;width=450&amp;height=300&amp;START_MAXIMIZED=FALSE"}</definedName>
    <definedName name="_1429__FDSAUDITLINK__" hidden="1">{"fdsup://IBCentral/FAT Viewer?action=UPDATE&amp;creator=factset&amp;DOC_NAME=fat:reuters_qtrly_source_window.fat&amp;display_string=Audit&amp;DYN_ARGS=TRUE&amp;VAR:ID1=05329W10&amp;VAR:RCODE=LTLL&amp;VAR:SDATE=20081299&amp;VAR:FREQ=DAILY&amp;VAR:RELITEM=&amp;VAR:CURRENCY=&amp;VAR:CURRSOURCE=EXSHARE&amp;","VAR:NATFREQ=QUARTERLY&amp;VAR:RFIELD=FINALIZED&amp;VAR:DB_TYPE=&amp;VAR:UNITS=M&amp;window=popup&amp;width=450&amp;height=300&amp;START_MAXIMIZED=FALSE"}</definedName>
    <definedName name="_143__FDSAUDITLINK__" hidden="1">{"fdsup://Directions/FactSet Auditing Viewer?action=AUDIT_VALUE&amp;DB=129&amp;ID1=20323310&amp;VALUEID=02999&amp;SDATE=201001&amp;PERIODTYPE=QTR_STD&amp;window=popup_no_bar&amp;width=385&amp;height=120&amp;START_MAXIMIZED=FALSE&amp;creator=factset&amp;display_string=Audit"}</definedName>
    <definedName name="_1430__FDSAUDITLINK__" hidden="1">{"fdsup://IBCentral/FAT Viewer?action=UPDATE&amp;creator=factset&amp;DOC_NAME=fat:reuters_qtrly_source_window.fat&amp;display_string=Audit&amp;DYN_ARGS=TRUE&amp;VAR:ID1=05329W10&amp;VAR:RCODE=LTCL&amp;VAR:SDATE=20081299&amp;VAR:FREQ=DAILY&amp;VAR:RELITEM=&amp;VAR:CURRENCY=&amp;VAR:CURRSOURCE=EXSHARE&amp;","VAR:NATFREQ=QUARTERLY&amp;VAR:RFIELD=FINALIZED&amp;VAR:DB_TYPE=&amp;VAR:UNITS=M&amp;window=popup&amp;width=450&amp;height=300&amp;START_MAXIMIZED=FALSE"}</definedName>
    <definedName name="_1431__FDSAUDITLINK__" hidden="1">{"fdsup://IBCentral/FAT Viewer?action=UPDATE&amp;creator=factset&amp;DOC_NAME=fat:reuters_qtrly_source_window.fat&amp;display_string=Audit&amp;DYN_ARGS=TRUE&amp;VAR:ID1=05329W10&amp;VAR:RCODE=ATCA&amp;VAR:SDATE=20081299&amp;VAR:FREQ=DAILY&amp;VAR:RELITEM=&amp;VAR:CURRENCY=&amp;VAR:CURRSOURCE=EXSHARE&amp;","VAR:NATFREQ=QUARTERLY&amp;VAR:RFIELD=FINALIZED&amp;VAR:DB_TYPE=&amp;VAR:UNITS=M&amp;window=popup&amp;width=450&amp;height=300&amp;START_MAXIMIZED=FALSE"}</definedName>
    <definedName name="_1432__FDSAUDITLINK__" hidden="1">{"fdsup://IBCentral/FAT Viewer?action=UPDATE&amp;creator=factset&amp;DOC_NAME=fat:reuters_qtrly_source_window.fat&amp;display_string=Audit&amp;DYN_ARGS=TRUE&amp;VAR:ID1=05329W10&amp;VAR:RCODE=ATOT&amp;VAR:SDATE=20081299&amp;VAR:FREQ=DAILY&amp;VAR:RELITEM=&amp;VAR:CURRENCY=&amp;VAR:CURRSOURCE=EXSHARE&amp;","VAR:NATFREQ=QUARTERLY&amp;VAR:RFIELD=FINALIZED&amp;VAR:DB_TYPE=&amp;VAR:UNITS=M&amp;window=popup&amp;width=450&amp;height=300&amp;START_MAXIMIZED=FALSE"}</definedName>
    <definedName name="_1433__FDSAUDITLINK__" hidden="1">{"fdsup://IBCentral/FAT Viewer?action=UPDATE&amp;creator=factset&amp;DOC_NAME=fat:reuters_qtrly_source_window.fat&amp;display_string=Audit&amp;DYN_ARGS=TRUE&amp;VAR:ID1=02637510&amp;VAR:RCODE=LTLL&amp;VAR:SDATE=20081199&amp;VAR:FREQ=DAILY&amp;VAR:RELITEM=&amp;VAR:CURRENCY=&amp;VAR:CURRSOURCE=EXSHARE&amp;","VAR:NATFREQ=QUARTERLY&amp;VAR:RFIELD=FINALIZED&amp;VAR:DB_TYPE=&amp;VAR:UNITS=M&amp;window=popup&amp;width=450&amp;height=300&amp;START_MAXIMIZED=FALSE"}</definedName>
    <definedName name="_1434__FDSAUDITLINK__" hidden="1">{"fdsup://IBCentral/FAT Viewer?action=UPDATE&amp;creator=factset&amp;DOC_NAME=fat:reuters_qtrly_source_window.fat&amp;display_string=Audit&amp;DYN_ARGS=TRUE&amp;VAR:ID1=02637510&amp;VAR:RCODE=LTCL&amp;VAR:SDATE=20081199&amp;VAR:FREQ=DAILY&amp;VAR:RELITEM=&amp;VAR:CURRENCY=&amp;VAR:CURRSOURCE=EXSHARE&amp;","VAR:NATFREQ=QUARTERLY&amp;VAR:RFIELD=FINALIZED&amp;VAR:DB_TYPE=&amp;VAR:UNITS=M&amp;window=popup&amp;width=450&amp;height=300&amp;START_MAXIMIZED=FALSE"}</definedName>
    <definedName name="_1435__FDSAUDITLINK__" hidden="1">{"fdsup://IBCentral/FAT Viewer?action=UPDATE&amp;creator=factset&amp;DOC_NAME=fat:reuters_qtrly_source_window.fat&amp;display_string=Audit&amp;DYN_ARGS=TRUE&amp;VAR:ID1=02637510&amp;VAR:RCODE=ATCA&amp;VAR:SDATE=20081199&amp;VAR:FREQ=DAILY&amp;VAR:RELITEM=&amp;VAR:CURRENCY=&amp;VAR:CURRSOURCE=EXSHARE&amp;","VAR:NATFREQ=QUARTERLY&amp;VAR:RFIELD=FINALIZED&amp;VAR:DB_TYPE=&amp;VAR:UNITS=M&amp;window=popup&amp;width=450&amp;height=300&amp;START_MAXIMIZED=FALSE"}</definedName>
    <definedName name="_1436__FDSAUDITLINK__" hidden="1">{"fdsup://IBCentral/FAT Viewer?action=UPDATE&amp;creator=factset&amp;DOC_NAME=fat:reuters_qtrly_source_window.fat&amp;display_string=Audit&amp;DYN_ARGS=TRUE&amp;VAR:ID1=02637510&amp;VAR:RCODE=ATOT&amp;VAR:SDATE=20081199&amp;VAR:FREQ=DAILY&amp;VAR:RELITEM=&amp;VAR:CURRENCY=&amp;VAR:CURRSOURCE=EXSHARE&amp;","VAR:NATFREQ=QUARTERLY&amp;VAR:RFIELD=FINALIZED&amp;VAR:DB_TYPE=&amp;VAR:UNITS=M&amp;window=popup&amp;width=450&amp;height=300&amp;START_MAXIMIZED=FALSE"}</definedName>
    <definedName name="_1437__FDSAUDITLINK__" hidden="1">{"fdsup://IBCentral/FAT Viewer?action=UPDATE&amp;creator=factset&amp;DOC_NAME=fat:reuters_qtrly_source_window.fat&amp;display_string=Audit&amp;DYN_ARGS=TRUE&amp;VAR:ID1=02313510&amp;VAR:RCODE=LTLL&amp;VAR:SDATE=20081299&amp;VAR:FREQ=DAILY&amp;VAR:RELITEM=&amp;VAR:CURRENCY=&amp;VAR:CURRSOURCE=EXSHARE&amp;","VAR:NATFREQ=QUARTERLY&amp;VAR:RFIELD=FINALIZED&amp;VAR:DB_TYPE=&amp;VAR:UNITS=M&amp;window=popup&amp;width=450&amp;height=300&amp;START_MAXIMIZED=FALSE"}</definedName>
    <definedName name="_1438__FDSAUDITLINK__" hidden="1">{"fdsup://IBCentral/FAT Viewer?action=UPDATE&amp;creator=factset&amp;DOC_NAME=fat:reuters_qtrly_source_window.fat&amp;display_string=Audit&amp;DYN_ARGS=TRUE&amp;VAR:ID1=02313510&amp;VAR:RCODE=LTCL&amp;VAR:SDATE=20081299&amp;VAR:FREQ=DAILY&amp;VAR:RELITEM=&amp;VAR:CURRENCY=&amp;VAR:CURRSOURCE=EXSHARE&amp;","VAR:NATFREQ=QUARTERLY&amp;VAR:RFIELD=FINALIZED&amp;VAR:DB_TYPE=&amp;VAR:UNITS=M&amp;window=popup&amp;width=450&amp;height=300&amp;START_MAXIMIZED=FALSE"}</definedName>
    <definedName name="_1439__FDSAUDITLINK__" hidden="1">{"fdsup://IBCentral/FAT Viewer?action=UPDATE&amp;creator=factset&amp;DOC_NAME=fat:reuters_qtrly_source_window.fat&amp;display_string=Audit&amp;DYN_ARGS=TRUE&amp;VAR:ID1=02313510&amp;VAR:RCODE=ATCA&amp;VAR:SDATE=20081299&amp;VAR:FREQ=DAILY&amp;VAR:RELITEM=&amp;VAR:CURRENCY=&amp;VAR:CURRSOURCE=EXSHARE&amp;","VAR:NATFREQ=QUARTERLY&amp;VAR:RFIELD=FINALIZED&amp;VAR:DB_TYPE=&amp;VAR:UNITS=M&amp;window=popup&amp;width=450&amp;height=300&amp;START_MAXIMIZED=FALSE"}</definedName>
    <definedName name="_144__FDSAUDITLINK__" hidden="1">{"fdsup://Directions/FactSet Auditing Viewer?action=AUDIT_VALUE&amp;DB=129&amp;ID1=20337210&amp;VALUEID=02999&amp;SDATE=201001&amp;PERIODTYPE=QTR_STD&amp;window=popup_no_bar&amp;width=385&amp;height=120&amp;START_MAXIMIZED=FALSE&amp;creator=factset&amp;display_string=Audit"}</definedName>
    <definedName name="_1440__FDSAUDITLINK__" hidden="1">{"fdsup://IBCentral/FAT Viewer?action=UPDATE&amp;creator=factset&amp;DOC_NAME=fat:reuters_qtrly_source_window.fat&amp;display_string=Audit&amp;DYN_ARGS=TRUE&amp;VAR:ID1=02313510&amp;VAR:RCODE=ATOT&amp;VAR:SDATE=20081299&amp;VAR:FREQ=DAILY&amp;VAR:RELITEM=&amp;VAR:CURRENCY=&amp;VAR:CURRSOURCE=EXSHARE&amp;","VAR:NATFREQ=QUARTERLY&amp;VAR:RFIELD=FINALIZED&amp;VAR:DB_TYPE=&amp;VAR:UNITS=M&amp;window=popup&amp;width=450&amp;height=300&amp;START_MAXIMIZED=FALSE"}</definedName>
    <definedName name="_1441__FDSAUDITLINK__" hidden="1">{"fdsup://IBCentral/FAT Viewer?action=UPDATE&amp;creator=factset&amp;DOC_NAME=fat:reuters_qtrly_source_window.fat&amp;display_string=Audit&amp;DYN_ARGS=TRUE&amp;VAR:ID1=00751Y10&amp;VAR:RCODE=LTLL&amp;VAR:SDATE=20081299&amp;VAR:FREQ=DAILY&amp;VAR:RELITEM=&amp;VAR:CURRENCY=&amp;VAR:CURRSOURCE=EXSHARE&amp;","VAR:NATFREQ=QUARTERLY&amp;VAR:RFIELD=FINALIZED&amp;VAR:DB_TYPE=&amp;VAR:UNITS=M&amp;window=popup&amp;width=450&amp;height=300&amp;START_MAXIMIZED=FALSE"}</definedName>
    <definedName name="_1442__FDSAUDITLINK__" hidden="1">{"fdsup://IBCentral/FAT Viewer?action=UPDATE&amp;creator=factset&amp;DOC_NAME=fat:reuters_qtrly_source_window.fat&amp;display_string=Audit&amp;DYN_ARGS=TRUE&amp;VAR:ID1=00751Y10&amp;VAR:RCODE=LTCL&amp;VAR:SDATE=20081299&amp;VAR:FREQ=DAILY&amp;VAR:RELITEM=&amp;VAR:CURRENCY=&amp;VAR:CURRSOURCE=EXSHARE&amp;","VAR:NATFREQ=QUARTERLY&amp;VAR:RFIELD=FINALIZED&amp;VAR:DB_TYPE=&amp;VAR:UNITS=M&amp;window=popup&amp;width=450&amp;height=300&amp;START_MAXIMIZED=FALSE"}</definedName>
    <definedName name="_1443__FDSAUDITLINK__" hidden="1">{"fdsup://IBCentral/FAT Viewer?action=UPDATE&amp;creator=factset&amp;DOC_NAME=fat:reuters_qtrly_source_window.fat&amp;display_string=Audit&amp;DYN_ARGS=TRUE&amp;VAR:ID1=00751Y10&amp;VAR:RCODE=ATCA&amp;VAR:SDATE=20081299&amp;VAR:FREQ=DAILY&amp;VAR:RELITEM=&amp;VAR:CURRENCY=&amp;VAR:CURRSOURCE=EXSHARE&amp;","VAR:NATFREQ=QUARTERLY&amp;VAR:RFIELD=FINALIZED&amp;VAR:DB_TYPE=&amp;VAR:UNITS=M&amp;window=popup&amp;width=450&amp;height=300&amp;START_MAXIMIZED=FALSE"}</definedName>
    <definedName name="_1444__FDSAUDITLINK__" hidden="1">{"fdsup://IBCentral/FAT Viewer?action=UPDATE&amp;creator=factset&amp;DOC_NAME=fat:reuters_qtrly_source_window.fat&amp;display_string=Audit&amp;DYN_ARGS=TRUE&amp;VAR:ID1=00751Y10&amp;VAR:RCODE=ATOT&amp;VAR:SDATE=20081299&amp;VAR:FREQ=DAILY&amp;VAR:RELITEM=&amp;VAR:CURRENCY=&amp;VAR:CURRSOURCE=EXSHARE&amp;","VAR:NATFREQ=QUARTERLY&amp;VAR:RFIELD=FINALIZED&amp;VAR:DB_TYPE=&amp;VAR:UNITS=M&amp;window=popup&amp;width=450&amp;height=300&amp;START_MAXIMIZED=FALSE"}</definedName>
    <definedName name="_1445__FDSAUDITLINK__" hidden="1">{"fdsup://IBCentral/FAT Viewer?action=UPDATE&amp;creator=factset&amp;DOC_NAME=fat:reuters_qtrly_source_window.fat&amp;display_string=Audit&amp;DYN_ARGS=TRUE&amp;VAR:ID1=00508X20&amp;VAR:RCODE=LTLL&amp;VAR:SDATE=20081199&amp;VAR:FREQ=DAILY&amp;VAR:RELITEM=&amp;VAR:CURRENCY=&amp;VAR:CURRSOURCE=EXSHARE&amp;","VAR:NATFREQ=QUARTERLY&amp;VAR:RFIELD=FINALIZED&amp;VAR:DB_TYPE=&amp;VAR:UNITS=M&amp;window=popup&amp;width=450&amp;height=300&amp;START_MAXIMIZED=FALSE"}</definedName>
    <definedName name="_1446__FDSAUDITLINK__" hidden="1">{"fdsup://IBCentral/FAT Viewer?action=UPDATE&amp;creator=factset&amp;DOC_NAME=fat:reuters_qtrly_source_window.fat&amp;display_string=Audit&amp;DYN_ARGS=TRUE&amp;VAR:ID1=00508X20&amp;VAR:RCODE=LTCL&amp;VAR:SDATE=20081199&amp;VAR:FREQ=DAILY&amp;VAR:RELITEM=&amp;VAR:CURRENCY=&amp;VAR:CURRSOURCE=EXSHARE&amp;","VAR:NATFREQ=QUARTERLY&amp;VAR:RFIELD=FINALIZED&amp;VAR:DB_TYPE=&amp;VAR:UNITS=M&amp;window=popup&amp;width=450&amp;height=300&amp;START_MAXIMIZED=FALSE"}</definedName>
    <definedName name="_1447__FDSAUDITLINK__" hidden="1">{"fdsup://IBCentral/FAT Viewer?action=UPDATE&amp;creator=factset&amp;DOC_NAME=fat:reuters_qtrly_source_window.fat&amp;display_string=Audit&amp;DYN_ARGS=TRUE&amp;VAR:ID1=00508X20&amp;VAR:RCODE=ATCA&amp;VAR:SDATE=20081199&amp;VAR:FREQ=DAILY&amp;VAR:RELITEM=&amp;VAR:CURRENCY=&amp;VAR:CURRSOURCE=EXSHARE&amp;","VAR:NATFREQ=QUARTERLY&amp;VAR:RFIELD=FINALIZED&amp;VAR:DB_TYPE=&amp;VAR:UNITS=M&amp;window=popup&amp;width=450&amp;height=300&amp;START_MAXIMIZED=FALSE"}</definedName>
    <definedName name="_1448__FDSAUDITLINK__" hidden="1">{"fdsup://IBCentral/FAT Viewer?action=UPDATE&amp;creator=factset&amp;DOC_NAME=fat:reuters_qtrly_source_window.fat&amp;display_string=Audit&amp;DYN_ARGS=TRUE&amp;VAR:ID1=00508X20&amp;VAR:RCODE=ATOT&amp;VAR:SDATE=20081199&amp;VAR:FREQ=DAILY&amp;VAR:RELITEM=&amp;VAR:CURRENCY=&amp;VAR:CURRSOURCE=EXSHARE&amp;","VAR:NATFREQ=QUARTERLY&amp;VAR:RFIELD=FINALIZED&amp;VAR:DB_TYPE=&amp;VAR:UNITS=M&amp;window=popup&amp;width=450&amp;height=300&amp;START_MAXIMIZED=FALSE"}</definedName>
    <definedName name="_1449__FDSAUDITLINK__" hidden="1">{"fdsup://IBCentral/FAT Viewer?action=UPDATE&amp;creator=factset&amp;DOC_NAME=fat:reuters_qtrly_source_window.fat&amp;display_string=Audit&amp;DYN_ARGS=TRUE&amp;VAR:ID1=92025310&amp;VAR:RCODE=LTLL&amp;VAR:SDATE=20081299&amp;VAR:FREQ=DAILY&amp;VAR:RELITEM=&amp;VAR:CURRENCY=&amp;VAR:CURRSOURCE=EXSHARE&amp;","VAR:NATFREQ=QUARTERLY&amp;VAR:RFIELD=FINALIZED&amp;VAR:DB_TYPE=&amp;VAR:UNITS=M&amp;window=popup&amp;width=450&amp;height=300&amp;START_MAXIMIZED=FALSE"}</definedName>
    <definedName name="_145__FDSAUDITLINK__" hidden="1">{"fdsup://Directions/FactSet Auditing Viewer?action=AUDIT_VALUE&amp;DB=129&amp;ID1=20451N10&amp;VALUEID=02999&amp;SDATE=201001&amp;PERIODTYPE=QTR_STD&amp;window=popup_no_bar&amp;width=385&amp;height=120&amp;START_MAXIMIZED=FALSE&amp;creator=factset&amp;display_string=Audit"}</definedName>
    <definedName name="_1450__FDSAUDITLINK__" hidden="1">{"fdsup://IBCentral/FAT Viewer?action=UPDATE&amp;creator=factset&amp;DOC_NAME=fat:reuters_qtrly_source_window.fat&amp;display_string=Audit&amp;DYN_ARGS=TRUE&amp;VAR:ID1=92025310&amp;VAR:RCODE=LTCL&amp;VAR:SDATE=20081299&amp;VAR:FREQ=DAILY&amp;VAR:RELITEM=&amp;VAR:CURRENCY=&amp;VAR:CURRSOURCE=EXSHARE&amp;","VAR:NATFREQ=QUARTERLY&amp;VAR:RFIELD=FINALIZED&amp;VAR:DB_TYPE=&amp;VAR:UNITS=M&amp;window=popup&amp;width=450&amp;height=300&amp;START_MAXIMIZED=FALSE"}</definedName>
    <definedName name="_1451__FDSAUDITLINK__" hidden="1">{"fdsup://IBCentral/FAT Viewer?action=UPDATE&amp;creator=factset&amp;DOC_NAME=fat:reuters_qtrly_source_window.fat&amp;display_string=Audit&amp;DYN_ARGS=TRUE&amp;VAR:ID1=92025310&amp;VAR:RCODE=ATCA&amp;VAR:SDATE=20081299&amp;VAR:FREQ=DAILY&amp;VAR:RELITEM=&amp;VAR:CURRENCY=&amp;VAR:CURRSOURCE=EXSHARE&amp;","VAR:NATFREQ=QUARTERLY&amp;VAR:RFIELD=FINALIZED&amp;VAR:DB_TYPE=&amp;VAR:UNITS=M&amp;window=popup&amp;width=450&amp;height=300&amp;START_MAXIMIZED=FALSE"}</definedName>
    <definedName name="_1452__FDSAUDITLINK__" hidden="1">{"fdsup://IBCentral/FAT Viewer?action=UPDATE&amp;creator=factset&amp;DOC_NAME=fat:reuters_qtrly_source_window.fat&amp;display_string=Audit&amp;DYN_ARGS=TRUE&amp;VAR:ID1=92025310&amp;VAR:RCODE=ATOT&amp;VAR:SDATE=20081299&amp;VAR:FREQ=DAILY&amp;VAR:RELITEM=&amp;VAR:CURRENCY=&amp;VAR:CURRSOURCE=EXSHARE&amp;","VAR:NATFREQ=QUARTERLY&amp;VAR:RFIELD=FINALIZED&amp;VAR:DB_TYPE=&amp;VAR:UNITS=M&amp;window=popup&amp;width=450&amp;height=300&amp;START_MAXIMIZED=FALSE"}</definedName>
    <definedName name="_1453__FDSAUDITLINK__" hidden="1">{"fdsup://IBCentral/FAT Viewer?action=UPDATE&amp;creator=factset&amp;DOC_NAME=fat:reuters_qtrly_source_window.fat&amp;display_string=Audit&amp;DYN_ARGS=TRUE&amp;VAR:ID1=88160910&amp;VAR:RCODE=LTLL&amp;VAR:SDATE=20081299&amp;VAR:FREQ=DAILY&amp;VAR:RELITEM=&amp;VAR:CURRENCY=&amp;VAR:CURRSOURCE=EXSHARE&amp;","VAR:NATFREQ=QUARTERLY&amp;VAR:RFIELD=FINALIZED&amp;VAR:DB_TYPE=&amp;VAR:UNITS=M&amp;window=popup&amp;width=450&amp;height=300&amp;START_MAXIMIZED=FALSE"}</definedName>
    <definedName name="_1454__FDSAUDITLINK__" hidden="1">{"fdsup://IBCentral/FAT Viewer?action=UPDATE&amp;creator=factset&amp;DOC_NAME=fat:reuters_qtrly_source_window.fat&amp;display_string=Audit&amp;DYN_ARGS=TRUE&amp;VAR:ID1=88160910&amp;VAR:RCODE=LTCL&amp;VAR:SDATE=20081299&amp;VAR:FREQ=DAILY&amp;VAR:RELITEM=&amp;VAR:CURRENCY=&amp;VAR:CURRSOURCE=EXSHARE&amp;","VAR:NATFREQ=QUARTERLY&amp;VAR:RFIELD=FINALIZED&amp;VAR:DB_TYPE=&amp;VAR:UNITS=M&amp;window=popup&amp;width=450&amp;height=300&amp;START_MAXIMIZED=FALSE"}</definedName>
    <definedName name="_1455__FDSAUDITLINK__" hidden="1">{"fdsup://IBCentral/FAT Viewer?action=UPDATE&amp;creator=factset&amp;DOC_NAME=fat:reuters_qtrly_source_window.fat&amp;display_string=Audit&amp;DYN_ARGS=TRUE&amp;VAR:ID1=88160910&amp;VAR:RCODE=ATCA&amp;VAR:SDATE=20081299&amp;VAR:FREQ=DAILY&amp;VAR:RELITEM=&amp;VAR:CURRENCY=&amp;VAR:CURRSOURCE=EXSHARE&amp;","VAR:NATFREQ=QUARTERLY&amp;VAR:RFIELD=FINALIZED&amp;VAR:DB_TYPE=&amp;VAR:UNITS=M&amp;window=popup&amp;width=450&amp;height=300&amp;START_MAXIMIZED=FALSE"}</definedName>
    <definedName name="_1456__FDSAUDITLINK__" hidden="1">{"fdsup://IBCentral/FAT Viewer?action=UPDATE&amp;creator=factset&amp;DOC_NAME=fat:reuters_qtrly_source_window.fat&amp;display_string=Audit&amp;DYN_ARGS=TRUE&amp;VAR:ID1=88160910&amp;VAR:RCODE=ATOT&amp;VAR:SDATE=20081299&amp;VAR:FREQ=DAILY&amp;VAR:RELITEM=&amp;VAR:CURRENCY=&amp;VAR:CURRSOURCE=EXSHARE&amp;","VAR:NATFREQ=QUARTERLY&amp;VAR:RFIELD=FINALIZED&amp;VAR:DB_TYPE=&amp;VAR:UNITS=M&amp;window=popup&amp;width=450&amp;height=300&amp;START_MAXIMIZED=FALSE"}</definedName>
    <definedName name="_1457__FDSAUDITLINK__" hidden="1">{"fdsup://IBCentral/FAT Viewer?action=UPDATE&amp;creator=factset&amp;DOC_NAME=fat:reuters_qtrly_source_window.fat&amp;display_string=Audit&amp;DYN_ARGS=TRUE&amp;VAR:ID1=87986810&amp;VAR:RCODE=LTLL&amp;VAR:SDATE=20081299&amp;VAR:FREQ=DAILY&amp;VAR:RELITEM=&amp;VAR:CURRENCY=&amp;VAR:CURRSOURCE=EXSHARE&amp;","VAR:NATFREQ=QUARTERLY&amp;VAR:RFIELD=FINALIZED&amp;VAR:DB_TYPE=&amp;VAR:UNITS=M&amp;window=popup&amp;width=450&amp;height=300&amp;START_MAXIMIZED=FALSE"}</definedName>
    <definedName name="_1458__FDSAUDITLINK__" hidden="1">{"fdsup://IBCentral/FAT Viewer?action=UPDATE&amp;creator=factset&amp;DOC_NAME=fat:reuters_qtrly_source_window.fat&amp;display_string=Audit&amp;DYN_ARGS=TRUE&amp;VAR:ID1=87986810&amp;VAR:RCODE=LTCL&amp;VAR:SDATE=20081299&amp;VAR:FREQ=DAILY&amp;VAR:RELITEM=&amp;VAR:CURRENCY=&amp;VAR:CURRSOURCE=EXSHARE&amp;","VAR:NATFREQ=QUARTERLY&amp;VAR:RFIELD=FINALIZED&amp;VAR:DB_TYPE=&amp;VAR:UNITS=M&amp;window=popup&amp;width=450&amp;height=300&amp;START_MAXIMIZED=FALSE"}</definedName>
    <definedName name="_1459__FDSAUDITLINK__" hidden="1">{"fdsup://IBCentral/FAT Viewer?action=UPDATE&amp;creator=factset&amp;DOC_NAME=fat:reuters_qtrly_source_window.fat&amp;display_string=Audit&amp;DYN_ARGS=TRUE&amp;VAR:ID1=87986810&amp;VAR:RCODE=ATCA&amp;VAR:SDATE=20081299&amp;VAR:FREQ=DAILY&amp;VAR:RELITEM=&amp;VAR:CURRENCY=&amp;VAR:CURRSOURCE=EXSHARE&amp;","VAR:NATFREQ=QUARTERLY&amp;VAR:RFIELD=FINALIZED&amp;VAR:DB_TYPE=&amp;VAR:UNITS=M&amp;window=popup&amp;width=450&amp;height=300&amp;START_MAXIMIZED=FALSE"}</definedName>
    <definedName name="_146__FDSAUDITLINK__" hidden="1">{"fdsup://Directions/FactSet Auditing Viewer?action=AUDIT_VALUE&amp;DB=129&amp;ID1=20594410&amp;VALUEID=02999&amp;SDATE=201001&amp;PERIODTYPE=QTR_STD&amp;window=popup_no_bar&amp;width=385&amp;height=120&amp;START_MAXIMIZED=FALSE&amp;creator=factset&amp;display_string=Audit"}</definedName>
    <definedName name="_1460__FDSAUDITLINK__" hidden="1">{"fdsup://IBCentral/FAT Viewer?action=UPDATE&amp;creator=factset&amp;DOC_NAME=fat:reuters_qtrly_source_window.fat&amp;display_string=Audit&amp;DYN_ARGS=TRUE&amp;VAR:ID1=87986810&amp;VAR:RCODE=ATOT&amp;VAR:SDATE=20081299&amp;VAR:FREQ=DAILY&amp;VAR:RELITEM=&amp;VAR:CURRENCY=&amp;VAR:CURRSOURCE=EXSHARE&amp;","VAR:NATFREQ=QUARTERLY&amp;VAR:RFIELD=FINALIZED&amp;VAR:DB_TYPE=&amp;VAR:UNITS=M&amp;window=popup&amp;width=450&amp;height=300&amp;START_MAXIMIZED=FALSE"}</definedName>
    <definedName name="_1461__FDSAUDITLINK__" hidden="1">{"fdsup://IBCentral/FAT Viewer?action=UPDATE&amp;creator=factset&amp;DOC_NAME=fat:reuters_qtrly_source_window.fat&amp;display_string=Audit&amp;DYN_ARGS=TRUE&amp;VAR:ID1=86681020&amp;VAR:RCODE=LTLL&amp;VAR:SDATE=20081299&amp;VAR:FREQ=DAILY&amp;VAR:RELITEM=&amp;VAR:CURRENCY=&amp;VAR:CURRSOURCE=EXSHARE&amp;","VAR:NATFREQ=QUARTERLY&amp;VAR:RFIELD=FINALIZED&amp;VAR:DB_TYPE=&amp;VAR:UNITS=M&amp;window=popup&amp;width=450&amp;height=300&amp;START_MAXIMIZED=FALSE"}</definedName>
    <definedName name="_1462__FDSAUDITLINK__" hidden="1">{"fdsup://IBCentral/FAT Viewer?action=UPDATE&amp;creator=factset&amp;DOC_NAME=fat:reuters_qtrly_source_window.fat&amp;display_string=Audit&amp;DYN_ARGS=TRUE&amp;VAR:ID1=86681020&amp;VAR:RCODE=LTCL&amp;VAR:SDATE=20081299&amp;VAR:FREQ=DAILY&amp;VAR:RELITEM=&amp;VAR:CURRENCY=&amp;VAR:CURRSOURCE=EXSHARE&amp;","VAR:NATFREQ=QUARTERLY&amp;VAR:RFIELD=FINALIZED&amp;VAR:DB_TYPE=&amp;VAR:UNITS=M&amp;window=popup&amp;width=450&amp;height=300&amp;START_MAXIMIZED=FALSE"}</definedName>
    <definedName name="_1463__FDSAUDITLINK__" hidden="1">{"fdsup://IBCentral/FAT Viewer?action=UPDATE&amp;creator=factset&amp;DOC_NAME=fat:reuters_qtrly_source_window.fat&amp;display_string=Audit&amp;DYN_ARGS=TRUE&amp;VAR:ID1=86681020&amp;VAR:RCODE=ATCA&amp;VAR:SDATE=20081299&amp;VAR:FREQ=DAILY&amp;VAR:RELITEM=&amp;VAR:CURRENCY=&amp;VAR:CURRSOURCE=EXSHARE&amp;","VAR:NATFREQ=QUARTERLY&amp;VAR:RFIELD=FINALIZED&amp;VAR:DB_TYPE=&amp;VAR:UNITS=M&amp;window=popup&amp;width=450&amp;height=300&amp;START_MAXIMIZED=FALSE"}</definedName>
    <definedName name="_1464__FDSAUDITLINK__" hidden="1">{"fdsup://IBCentral/FAT Viewer?action=UPDATE&amp;creator=factset&amp;DOC_NAME=fat:reuters_qtrly_source_window.fat&amp;display_string=Audit&amp;DYN_ARGS=TRUE&amp;VAR:ID1=86681020&amp;VAR:RCODE=ATOT&amp;VAR:SDATE=20081299&amp;VAR:FREQ=DAILY&amp;VAR:RELITEM=&amp;VAR:CURRENCY=&amp;VAR:CURRSOURCE=EXSHARE&amp;","VAR:NATFREQ=QUARTERLY&amp;VAR:RFIELD=FINALIZED&amp;VAR:DB_TYPE=&amp;VAR:UNITS=M&amp;window=popup&amp;width=450&amp;height=300&amp;START_MAXIMIZED=FALSE"}</definedName>
    <definedName name="_1465__FDSAUDITLINK__" hidden="1">{"fdsup://IBCentral/FAT Viewer?action=UPDATE&amp;creator=factset&amp;DOC_NAME=fat:reuters_qtrly_source_window.fat&amp;display_string=Audit&amp;DYN_ARGS=TRUE&amp;VAR:ID1=81725T10&amp;VAR:RCODE=LTLL&amp;VAR:SDATE=20081299&amp;VAR:FREQ=DAILY&amp;VAR:RELITEM=&amp;VAR:CURRENCY=&amp;VAR:CURRSOURCE=EXSHARE&amp;","VAR:NATFREQ=QUARTERLY&amp;VAR:RFIELD=FINALIZED&amp;VAR:DB_TYPE=&amp;VAR:UNITS=M&amp;window=popup&amp;width=450&amp;height=300&amp;START_MAXIMIZED=FALSE"}</definedName>
    <definedName name="_1466__FDSAUDITLINK__" hidden="1">{"fdsup://IBCentral/FAT Viewer?action=UPDATE&amp;creator=factset&amp;DOC_NAME=fat:reuters_qtrly_source_window.fat&amp;display_string=Audit&amp;DYN_ARGS=TRUE&amp;VAR:ID1=81725T10&amp;VAR:RCODE=LTCL&amp;VAR:SDATE=20081299&amp;VAR:FREQ=DAILY&amp;VAR:RELITEM=&amp;VAR:CURRENCY=&amp;VAR:CURRSOURCE=EXSHARE&amp;","VAR:NATFREQ=QUARTERLY&amp;VAR:RFIELD=FINALIZED&amp;VAR:DB_TYPE=&amp;VAR:UNITS=M&amp;window=popup&amp;width=450&amp;height=300&amp;START_MAXIMIZED=FALSE"}</definedName>
    <definedName name="_1467__FDSAUDITLINK__" hidden="1">{"fdsup://IBCentral/FAT Viewer?action=UPDATE&amp;creator=factset&amp;DOC_NAME=fat:reuters_qtrly_source_window.fat&amp;display_string=Audit&amp;DYN_ARGS=TRUE&amp;VAR:ID1=81725T10&amp;VAR:RCODE=ATCA&amp;VAR:SDATE=20081299&amp;VAR:FREQ=DAILY&amp;VAR:RELITEM=&amp;VAR:CURRENCY=&amp;VAR:CURRSOURCE=EXSHARE&amp;","VAR:NATFREQ=QUARTERLY&amp;VAR:RFIELD=FINALIZED&amp;VAR:DB_TYPE=&amp;VAR:UNITS=M&amp;window=popup&amp;width=450&amp;height=300&amp;START_MAXIMIZED=FALSE"}</definedName>
    <definedName name="_1468__FDSAUDITLINK__" hidden="1">{"fdsup://IBCentral/FAT Viewer?action=UPDATE&amp;creator=factset&amp;DOC_NAME=fat:reuters_qtrly_source_window.fat&amp;display_string=Audit&amp;DYN_ARGS=TRUE&amp;VAR:ID1=81725T10&amp;VAR:RCODE=ATOT&amp;VAR:SDATE=20081299&amp;VAR:FREQ=DAILY&amp;VAR:RELITEM=&amp;VAR:CURRENCY=&amp;VAR:CURRSOURCE=EXSHARE&amp;","VAR:NATFREQ=QUARTERLY&amp;VAR:RFIELD=FINALIZED&amp;VAR:DB_TYPE=&amp;VAR:UNITS=M&amp;window=popup&amp;width=450&amp;height=300&amp;START_MAXIMIZED=FALSE"}</definedName>
    <definedName name="_1469__FDSAUDITLINK__" hidden="1">{"fdsup://IBCentral/FAT Viewer?action=UPDATE&amp;creator=factset&amp;DOC_NAME=fat:reuters_qtrly_source_window.fat&amp;display_string=Audit&amp;DYN_ARGS=TRUE&amp;VAR:ID1=81190410&amp;VAR:RCODE=LTLL&amp;VAR:SDATE=20081299&amp;VAR:FREQ=DAILY&amp;VAR:RELITEM=&amp;VAR:CURRENCY=&amp;VAR:CURRSOURCE=EXSHARE&amp;","VAR:NATFREQ=QUARTERLY&amp;VAR:RFIELD=FINALIZED&amp;VAR:DB_TYPE=&amp;VAR:UNITS=M&amp;window=popup&amp;width=450&amp;height=300&amp;START_MAXIMIZED=FALSE"}</definedName>
    <definedName name="_147__FDSAUDITLINK__" hidden="1">{"fdsup://Directions/FactSet Auditing Viewer?action=AUDIT_VALUE&amp;DB=129&amp;ID1=20605P10&amp;VALUEID=02999&amp;SDATE=201001&amp;PERIODTYPE=QTR_STD&amp;window=popup_no_bar&amp;width=385&amp;height=120&amp;START_MAXIMIZED=FALSE&amp;creator=factset&amp;display_string=Audit"}</definedName>
    <definedName name="_1470__FDSAUDITLINK__" hidden="1">{"fdsup://IBCentral/FAT Viewer?action=UPDATE&amp;creator=factset&amp;DOC_NAME=fat:reuters_qtrly_source_window.fat&amp;display_string=Audit&amp;DYN_ARGS=TRUE&amp;VAR:ID1=81190410&amp;VAR:RCODE=LTCL&amp;VAR:SDATE=20081299&amp;VAR:FREQ=DAILY&amp;VAR:RELITEM=&amp;VAR:CURRENCY=&amp;VAR:CURRSOURCE=EXSHARE&amp;","VAR:NATFREQ=QUARTERLY&amp;VAR:RFIELD=FINALIZED&amp;VAR:DB_TYPE=&amp;VAR:UNITS=M&amp;window=popup&amp;width=450&amp;height=300&amp;START_MAXIMIZED=FALSE"}</definedName>
    <definedName name="_1471__FDSAUDITLINK__" hidden="1">{"fdsup://IBCentral/FAT Viewer?action=UPDATE&amp;creator=factset&amp;DOC_NAME=fat:reuters_qtrly_source_window.fat&amp;display_string=Audit&amp;DYN_ARGS=TRUE&amp;VAR:ID1=81190410&amp;VAR:RCODE=ATCA&amp;VAR:SDATE=20081299&amp;VAR:FREQ=DAILY&amp;VAR:RELITEM=&amp;VAR:CURRENCY=&amp;VAR:CURRSOURCE=EXSHARE&amp;","VAR:NATFREQ=QUARTERLY&amp;VAR:RFIELD=FINALIZED&amp;VAR:DB_TYPE=&amp;VAR:UNITS=M&amp;window=popup&amp;width=450&amp;height=300&amp;START_MAXIMIZED=FALSE"}</definedName>
    <definedName name="_1472__FDSAUDITLINK__" hidden="1">{"fdsup://IBCentral/FAT Viewer?action=UPDATE&amp;creator=factset&amp;DOC_NAME=fat:reuters_qtrly_source_window.fat&amp;display_string=Audit&amp;DYN_ARGS=TRUE&amp;VAR:ID1=81190410&amp;VAR:RCODE=ATOT&amp;VAR:SDATE=20081299&amp;VAR:FREQ=DAILY&amp;VAR:RELITEM=&amp;VAR:CURRENCY=&amp;VAR:CURRSOURCE=EXSHARE&amp;","VAR:NATFREQ=QUARTERLY&amp;VAR:RFIELD=FINALIZED&amp;VAR:DB_TYPE=&amp;VAR:UNITS=M&amp;window=popup&amp;width=450&amp;height=300&amp;START_MAXIMIZED=FALSE"}</definedName>
    <definedName name="_1473__FDSAUDITLINK__" hidden="1">{"fdsup://IBCentral/FAT Viewer?action=UPDATE&amp;creator=factset&amp;DOC_NAME=fat:reuters_qtrly_source_window.fat&amp;display_string=Audit&amp;DYN_ARGS=TRUE&amp;VAR:ID1=V7780T10&amp;VAR:RCODE=LTLL&amp;VAR:SDATE=20081299&amp;VAR:FREQ=DAILY&amp;VAR:RELITEM=&amp;VAR:CURRENCY=&amp;VAR:CURRSOURCE=EXSHARE&amp;","VAR:NATFREQ=QUARTERLY&amp;VAR:RFIELD=FINALIZED&amp;VAR:DB_TYPE=&amp;VAR:UNITS=M&amp;window=popup&amp;width=450&amp;height=300&amp;START_MAXIMIZED=FALSE"}</definedName>
    <definedName name="_1474__FDSAUDITLINK__" hidden="1">{"fdsup://IBCentral/FAT Viewer?action=UPDATE&amp;creator=factset&amp;DOC_NAME=fat:reuters_qtrly_source_window.fat&amp;display_string=Audit&amp;DYN_ARGS=TRUE&amp;VAR:ID1=V7780T10&amp;VAR:RCODE=LTCL&amp;VAR:SDATE=20081299&amp;VAR:FREQ=DAILY&amp;VAR:RELITEM=&amp;VAR:CURRENCY=&amp;VAR:CURRSOURCE=EXSHARE&amp;","VAR:NATFREQ=QUARTERLY&amp;VAR:RFIELD=FINALIZED&amp;VAR:DB_TYPE=&amp;VAR:UNITS=M&amp;window=popup&amp;width=450&amp;height=300&amp;START_MAXIMIZED=FALSE"}</definedName>
    <definedName name="_1475__FDSAUDITLINK__" hidden="1">{"fdsup://IBCentral/FAT Viewer?action=UPDATE&amp;creator=factset&amp;DOC_NAME=fat:reuters_qtrly_source_window.fat&amp;display_string=Audit&amp;DYN_ARGS=TRUE&amp;VAR:ID1=V7780T10&amp;VAR:RCODE=ATCA&amp;VAR:SDATE=20081299&amp;VAR:FREQ=DAILY&amp;VAR:RELITEM=&amp;VAR:CURRENCY=&amp;VAR:CURRSOURCE=EXSHARE&amp;","VAR:NATFREQ=QUARTERLY&amp;VAR:RFIELD=FINALIZED&amp;VAR:DB_TYPE=&amp;VAR:UNITS=M&amp;window=popup&amp;width=450&amp;height=300&amp;START_MAXIMIZED=FALSE"}</definedName>
    <definedName name="_1476__FDSAUDITLINK__" hidden="1">{"fdsup://IBCentral/FAT Viewer?action=UPDATE&amp;creator=factset&amp;DOC_NAME=fat:reuters_qtrly_source_window.fat&amp;display_string=Audit&amp;DYN_ARGS=TRUE&amp;VAR:ID1=V7780T10&amp;VAR:RCODE=ATOT&amp;VAR:SDATE=20081299&amp;VAR:FREQ=DAILY&amp;VAR:RELITEM=&amp;VAR:CURRENCY=&amp;VAR:CURRSOURCE=EXSHARE&amp;","VAR:NATFREQ=QUARTERLY&amp;VAR:RFIELD=FINALIZED&amp;VAR:DB_TYPE=&amp;VAR:UNITS=M&amp;window=popup&amp;width=450&amp;height=300&amp;START_MAXIMIZED=FALSE"}</definedName>
    <definedName name="_1477__FDSAUDITLINK__" hidden="1">{"fdsup://IBCentral/FAT Viewer?action=UPDATE&amp;creator=factset&amp;DOC_NAME=fat:reuters_qtrly_source_window.fat&amp;display_string=Audit&amp;DYN_ARGS=TRUE&amp;VAR:ID1=75043810&amp;VAR:RCODE=LTLL&amp;VAR:SDATE=20081299&amp;VAR:FREQ=DAILY&amp;VAR:RELITEM=&amp;VAR:CURRENCY=&amp;VAR:CURRSOURCE=EXSHARE&amp;","VAR:NATFREQ=QUARTERLY&amp;VAR:RFIELD=FINALIZED&amp;VAR:DB_TYPE=&amp;VAR:UNITS=M&amp;window=popup&amp;width=450&amp;height=300&amp;START_MAXIMIZED=FALSE"}</definedName>
    <definedName name="_1478__FDSAUDITLINK__" hidden="1">{"fdsup://IBCentral/FAT Viewer?action=UPDATE&amp;creator=factset&amp;DOC_NAME=fat:reuters_qtrly_source_window.fat&amp;display_string=Audit&amp;DYN_ARGS=TRUE&amp;VAR:ID1=75043810&amp;VAR:RCODE=LTCL&amp;VAR:SDATE=20081299&amp;VAR:FREQ=DAILY&amp;VAR:RELITEM=&amp;VAR:CURRENCY=&amp;VAR:CURRSOURCE=EXSHARE&amp;","VAR:NATFREQ=QUARTERLY&amp;VAR:RFIELD=FINALIZED&amp;VAR:DB_TYPE=&amp;VAR:UNITS=M&amp;window=popup&amp;width=450&amp;height=300&amp;START_MAXIMIZED=FALSE"}</definedName>
    <definedName name="_1479__FDSAUDITLINK__" hidden="1">{"fdsup://IBCentral/FAT Viewer?action=UPDATE&amp;creator=factset&amp;DOC_NAME=fat:reuters_qtrly_source_window.fat&amp;display_string=Audit&amp;DYN_ARGS=TRUE&amp;VAR:ID1=75043810&amp;VAR:RCODE=ATCA&amp;VAR:SDATE=20081299&amp;VAR:FREQ=DAILY&amp;VAR:RELITEM=&amp;VAR:CURRENCY=&amp;VAR:CURRSOURCE=EXSHARE&amp;","VAR:NATFREQ=QUARTERLY&amp;VAR:RFIELD=FINALIZED&amp;VAR:DB_TYPE=&amp;VAR:UNITS=M&amp;window=popup&amp;width=450&amp;height=300&amp;START_MAXIMIZED=FALSE"}</definedName>
    <definedName name="_148__FDSAUDITLINK__" hidden="1">{"fdsup://Directions/FactSet Auditing Viewer?action=AUDIT_VALUE&amp;DB=129&amp;ID1=20741010&amp;VALUEID=02999&amp;SDATE=201001&amp;PERIODTYPE=QTR_STD&amp;window=popup_no_bar&amp;width=385&amp;height=120&amp;START_MAXIMIZED=FALSE&amp;creator=factset&amp;display_string=Audit"}</definedName>
    <definedName name="_1480__FDSAUDITLINK__" hidden="1">{"fdsup://IBCentral/FAT Viewer?action=UPDATE&amp;creator=factset&amp;DOC_NAME=fat:reuters_qtrly_source_window.fat&amp;display_string=Audit&amp;DYN_ARGS=TRUE&amp;VAR:ID1=75043810&amp;VAR:RCODE=ATOT&amp;VAR:SDATE=20081299&amp;VAR:FREQ=DAILY&amp;VAR:RELITEM=&amp;VAR:CURRENCY=&amp;VAR:CURRSOURCE=EXSHARE&amp;","VAR:NATFREQ=QUARTERLY&amp;VAR:RFIELD=FINALIZED&amp;VAR:DB_TYPE=&amp;VAR:UNITS=M&amp;window=popup&amp;width=450&amp;height=300&amp;START_MAXIMIZED=FALSE"}</definedName>
    <definedName name="_1481__FDSAUDITLINK__" hidden="1">{"fdsup://IBCentral/FAT Viewer?action=UPDATE&amp;creator=factset&amp;DOC_NAME=fat:reuters_qtrly_source_window.fat&amp;display_string=Audit&amp;DYN_ARGS=TRUE&amp;VAR:ID1=74457310&amp;VAR:RCODE=LTLL&amp;VAR:SDATE=20081299&amp;VAR:FREQ=DAILY&amp;VAR:RELITEM=&amp;VAR:CURRENCY=&amp;VAR:CURRSOURCE=EXSHARE&amp;","VAR:NATFREQ=QUARTERLY&amp;VAR:RFIELD=FINALIZED&amp;VAR:DB_TYPE=&amp;VAR:UNITS=M&amp;window=popup&amp;width=450&amp;height=300&amp;START_MAXIMIZED=FALSE"}</definedName>
    <definedName name="_1482__FDSAUDITLINK__" hidden="1">{"fdsup://IBCentral/FAT Viewer?action=UPDATE&amp;creator=factset&amp;DOC_NAME=fat:reuters_qtrly_source_window.fat&amp;display_string=Audit&amp;DYN_ARGS=TRUE&amp;VAR:ID1=74457310&amp;VAR:RCODE=LTCL&amp;VAR:SDATE=20081299&amp;VAR:FREQ=DAILY&amp;VAR:RELITEM=&amp;VAR:CURRENCY=&amp;VAR:CURRSOURCE=EXSHARE&amp;","VAR:NATFREQ=QUARTERLY&amp;VAR:RFIELD=FINALIZED&amp;VAR:DB_TYPE=&amp;VAR:UNITS=M&amp;window=popup&amp;width=450&amp;height=300&amp;START_MAXIMIZED=FALSE"}</definedName>
    <definedName name="_1483__FDSAUDITLINK__" hidden="1">{"fdsup://IBCentral/FAT Viewer?action=UPDATE&amp;creator=factset&amp;DOC_NAME=fat:reuters_qtrly_source_window.fat&amp;display_string=Audit&amp;DYN_ARGS=TRUE&amp;VAR:ID1=74457310&amp;VAR:RCODE=ATCA&amp;VAR:SDATE=20081299&amp;VAR:FREQ=DAILY&amp;VAR:RELITEM=&amp;VAR:CURRENCY=&amp;VAR:CURRSOURCE=EXSHARE&amp;","VAR:NATFREQ=QUARTERLY&amp;VAR:RFIELD=FINALIZED&amp;VAR:DB_TYPE=&amp;VAR:UNITS=M&amp;window=popup&amp;width=450&amp;height=300&amp;START_MAXIMIZED=FALSE"}</definedName>
    <definedName name="_1484__FDSAUDITLINK__" hidden="1">{"fdsup://IBCentral/FAT Viewer?action=UPDATE&amp;creator=factset&amp;DOC_NAME=fat:reuters_qtrly_source_window.fat&amp;display_string=Audit&amp;DYN_ARGS=TRUE&amp;VAR:ID1=74457310&amp;VAR:RCODE=ATOT&amp;VAR:SDATE=20081299&amp;VAR:FREQ=DAILY&amp;VAR:RELITEM=&amp;VAR:CURRENCY=&amp;VAR:CURRSOURCE=EXSHARE&amp;","VAR:NATFREQ=QUARTERLY&amp;VAR:RFIELD=FINALIZED&amp;VAR:DB_TYPE=&amp;VAR:UNITS=M&amp;window=popup&amp;width=450&amp;height=300&amp;START_MAXIMIZED=FALSE"}</definedName>
    <definedName name="_1485__FDSAUDITLINK__" hidden="1">{"fdsup://IBCentral/FAT Viewer?action=UPDATE&amp;creator=factset&amp;DOC_NAME=fat:reuters_qtrly_source_window.fat&amp;display_string=Audit&amp;DYN_ARGS=TRUE&amp;VAR:ID1=74153Q10&amp;VAR:RCODE=LTLL&amp;VAR:SDATE=20081299&amp;VAR:FREQ=DAILY&amp;VAR:RELITEM=&amp;VAR:CURRENCY=&amp;VAR:CURRSOURCE=EXSHARE&amp;","VAR:NATFREQ=QUARTERLY&amp;VAR:RFIELD=FINALIZED&amp;VAR:DB_TYPE=&amp;VAR:UNITS=M&amp;window=popup&amp;width=450&amp;height=300&amp;START_MAXIMIZED=FALSE"}</definedName>
    <definedName name="_1486__FDSAUDITLINK__" hidden="1">{"fdsup://IBCentral/FAT Viewer?action=UPDATE&amp;creator=factset&amp;DOC_NAME=fat:reuters_qtrly_source_window.fat&amp;display_string=Audit&amp;DYN_ARGS=TRUE&amp;VAR:ID1=74153Q10&amp;VAR:RCODE=LTCL&amp;VAR:SDATE=20081299&amp;VAR:FREQ=DAILY&amp;VAR:RELITEM=&amp;VAR:CURRENCY=&amp;VAR:CURRSOURCE=EXSHARE&amp;","VAR:NATFREQ=QUARTERLY&amp;VAR:RFIELD=FINALIZED&amp;VAR:DB_TYPE=&amp;VAR:UNITS=M&amp;window=popup&amp;width=450&amp;height=300&amp;START_MAXIMIZED=FALSE"}</definedName>
    <definedName name="_1487__FDSAUDITLINK__" hidden="1">{"fdsup://IBCentral/FAT Viewer?action=UPDATE&amp;creator=factset&amp;DOC_NAME=fat:reuters_qtrly_source_window.fat&amp;display_string=Audit&amp;DYN_ARGS=TRUE&amp;VAR:ID1=74153Q10&amp;VAR:RCODE=ATCA&amp;VAR:SDATE=20081299&amp;VAR:FREQ=DAILY&amp;VAR:RELITEM=&amp;VAR:CURRENCY=&amp;VAR:CURRSOURCE=EXSHARE&amp;","VAR:NATFREQ=QUARTERLY&amp;VAR:RFIELD=FINALIZED&amp;VAR:DB_TYPE=&amp;VAR:UNITS=M&amp;window=popup&amp;width=450&amp;height=300&amp;START_MAXIMIZED=FALSE"}</definedName>
    <definedName name="_1488__FDSAUDITLINK__" hidden="1">{"fdsup://IBCentral/FAT Viewer?action=UPDATE&amp;creator=factset&amp;DOC_NAME=fat:reuters_qtrly_source_window.fat&amp;display_string=Audit&amp;DYN_ARGS=TRUE&amp;VAR:ID1=74153Q10&amp;VAR:RCODE=ATOT&amp;VAR:SDATE=20081299&amp;VAR:FREQ=DAILY&amp;VAR:RELITEM=&amp;VAR:CURRENCY=&amp;VAR:CURRSOURCE=EXSHARE&amp;","VAR:NATFREQ=QUARTERLY&amp;VAR:RFIELD=FINALIZED&amp;VAR:DB_TYPE=&amp;VAR:UNITS=M&amp;window=popup&amp;width=450&amp;height=300&amp;START_MAXIMIZED=FALSE"}</definedName>
    <definedName name="_1489__FDSAUDITLINK__" hidden="1">{"fdsup://IBCentral/FAT Viewer?action=UPDATE&amp;creator=factset&amp;DOC_NAME=fat:reuters_qtrly_source_window.fat&amp;display_string=Audit&amp;DYN_ARGS=TRUE&amp;VAR:ID1=73763010&amp;VAR:RCODE=LTLL&amp;VAR:SDATE=20081299&amp;VAR:FREQ=DAILY&amp;VAR:RELITEM=&amp;VAR:CURRENCY=&amp;VAR:CURRSOURCE=EXSHARE&amp;","VAR:NATFREQ=QUARTERLY&amp;VAR:RFIELD=FINALIZED&amp;VAR:DB_TYPE=&amp;VAR:UNITS=M&amp;window=popup&amp;width=450&amp;height=300&amp;START_MAXIMIZED=FALSE"}</definedName>
    <definedName name="_149__FDSAUDITLINK__" hidden="1">{"fdsup://Directions/FactSet Auditing Viewer?action=AUDIT_VALUE&amp;DB=129&amp;ID1=20825C10&amp;VALUEID=02999&amp;SDATE=201001&amp;PERIODTYPE=QTR_STD&amp;window=popup_no_bar&amp;width=385&amp;height=120&amp;START_MAXIMIZED=FALSE&amp;creator=factset&amp;display_string=Audit"}</definedName>
    <definedName name="_1490__FDSAUDITLINK__" hidden="1">{"fdsup://IBCentral/FAT Viewer?action=UPDATE&amp;creator=factset&amp;DOC_NAME=fat:reuters_qtrly_source_window.fat&amp;display_string=Audit&amp;DYN_ARGS=TRUE&amp;VAR:ID1=73763010&amp;VAR:RCODE=LTCL&amp;VAR:SDATE=20081299&amp;VAR:FREQ=DAILY&amp;VAR:RELITEM=&amp;VAR:CURRENCY=&amp;VAR:CURRSOURCE=EXSHARE&amp;","VAR:NATFREQ=QUARTERLY&amp;VAR:RFIELD=FINALIZED&amp;VAR:DB_TYPE=&amp;VAR:UNITS=M&amp;window=popup&amp;width=450&amp;height=300&amp;START_MAXIMIZED=FALSE"}</definedName>
    <definedName name="_1491__FDSAUDITLINK__" hidden="1">{"fdsup://IBCentral/FAT Viewer?action=UPDATE&amp;creator=factset&amp;DOC_NAME=fat:reuters_qtrly_source_window.fat&amp;display_string=Audit&amp;DYN_ARGS=TRUE&amp;VAR:ID1=73763010&amp;VAR:RCODE=ATCA&amp;VAR:SDATE=20081299&amp;VAR:FREQ=DAILY&amp;VAR:RELITEM=&amp;VAR:CURRENCY=&amp;VAR:CURRSOURCE=EXSHARE&amp;","VAR:NATFREQ=QUARTERLY&amp;VAR:RFIELD=FINALIZED&amp;VAR:DB_TYPE=&amp;VAR:UNITS=M&amp;window=popup&amp;width=450&amp;height=300&amp;START_MAXIMIZED=FALSE"}</definedName>
    <definedName name="_1492__FDSAUDITLINK__" hidden="1">{"fdsup://IBCentral/FAT Viewer?action=UPDATE&amp;creator=factset&amp;DOC_NAME=fat:reuters_qtrly_source_window.fat&amp;display_string=Audit&amp;DYN_ARGS=TRUE&amp;VAR:ID1=73763010&amp;VAR:RCODE=ATOT&amp;VAR:SDATE=20081299&amp;VAR:FREQ=DAILY&amp;VAR:RELITEM=&amp;VAR:CURRENCY=&amp;VAR:CURRSOURCE=EXSHARE&amp;","VAR:NATFREQ=QUARTERLY&amp;VAR:RFIELD=FINALIZED&amp;VAR:DB_TYPE=&amp;VAR:UNITS=M&amp;window=popup&amp;width=450&amp;height=300&amp;START_MAXIMIZED=FALSE"}</definedName>
    <definedName name="_1493__FDSAUDITLINK__" hidden="1">{"fdsup://IBCentral/FAT Viewer?action=UPDATE&amp;creator=factset&amp;DOC_NAME=fat:reuters_qtrly_source_window.fat&amp;display_string=Audit&amp;DYN_ARGS=TRUE&amp;VAR:ID1=72378710&amp;VAR:RCODE=LTLL&amp;VAR:SDATE=20081299&amp;VAR:FREQ=DAILY&amp;VAR:RELITEM=&amp;VAR:CURRENCY=&amp;VAR:CURRSOURCE=EXSHARE&amp;","VAR:NATFREQ=QUARTERLY&amp;VAR:RFIELD=FINALIZED&amp;VAR:DB_TYPE=&amp;VAR:UNITS=M&amp;window=popup&amp;width=450&amp;height=300&amp;START_MAXIMIZED=FALSE"}</definedName>
    <definedName name="_1494__FDSAUDITLINK__" hidden="1">{"fdsup://IBCentral/FAT Viewer?action=UPDATE&amp;creator=factset&amp;DOC_NAME=fat:reuters_qtrly_source_window.fat&amp;display_string=Audit&amp;DYN_ARGS=TRUE&amp;VAR:ID1=72378710&amp;VAR:RCODE=LTCL&amp;VAR:SDATE=20081299&amp;VAR:FREQ=DAILY&amp;VAR:RELITEM=&amp;VAR:CURRENCY=&amp;VAR:CURRSOURCE=EXSHARE&amp;","VAR:NATFREQ=QUARTERLY&amp;VAR:RFIELD=FINALIZED&amp;VAR:DB_TYPE=&amp;VAR:UNITS=M&amp;window=popup&amp;width=450&amp;height=300&amp;START_MAXIMIZED=FALSE"}</definedName>
    <definedName name="_1495__FDSAUDITLINK__" hidden="1">{"fdsup://IBCentral/FAT Viewer?action=UPDATE&amp;creator=factset&amp;DOC_NAME=fat:reuters_qtrly_source_window.fat&amp;display_string=Audit&amp;DYN_ARGS=TRUE&amp;VAR:ID1=72378710&amp;VAR:RCODE=ATCA&amp;VAR:SDATE=20081299&amp;VAR:FREQ=DAILY&amp;VAR:RELITEM=&amp;VAR:CURRENCY=&amp;VAR:CURRSOURCE=EXSHARE&amp;","VAR:NATFREQ=QUARTERLY&amp;VAR:RFIELD=FINALIZED&amp;VAR:DB_TYPE=&amp;VAR:UNITS=M&amp;window=popup&amp;width=450&amp;height=300&amp;START_MAXIMIZED=FALSE"}</definedName>
    <definedName name="_1496__FDSAUDITLINK__" hidden="1">{"fdsup://IBCentral/FAT Viewer?action=UPDATE&amp;creator=factset&amp;DOC_NAME=fat:reuters_qtrly_source_window.fat&amp;display_string=Audit&amp;DYN_ARGS=TRUE&amp;VAR:ID1=72378710&amp;VAR:RCODE=ATOT&amp;VAR:SDATE=20081299&amp;VAR:FREQ=DAILY&amp;VAR:RELITEM=&amp;VAR:CURRENCY=&amp;VAR:CURRSOURCE=EXSHARE&amp;","VAR:NATFREQ=QUARTERLY&amp;VAR:RFIELD=FINALIZED&amp;VAR:DB_TYPE=&amp;VAR:UNITS=M&amp;window=popup&amp;width=450&amp;height=300&amp;START_MAXIMIZED=FALSE"}</definedName>
    <definedName name="_1497__FDSAUDITLINK__" hidden="1">{"fdsup://IBCentral/FAT Viewer?action=UPDATE&amp;creator=factset&amp;DOC_NAME=fat:reuters_qtrly_source_window.fat&amp;display_string=Audit&amp;DYN_ARGS=TRUE&amp;VAR:ID1=70454910&amp;VAR:RCODE=LTLL&amp;VAR:SDATE=20081299&amp;VAR:FREQ=DAILY&amp;VAR:RELITEM=&amp;VAR:CURRENCY=&amp;VAR:CURRSOURCE=EXSHARE&amp;","VAR:NATFREQ=QUARTERLY&amp;VAR:RFIELD=FINALIZED&amp;VAR:DB_TYPE=&amp;VAR:UNITS=M&amp;window=popup&amp;width=450&amp;height=300&amp;START_MAXIMIZED=FALSE"}</definedName>
    <definedName name="_1498__FDSAUDITLINK__" hidden="1">{"fdsup://IBCentral/FAT Viewer?action=UPDATE&amp;creator=factset&amp;DOC_NAME=fat:reuters_qtrly_source_window.fat&amp;display_string=Audit&amp;DYN_ARGS=TRUE&amp;VAR:ID1=70454910&amp;VAR:RCODE=LTCL&amp;VAR:SDATE=20081299&amp;VAR:FREQ=DAILY&amp;VAR:RELITEM=&amp;VAR:CURRENCY=&amp;VAR:CURRSOURCE=EXSHARE&amp;","VAR:NATFREQ=QUARTERLY&amp;VAR:RFIELD=FINALIZED&amp;VAR:DB_TYPE=&amp;VAR:UNITS=M&amp;window=popup&amp;width=450&amp;height=300&amp;START_MAXIMIZED=FALSE"}</definedName>
    <definedName name="_1499__FDSAUDITLINK__" hidden="1">{"fdsup://IBCentral/FAT Viewer?action=UPDATE&amp;creator=factset&amp;DOC_NAME=fat:reuters_qtrly_source_window.fat&amp;display_string=Audit&amp;DYN_ARGS=TRUE&amp;VAR:ID1=70454910&amp;VAR:RCODE=ATCA&amp;VAR:SDATE=20081299&amp;VAR:FREQ=DAILY&amp;VAR:RELITEM=&amp;VAR:CURRENCY=&amp;VAR:CURRSOURCE=EXSHARE&amp;","VAR:NATFREQ=QUARTERLY&amp;VAR:RFIELD=FINALIZED&amp;VAR:DB_TYPE=&amp;VAR:UNITS=M&amp;window=popup&amp;width=450&amp;height=300&amp;START_MAXIMIZED=FALSE"}</definedName>
    <definedName name="_14IQ_CURRENCY_GAIN_INS" hidden="1">"c238"</definedName>
    <definedName name="_15__FDSAUDITLINK__" hidden="1">{"fdsup://Directions/FactSet Auditing Viewer?action=AUDIT_VALUE&amp;DB=129&amp;ID1=00081T10&amp;VALUEID=02999&amp;SDATE=201001&amp;PERIODTYPE=QTR_STD&amp;window=popup_no_bar&amp;width=385&amp;height=120&amp;START_MAXIMIZED=FALSE&amp;creator=factset&amp;display_string=Audit"}</definedName>
    <definedName name="_150__FDSAUDITLINK__" hidden="1">{"fdsup://Directions/FactSet Auditing Viewer?action=AUDIT_VALUE&amp;DB=129&amp;ID1=20854P10&amp;VALUEID=02999&amp;SDATE=201001&amp;PERIODTYPE=QTR_STD&amp;window=popup_no_bar&amp;width=385&amp;height=120&amp;START_MAXIMIZED=FALSE&amp;creator=factset&amp;display_string=Audit"}</definedName>
    <definedName name="_1500__FDSAUDITLINK__" hidden="1">{"fdsup://IBCentral/FAT Viewer?action=UPDATE&amp;creator=factset&amp;DOC_NAME=fat:reuters_qtrly_source_window.fat&amp;display_string=Audit&amp;DYN_ARGS=TRUE&amp;VAR:ID1=70454910&amp;VAR:RCODE=ATOT&amp;VAR:SDATE=20081299&amp;VAR:FREQ=DAILY&amp;VAR:RELITEM=&amp;VAR:CURRENCY=&amp;VAR:CURRSOURCE=EXSHARE&amp;","VAR:NATFREQ=QUARTERLY&amp;VAR:RFIELD=FINALIZED&amp;VAR:DB_TYPE=&amp;VAR:UNITS=M&amp;window=popup&amp;width=450&amp;height=300&amp;START_MAXIMIZED=FALSE"}</definedName>
    <definedName name="_1501__FDSAUDITLINK__" hidden="1">{"fdsup://IBCentral/FAT Viewer?action=UPDATE&amp;creator=factset&amp;DOC_NAME=fat:reuters_qtrly_source_window.fat&amp;display_string=Audit&amp;DYN_ARGS=TRUE&amp;VAR:ID1=69074210&amp;VAR:RCODE=LTLL&amp;VAR:SDATE=20081299&amp;VAR:FREQ=DAILY&amp;VAR:RELITEM=&amp;VAR:CURRENCY=&amp;VAR:CURRSOURCE=EXSHARE&amp;","VAR:NATFREQ=QUARTERLY&amp;VAR:RFIELD=FINALIZED&amp;VAR:DB_TYPE=&amp;VAR:UNITS=M&amp;window=popup&amp;width=450&amp;height=300&amp;START_MAXIMIZED=FALSE"}</definedName>
    <definedName name="_1502__FDSAUDITLINK__" hidden="1">{"fdsup://IBCentral/FAT Viewer?action=UPDATE&amp;creator=factset&amp;DOC_NAME=fat:reuters_qtrly_source_window.fat&amp;display_string=Audit&amp;DYN_ARGS=TRUE&amp;VAR:ID1=69074210&amp;VAR:RCODE=LTCL&amp;VAR:SDATE=20081299&amp;VAR:FREQ=DAILY&amp;VAR:RELITEM=&amp;VAR:CURRENCY=&amp;VAR:CURRSOURCE=EXSHARE&amp;","VAR:NATFREQ=QUARTERLY&amp;VAR:RFIELD=FINALIZED&amp;VAR:DB_TYPE=&amp;VAR:UNITS=M&amp;window=popup&amp;width=450&amp;height=300&amp;START_MAXIMIZED=FALSE"}</definedName>
    <definedName name="_1503__FDSAUDITLINK__" hidden="1">{"fdsup://IBCentral/FAT Viewer?action=UPDATE&amp;creator=factset&amp;DOC_NAME=fat:reuters_qtrly_source_window.fat&amp;display_string=Audit&amp;DYN_ARGS=TRUE&amp;VAR:ID1=69074210&amp;VAR:RCODE=ATCA&amp;VAR:SDATE=20081299&amp;VAR:FREQ=DAILY&amp;VAR:RELITEM=&amp;VAR:CURRENCY=&amp;VAR:CURRSOURCE=EXSHARE&amp;","VAR:NATFREQ=QUARTERLY&amp;VAR:RFIELD=FINALIZED&amp;VAR:DB_TYPE=&amp;VAR:UNITS=M&amp;window=popup&amp;width=450&amp;height=300&amp;START_MAXIMIZED=FALSE"}</definedName>
    <definedName name="_1504__FDSAUDITLINK__" hidden="1">{"fdsup://IBCentral/FAT Viewer?action=UPDATE&amp;creator=factset&amp;DOC_NAME=fat:reuters_qtrly_source_window.fat&amp;display_string=Audit&amp;DYN_ARGS=TRUE&amp;VAR:ID1=69074210&amp;VAR:RCODE=ATOT&amp;VAR:SDATE=20081299&amp;VAR:FREQ=DAILY&amp;VAR:RELITEM=&amp;VAR:CURRENCY=&amp;VAR:CURRSOURCE=EXSHARE&amp;","VAR:NATFREQ=QUARTERLY&amp;VAR:RFIELD=FINALIZED&amp;VAR:DB_TYPE=&amp;VAR:UNITS=M&amp;window=popup&amp;width=450&amp;height=300&amp;START_MAXIMIZED=FALSE"}</definedName>
    <definedName name="_1505__FDSAUDITLINK__" hidden="1">{"fdsup://IBCentral/FAT Viewer?action=UPDATE&amp;creator=factset&amp;DOC_NAME=fat:reuters_qtrly_source_window.fat&amp;display_string=Audit&amp;DYN_ARGS=TRUE&amp;VAR:ID1=69036810&amp;VAR:RCODE=LTLL&amp;VAR:SDATE=20081299&amp;VAR:FREQ=DAILY&amp;VAR:RELITEM=&amp;VAR:CURRENCY=&amp;VAR:CURRSOURCE=EXSHARE&amp;","VAR:NATFREQ=QUARTERLY&amp;VAR:RFIELD=FINALIZED&amp;VAR:DB_TYPE=&amp;VAR:UNITS=M&amp;window=popup&amp;width=450&amp;height=300&amp;START_MAXIMIZED=FALSE"}</definedName>
    <definedName name="_1506__FDSAUDITLINK__" hidden="1">{"fdsup://IBCentral/FAT Viewer?action=UPDATE&amp;creator=factset&amp;DOC_NAME=fat:reuters_qtrly_source_window.fat&amp;display_string=Audit&amp;DYN_ARGS=TRUE&amp;VAR:ID1=69036810&amp;VAR:RCODE=LTCL&amp;VAR:SDATE=20081299&amp;VAR:FREQ=DAILY&amp;VAR:RELITEM=&amp;VAR:CURRENCY=&amp;VAR:CURRSOURCE=EXSHARE&amp;","VAR:NATFREQ=QUARTERLY&amp;VAR:RFIELD=FINALIZED&amp;VAR:DB_TYPE=&amp;VAR:UNITS=M&amp;window=popup&amp;width=450&amp;height=300&amp;START_MAXIMIZED=FALSE"}</definedName>
    <definedName name="_1507__FDSAUDITLINK__" hidden="1">{"fdsup://IBCentral/FAT Viewer?action=UPDATE&amp;creator=factset&amp;DOC_NAME=fat:reuters_qtrly_source_window.fat&amp;display_string=Audit&amp;DYN_ARGS=TRUE&amp;VAR:ID1=69036810&amp;VAR:RCODE=ATCA&amp;VAR:SDATE=20081299&amp;VAR:FREQ=DAILY&amp;VAR:RELITEM=&amp;VAR:CURRENCY=&amp;VAR:CURRSOURCE=EXSHARE&amp;","VAR:NATFREQ=QUARTERLY&amp;VAR:RFIELD=FINALIZED&amp;VAR:DB_TYPE=&amp;VAR:UNITS=M&amp;window=popup&amp;width=450&amp;height=300&amp;START_MAXIMIZED=FALSE"}</definedName>
    <definedName name="_1508__FDSAUDITLINK__" hidden="1">{"fdsup://IBCentral/FAT Viewer?action=UPDATE&amp;creator=factset&amp;DOC_NAME=fat:reuters_qtrly_source_window.fat&amp;display_string=Audit&amp;DYN_ARGS=TRUE&amp;VAR:ID1=69036810&amp;VAR:RCODE=ATOT&amp;VAR:SDATE=20081299&amp;VAR:FREQ=DAILY&amp;VAR:RELITEM=&amp;VAR:CURRENCY=&amp;VAR:CURRSOURCE=EXSHARE&amp;","VAR:NATFREQ=QUARTERLY&amp;VAR:RFIELD=FINALIZED&amp;VAR:DB_TYPE=&amp;VAR:UNITS=M&amp;window=popup&amp;width=450&amp;height=300&amp;START_MAXIMIZED=FALSE"}</definedName>
    <definedName name="_1509__FDSAUDITLINK__" hidden="1">{"fdsup://IBCentral/FAT Viewer?action=UPDATE&amp;creator=factset&amp;DOC_NAME=fat:reuters_qtrly_source_window.fat&amp;display_string=Audit&amp;DYN_ARGS=TRUE&amp;VAR:ID1=68066520&amp;VAR:RCODE=LTLL&amp;VAR:SDATE=20081299&amp;VAR:FREQ=DAILY&amp;VAR:RELITEM=&amp;VAR:CURRENCY=&amp;VAR:CURRSOURCE=EXSHARE&amp;","VAR:NATFREQ=QUARTERLY&amp;VAR:RFIELD=FINALIZED&amp;VAR:DB_TYPE=&amp;VAR:UNITS=M&amp;window=popup&amp;width=450&amp;height=300&amp;START_MAXIMIZED=FALSE"}</definedName>
    <definedName name="_151__FDSAUDITLINK__" hidden="1">{"fdsup://Directions/FactSet Auditing Viewer?action=AUDIT_VALUE&amp;DB=129&amp;ID1=21036P10&amp;VALUEID=02999&amp;SDATE=201001&amp;PERIODTYPE=QTR_STD&amp;window=popup_no_bar&amp;width=385&amp;height=120&amp;START_MAXIMIZED=FALSE&amp;creator=factset&amp;display_string=Audit"}</definedName>
    <definedName name="_1510__FDSAUDITLINK__" hidden="1">{"fdsup://IBCentral/FAT Viewer?action=UPDATE&amp;creator=factset&amp;DOC_NAME=fat:reuters_qtrly_source_window.fat&amp;display_string=Audit&amp;DYN_ARGS=TRUE&amp;VAR:ID1=68066520&amp;VAR:RCODE=LTCL&amp;VAR:SDATE=20081299&amp;VAR:FREQ=DAILY&amp;VAR:RELITEM=&amp;VAR:CURRENCY=&amp;VAR:CURRSOURCE=EXSHARE&amp;","VAR:NATFREQ=QUARTERLY&amp;VAR:RFIELD=FINALIZED&amp;VAR:DB_TYPE=&amp;VAR:UNITS=M&amp;window=popup&amp;width=450&amp;height=300&amp;START_MAXIMIZED=FALSE"}</definedName>
    <definedName name="_1511__FDSAUDITLINK__" hidden="1">{"fdsup://IBCentral/FAT Viewer?action=UPDATE&amp;creator=factset&amp;DOC_NAME=fat:reuters_qtrly_source_window.fat&amp;display_string=Audit&amp;DYN_ARGS=TRUE&amp;VAR:ID1=68066520&amp;VAR:RCODE=ATCA&amp;VAR:SDATE=20081299&amp;VAR:FREQ=DAILY&amp;VAR:RELITEM=&amp;VAR:CURRENCY=&amp;VAR:CURRSOURCE=EXSHARE&amp;","VAR:NATFREQ=QUARTERLY&amp;VAR:RFIELD=FINALIZED&amp;VAR:DB_TYPE=&amp;VAR:UNITS=M&amp;window=popup&amp;width=450&amp;height=300&amp;START_MAXIMIZED=FALSE"}</definedName>
    <definedName name="_1512__FDSAUDITLINK__" hidden="1">{"fdsup://IBCentral/FAT Viewer?action=UPDATE&amp;creator=factset&amp;DOC_NAME=fat:reuters_qtrly_source_window.fat&amp;display_string=Audit&amp;DYN_ARGS=TRUE&amp;VAR:ID1=68066520&amp;VAR:RCODE=ATOT&amp;VAR:SDATE=20081299&amp;VAR:FREQ=DAILY&amp;VAR:RELITEM=&amp;VAR:CURRENCY=&amp;VAR:CURRSOURCE=EXSHARE&amp;","VAR:NATFREQ=QUARTERLY&amp;VAR:RFIELD=FINALIZED&amp;VAR:DB_TYPE=&amp;VAR:UNITS=M&amp;window=popup&amp;width=450&amp;height=300&amp;START_MAXIMIZED=FALSE"}</definedName>
    <definedName name="_1513__FDSAUDITLINK__" hidden="1">{"fdsup://IBCentral/FAT Viewer?action=UPDATE&amp;creator=factset&amp;DOC_NAME=fat:reuters_qtrly_source_window.fat&amp;display_string=Audit&amp;DYN_ARGS=TRUE&amp;VAR:ID1=65129010&amp;VAR:RCODE=LTLL&amp;VAR:SDATE=20081299&amp;VAR:FREQ=DAILY&amp;VAR:RELITEM=&amp;VAR:CURRENCY=&amp;VAR:CURRSOURCE=EXSHARE&amp;","VAR:NATFREQ=QUARTERLY&amp;VAR:RFIELD=FINALIZED&amp;VAR:DB_TYPE=&amp;VAR:UNITS=M&amp;window=popup&amp;width=450&amp;height=300&amp;START_MAXIMIZED=FALSE"}</definedName>
    <definedName name="_1514__FDSAUDITLINK__" hidden="1">{"fdsup://IBCentral/FAT Viewer?action=UPDATE&amp;creator=factset&amp;DOC_NAME=fat:reuters_qtrly_source_window.fat&amp;display_string=Audit&amp;DYN_ARGS=TRUE&amp;VAR:ID1=65129010&amp;VAR:RCODE=LTCL&amp;VAR:SDATE=20081299&amp;VAR:FREQ=DAILY&amp;VAR:RELITEM=&amp;VAR:CURRENCY=&amp;VAR:CURRSOURCE=EXSHARE&amp;","VAR:NATFREQ=QUARTERLY&amp;VAR:RFIELD=FINALIZED&amp;VAR:DB_TYPE=&amp;VAR:UNITS=M&amp;window=popup&amp;width=450&amp;height=300&amp;START_MAXIMIZED=FALSE"}</definedName>
    <definedName name="_1515__FDSAUDITLINK__" hidden="1">{"fdsup://IBCentral/FAT Viewer?action=UPDATE&amp;creator=factset&amp;DOC_NAME=fat:reuters_qtrly_source_window.fat&amp;display_string=Audit&amp;DYN_ARGS=TRUE&amp;VAR:ID1=65129010&amp;VAR:RCODE=ATCA&amp;VAR:SDATE=20081299&amp;VAR:FREQ=DAILY&amp;VAR:RELITEM=&amp;VAR:CURRENCY=&amp;VAR:CURRSOURCE=EXSHARE&amp;","VAR:NATFREQ=QUARTERLY&amp;VAR:RFIELD=FINALIZED&amp;VAR:DB_TYPE=&amp;VAR:UNITS=M&amp;window=popup&amp;width=450&amp;height=300&amp;START_MAXIMIZED=FALSE"}</definedName>
    <definedName name="_1516__FDSAUDITLINK__" hidden="1">{"fdsup://IBCentral/FAT Viewer?action=UPDATE&amp;creator=factset&amp;DOC_NAME=fat:reuters_qtrly_source_window.fat&amp;display_string=Audit&amp;DYN_ARGS=TRUE&amp;VAR:ID1=65129010&amp;VAR:RCODE=ATOT&amp;VAR:SDATE=20081299&amp;VAR:FREQ=DAILY&amp;VAR:RELITEM=&amp;VAR:CURRENCY=&amp;VAR:CURRSOURCE=EXSHARE&amp;","VAR:NATFREQ=QUARTERLY&amp;VAR:RFIELD=FINALIZED&amp;VAR:DB_TYPE=&amp;VAR:UNITS=M&amp;window=popup&amp;width=450&amp;height=300&amp;START_MAXIMIZED=FALSE"}</definedName>
    <definedName name="_1517__FDSAUDITLINK__" hidden="1">{"fdsup://IBCentral/FAT Viewer?action=UPDATE&amp;creator=factset&amp;DOC_NAME=fat:reuters_qtrly_source_window.fat&amp;display_string=Audit&amp;DYN_ARGS=TRUE&amp;VAR:ID1=61945A10&amp;VAR:RCODE=LTLL&amp;VAR:SDATE=20081199&amp;VAR:FREQ=DAILY&amp;VAR:RELITEM=&amp;VAR:CURRENCY=&amp;VAR:CURRSOURCE=EXSHARE&amp;","VAR:NATFREQ=QUARTERLY&amp;VAR:RFIELD=FINALIZED&amp;VAR:DB_TYPE=&amp;VAR:UNITS=M&amp;window=popup&amp;width=450&amp;height=300&amp;START_MAXIMIZED=FALSE"}</definedName>
    <definedName name="_1518__FDSAUDITLINK__" hidden="1">{"fdsup://IBCentral/FAT Viewer?action=UPDATE&amp;creator=factset&amp;DOC_NAME=fat:reuters_qtrly_source_window.fat&amp;display_string=Audit&amp;DYN_ARGS=TRUE&amp;VAR:ID1=61945A10&amp;VAR:RCODE=LTCL&amp;VAR:SDATE=20081199&amp;VAR:FREQ=DAILY&amp;VAR:RELITEM=&amp;VAR:CURRENCY=&amp;VAR:CURRSOURCE=EXSHARE&amp;","VAR:NATFREQ=QUARTERLY&amp;VAR:RFIELD=FINALIZED&amp;VAR:DB_TYPE=&amp;VAR:UNITS=M&amp;window=popup&amp;width=450&amp;height=300&amp;START_MAXIMIZED=FALSE"}</definedName>
    <definedName name="_1519__FDSAUDITLINK__" hidden="1">{"fdsup://IBCentral/FAT Viewer?action=UPDATE&amp;creator=factset&amp;DOC_NAME=fat:reuters_qtrly_source_window.fat&amp;display_string=Audit&amp;DYN_ARGS=TRUE&amp;VAR:ID1=61945A10&amp;VAR:RCODE=ATCA&amp;VAR:SDATE=20081199&amp;VAR:FREQ=DAILY&amp;VAR:RELITEM=&amp;VAR:CURRENCY=&amp;VAR:CURRSOURCE=EXSHARE&amp;","VAR:NATFREQ=QUARTERLY&amp;VAR:RFIELD=FINALIZED&amp;VAR:DB_TYPE=&amp;VAR:UNITS=M&amp;window=popup&amp;width=450&amp;height=300&amp;START_MAXIMIZED=FALSE"}</definedName>
    <definedName name="_152__FDSAUDITLINK__" hidden="1">{"fdsup://Directions/FactSet Auditing Viewer?action=AUDIT_VALUE&amp;DB=129&amp;ID1=21079530&amp;VALUEID=02999&amp;SDATE=201001&amp;PERIODTYPE=QTR_STD&amp;window=popup_no_bar&amp;width=385&amp;height=120&amp;START_MAXIMIZED=FALSE&amp;creator=factset&amp;display_string=Audit"}</definedName>
    <definedName name="_1520__FDSAUDITLINK__" hidden="1">{"fdsup://IBCentral/FAT Viewer?action=UPDATE&amp;creator=factset&amp;DOC_NAME=fat:reuters_qtrly_source_window.fat&amp;display_string=Audit&amp;DYN_ARGS=TRUE&amp;VAR:ID1=61945A10&amp;VAR:RCODE=ATOT&amp;VAR:SDATE=20081199&amp;VAR:FREQ=DAILY&amp;VAR:RELITEM=&amp;VAR:CURRENCY=&amp;VAR:CURRSOURCE=EXSHARE&amp;","VAR:NATFREQ=QUARTERLY&amp;VAR:RFIELD=FINALIZED&amp;VAR:DB_TYPE=&amp;VAR:UNITS=M&amp;window=popup&amp;width=450&amp;height=300&amp;START_MAXIMIZED=FALSE"}</definedName>
    <definedName name="_1521__FDSAUDITLINK__" hidden="1">{"fdsup://IBCentral/FAT Viewer?action=UPDATE&amp;creator=factset&amp;DOC_NAME=fat:reuters_qtrly_source_window.fat&amp;display_string=Audit&amp;DYN_ARGS=TRUE&amp;VAR:ID1=58333410&amp;VAR:RCODE=LTLL&amp;VAR:SDATE=20081299&amp;VAR:FREQ=DAILY&amp;VAR:RELITEM=&amp;VAR:CURRENCY=&amp;VAR:CURRSOURCE=EXSHARE&amp;","VAR:NATFREQ=QUARTERLY&amp;VAR:RFIELD=FINALIZED&amp;VAR:DB_TYPE=&amp;VAR:UNITS=M&amp;window=popup&amp;width=450&amp;height=300&amp;START_MAXIMIZED=FALSE"}</definedName>
    <definedName name="_1522__FDSAUDITLINK__" hidden="1">{"fdsup://IBCentral/FAT Viewer?action=UPDATE&amp;creator=factset&amp;DOC_NAME=fat:reuters_qtrly_source_window.fat&amp;display_string=Audit&amp;DYN_ARGS=TRUE&amp;VAR:ID1=58333410&amp;VAR:RCODE=LTCL&amp;VAR:SDATE=20081299&amp;VAR:FREQ=DAILY&amp;VAR:RELITEM=&amp;VAR:CURRENCY=&amp;VAR:CURRSOURCE=EXSHARE&amp;","VAR:NATFREQ=QUARTERLY&amp;VAR:RFIELD=FINALIZED&amp;VAR:DB_TYPE=&amp;VAR:UNITS=M&amp;window=popup&amp;width=450&amp;height=300&amp;START_MAXIMIZED=FALSE"}</definedName>
    <definedName name="_1523__FDSAUDITLINK__" hidden="1">{"fdsup://IBCentral/FAT Viewer?action=UPDATE&amp;creator=factset&amp;DOC_NAME=fat:reuters_qtrly_source_window.fat&amp;display_string=Audit&amp;DYN_ARGS=TRUE&amp;VAR:ID1=58333410&amp;VAR:RCODE=ATCA&amp;VAR:SDATE=20081299&amp;VAR:FREQ=DAILY&amp;VAR:RELITEM=&amp;VAR:CURRENCY=&amp;VAR:CURRSOURCE=EXSHARE&amp;","VAR:NATFREQ=QUARTERLY&amp;VAR:RFIELD=FINALIZED&amp;VAR:DB_TYPE=&amp;VAR:UNITS=M&amp;window=popup&amp;width=450&amp;height=300&amp;START_MAXIMIZED=FALSE"}</definedName>
    <definedName name="_1524__FDSAUDITLINK__" hidden="1">{"fdsup://IBCentral/FAT Viewer?action=UPDATE&amp;creator=factset&amp;DOC_NAME=fat:reuters_qtrly_source_window.fat&amp;display_string=Audit&amp;DYN_ARGS=TRUE&amp;VAR:ID1=58333410&amp;VAR:RCODE=ATOT&amp;VAR:SDATE=20081299&amp;VAR:FREQ=DAILY&amp;VAR:RELITEM=&amp;VAR:CURRENCY=&amp;VAR:CURRSOURCE=EXSHARE&amp;","VAR:NATFREQ=QUARTERLY&amp;VAR:RFIELD=FINALIZED&amp;VAR:DB_TYPE=&amp;VAR:UNITS=M&amp;window=popup&amp;width=450&amp;height=300&amp;START_MAXIMIZED=FALSE"}</definedName>
    <definedName name="_1525__FDSAUDITLINK__" hidden="1">{"fdsup://IBCentral/FAT Viewer?action=UPDATE&amp;creator=factset&amp;DOC_NAME=fat:reuters_qtrly_source_window.fat&amp;display_string=Audit&amp;DYN_ARGS=TRUE&amp;VAR:ID1=57459910&amp;VAR:RCODE=LTLL&amp;VAR:SDATE=20081299&amp;VAR:FREQ=DAILY&amp;VAR:RELITEM=&amp;VAR:CURRENCY=&amp;VAR:CURRSOURCE=EXSHARE&amp;","VAR:NATFREQ=QUARTERLY&amp;VAR:RFIELD=FINALIZED&amp;VAR:DB_TYPE=&amp;VAR:UNITS=M&amp;window=popup&amp;width=450&amp;height=300&amp;START_MAXIMIZED=FALSE"}</definedName>
    <definedName name="_1526__FDSAUDITLINK__" hidden="1">{"fdsup://IBCentral/FAT Viewer?action=UPDATE&amp;creator=factset&amp;DOC_NAME=fat:reuters_qtrly_source_window.fat&amp;display_string=Audit&amp;DYN_ARGS=TRUE&amp;VAR:ID1=57459910&amp;VAR:RCODE=LTCL&amp;VAR:SDATE=20081299&amp;VAR:FREQ=DAILY&amp;VAR:RELITEM=&amp;VAR:CURRENCY=&amp;VAR:CURRSOURCE=EXSHARE&amp;","VAR:NATFREQ=QUARTERLY&amp;VAR:RFIELD=FINALIZED&amp;VAR:DB_TYPE=&amp;VAR:UNITS=M&amp;window=popup&amp;width=450&amp;height=300&amp;START_MAXIMIZED=FALSE"}</definedName>
    <definedName name="_1527__FDSAUDITLINK__" hidden="1">{"fdsup://IBCentral/FAT Viewer?action=UPDATE&amp;creator=factset&amp;DOC_NAME=fat:reuters_qtrly_source_window.fat&amp;display_string=Audit&amp;DYN_ARGS=TRUE&amp;VAR:ID1=57459910&amp;VAR:RCODE=ATCA&amp;VAR:SDATE=20081299&amp;VAR:FREQ=DAILY&amp;VAR:RELITEM=&amp;VAR:CURRENCY=&amp;VAR:CURRSOURCE=EXSHARE&amp;","VAR:NATFREQ=QUARTERLY&amp;VAR:RFIELD=FINALIZED&amp;VAR:DB_TYPE=&amp;VAR:UNITS=M&amp;window=popup&amp;width=450&amp;height=300&amp;START_MAXIMIZED=FALSE"}</definedName>
    <definedName name="_1528__FDSAUDITLINK__" hidden="1">{"fdsup://IBCentral/FAT Viewer?action=UPDATE&amp;creator=factset&amp;DOC_NAME=fat:reuters_qtrly_source_window.fat&amp;display_string=Audit&amp;DYN_ARGS=TRUE&amp;VAR:ID1=57459910&amp;VAR:RCODE=ATOT&amp;VAR:SDATE=20081299&amp;VAR:FREQ=DAILY&amp;VAR:RELITEM=&amp;VAR:CURRENCY=&amp;VAR:CURRSOURCE=EXSHARE&amp;","VAR:NATFREQ=QUARTERLY&amp;VAR:RFIELD=FINALIZED&amp;VAR:DB_TYPE=&amp;VAR:UNITS=M&amp;window=popup&amp;width=450&amp;height=300&amp;START_MAXIMIZED=FALSE"}</definedName>
    <definedName name="_1529__FDSAUDITLINK__" hidden="1">{"fdsup://IBCentral/FAT Viewer?action=UPDATE&amp;creator=factset&amp;DOC_NAME=fat:reuters_qtrly_source_window.fat&amp;display_string=Audit&amp;DYN_ARGS=TRUE&amp;VAR:ID1=53271610&amp;VAR:RCODE=LTLL&amp;VAR:SDATE=20081099&amp;VAR:FREQ=DAILY&amp;VAR:RELITEM=&amp;VAR:CURRENCY=&amp;VAR:CURRSOURCE=EXSHARE&amp;","VAR:NATFREQ=QUARTERLY&amp;VAR:RFIELD=FINALIZED&amp;VAR:DB_TYPE=&amp;VAR:UNITS=M&amp;window=popup&amp;width=450&amp;height=300&amp;START_MAXIMIZED=FALSE"}</definedName>
    <definedName name="_153__FDSAUDITLINK__" hidden="1">{"fdsup://Directions/FactSet Auditing Viewer?action=AUDIT_VALUE&amp;DB=129&amp;ID1=21248510&amp;VALUEID=02999&amp;SDATE=201001&amp;PERIODTYPE=QTR_STD&amp;window=popup_no_bar&amp;width=385&amp;height=120&amp;START_MAXIMIZED=FALSE&amp;creator=factset&amp;display_string=Audit"}</definedName>
    <definedName name="_1530__FDSAUDITLINK__" hidden="1">{"fdsup://IBCentral/FAT Viewer?action=UPDATE&amp;creator=factset&amp;DOC_NAME=fat:reuters_qtrly_source_window.fat&amp;display_string=Audit&amp;DYN_ARGS=TRUE&amp;VAR:ID1=53271610&amp;VAR:RCODE=LTCL&amp;VAR:SDATE=20081099&amp;VAR:FREQ=DAILY&amp;VAR:RELITEM=&amp;VAR:CURRENCY=&amp;VAR:CURRSOURCE=EXSHARE&amp;","VAR:NATFREQ=QUARTERLY&amp;VAR:RFIELD=FINALIZED&amp;VAR:DB_TYPE=&amp;VAR:UNITS=M&amp;window=popup&amp;width=450&amp;height=300&amp;START_MAXIMIZED=FALSE"}</definedName>
    <definedName name="_1531__FDSAUDITLINK__" hidden="1">{"fdsup://IBCentral/FAT Viewer?action=UPDATE&amp;creator=factset&amp;DOC_NAME=fat:reuters_qtrly_source_window.fat&amp;display_string=Audit&amp;DYN_ARGS=TRUE&amp;VAR:ID1=53271610&amp;VAR:RCODE=ATCA&amp;VAR:SDATE=20081099&amp;VAR:FREQ=DAILY&amp;VAR:RELITEM=&amp;VAR:CURRENCY=&amp;VAR:CURRSOURCE=EXSHARE&amp;","VAR:NATFREQ=QUARTERLY&amp;VAR:RFIELD=FINALIZED&amp;VAR:DB_TYPE=&amp;VAR:UNITS=M&amp;window=popup&amp;width=450&amp;height=300&amp;START_MAXIMIZED=FALSE"}</definedName>
    <definedName name="_1532__FDSAUDITLINK__" hidden="1">{"fdsup://IBCentral/FAT Viewer?action=UPDATE&amp;creator=factset&amp;DOC_NAME=fat:reuters_qtrly_source_window.fat&amp;display_string=Audit&amp;DYN_ARGS=TRUE&amp;VAR:ID1=53271610&amp;VAR:RCODE=ATOT&amp;VAR:SDATE=20081099&amp;VAR:FREQ=DAILY&amp;VAR:RELITEM=&amp;VAR:CURRENCY=&amp;VAR:CURRSOURCE=EXSHARE&amp;","VAR:NATFREQ=QUARTERLY&amp;VAR:RFIELD=FINALIZED&amp;VAR:DB_TYPE=&amp;VAR:UNITS=M&amp;window=popup&amp;width=450&amp;height=300&amp;START_MAXIMIZED=FALSE"}</definedName>
    <definedName name="_1533__FDSAUDITLINK__" hidden="1">{"fdsup://IBCentral/FAT Viewer?action=UPDATE&amp;creator=factset&amp;DOC_NAME=fat:reuters_qtrly_source_window.fat&amp;display_string=Audit&amp;DYN_ARGS=TRUE&amp;VAR:ID1=46631310&amp;VAR:RCODE=LTLL&amp;VAR:SDATE=20081199&amp;VAR:FREQ=DAILY&amp;VAR:RELITEM=&amp;VAR:CURRENCY=&amp;VAR:CURRSOURCE=EXSHARE&amp;","VAR:NATFREQ=QUARTERLY&amp;VAR:RFIELD=FINALIZED&amp;VAR:DB_TYPE=&amp;VAR:UNITS=M&amp;window=popup&amp;width=450&amp;height=300&amp;START_MAXIMIZED=FALSE"}</definedName>
    <definedName name="_1534__FDSAUDITLINK__" hidden="1">{"fdsup://IBCentral/FAT Viewer?action=UPDATE&amp;creator=factset&amp;DOC_NAME=fat:reuters_qtrly_source_window.fat&amp;display_string=Audit&amp;DYN_ARGS=TRUE&amp;VAR:ID1=46631310&amp;VAR:RCODE=LTCL&amp;VAR:SDATE=20081199&amp;VAR:FREQ=DAILY&amp;VAR:RELITEM=&amp;VAR:CURRENCY=&amp;VAR:CURRSOURCE=EXSHARE&amp;","VAR:NATFREQ=QUARTERLY&amp;VAR:RFIELD=FINALIZED&amp;VAR:DB_TYPE=&amp;VAR:UNITS=M&amp;window=popup&amp;width=450&amp;height=300&amp;START_MAXIMIZED=FALSE"}</definedName>
    <definedName name="_1535__FDSAUDITLINK__" hidden="1">{"fdsup://IBCentral/FAT Viewer?action=UPDATE&amp;creator=factset&amp;DOC_NAME=fat:reuters_qtrly_source_window.fat&amp;display_string=Audit&amp;DYN_ARGS=TRUE&amp;VAR:ID1=46631310&amp;VAR:RCODE=ATCA&amp;VAR:SDATE=20081199&amp;VAR:FREQ=DAILY&amp;VAR:RELITEM=&amp;VAR:CURRENCY=&amp;VAR:CURRSOURCE=EXSHARE&amp;","VAR:NATFREQ=QUARTERLY&amp;VAR:RFIELD=FINALIZED&amp;VAR:DB_TYPE=&amp;VAR:UNITS=M&amp;window=popup&amp;width=450&amp;height=300&amp;START_MAXIMIZED=FALSE"}</definedName>
    <definedName name="_1536__FDSAUDITLINK__" hidden="1">{"fdsup://IBCentral/FAT Viewer?action=UPDATE&amp;creator=factset&amp;DOC_NAME=fat:reuters_qtrly_source_window.fat&amp;display_string=Audit&amp;DYN_ARGS=TRUE&amp;VAR:ID1=46631310&amp;VAR:RCODE=ATOT&amp;VAR:SDATE=20081199&amp;VAR:FREQ=DAILY&amp;VAR:RELITEM=&amp;VAR:CURRENCY=&amp;VAR:CURRSOURCE=EXSHARE&amp;","VAR:NATFREQ=QUARTERLY&amp;VAR:RFIELD=FINALIZED&amp;VAR:DB_TYPE=&amp;VAR:UNITS=M&amp;window=popup&amp;width=450&amp;height=300&amp;START_MAXIMIZED=FALSE"}</definedName>
    <definedName name="_1537__FDSAUDITLINK__" hidden="1">{"fdsup://IBCentral/FAT Viewer?action=UPDATE&amp;creator=factset&amp;DOC_NAME=fat:reuters_qtrly_source_window.fat&amp;display_string=Audit&amp;DYN_ARGS=TRUE&amp;VAR:ID1=36476010&amp;VAR:RCODE=LTLL&amp;VAR:SDATE=20081099&amp;VAR:FREQ=DAILY&amp;VAR:RELITEM=&amp;VAR:CURRENCY=&amp;VAR:CURRSOURCE=EXSHARE&amp;","VAR:NATFREQ=QUARTERLY&amp;VAR:RFIELD=FINALIZED&amp;VAR:DB_TYPE=&amp;VAR:UNITS=M&amp;window=popup&amp;width=450&amp;height=300&amp;START_MAXIMIZED=FALSE"}</definedName>
    <definedName name="_1538__FDSAUDITLINK__" hidden="1">{"fdsup://IBCentral/FAT Viewer?action=UPDATE&amp;creator=factset&amp;DOC_NAME=fat:reuters_qtrly_source_window.fat&amp;display_string=Audit&amp;DYN_ARGS=TRUE&amp;VAR:ID1=36476010&amp;VAR:RCODE=LTCL&amp;VAR:SDATE=20081099&amp;VAR:FREQ=DAILY&amp;VAR:RELITEM=&amp;VAR:CURRENCY=&amp;VAR:CURRSOURCE=EXSHARE&amp;","VAR:NATFREQ=QUARTERLY&amp;VAR:RFIELD=FINALIZED&amp;VAR:DB_TYPE=&amp;VAR:UNITS=M&amp;window=popup&amp;width=450&amp;height=300&amp;START_MAXIMIZED=FALSE"}</definedName>
    <definedName name="_1539__FDSAUDITLINK__" hidden="1">{"fdsup://IBCentral/FAT Viewer?action=UPDATE&amp;creator=factset&amp;DOC_NAME=fat:reuters_qtrly_source_window.fat&amp;display_string=Audit&amp;DYN_ARGS=TRUE&amp;VAR:ID1=36476010&amp;VAR:RCODE=ATCA&amp;VAR:SDATE=20081099&amp;VAR:FREQ=DAILY&amp;VAR:RELITEM=&amp;VAR:CURRENCY=&amp;VAR:CURRSOURCE=EXSHARE&amp;","VAR:NATFREQ=QUARTERLY&amp;VAR:RFIELD=FINALIZED&amp;VAR:DB_TYPE=&amp;VAR:UNITS=M&amp;window=popup&amp;width=450&amp;height=300&amp;START_MAXIMIZED=FALSE"}</definedName>
    <definedName name="_154__FDSAUDITLINK__" hidden="1">{"fdsup://Directions/FactSet Auditing Viewer?action=AUDIT_VALUE&amp;DB=129&amp;ID1=21664840&amp;VALUEID=02999&amp;SDATE=201002&amp;PERIODTYPE=QTR_STD&amp;window=popup_no_bar&amp;width=385&amp;height=120&amp;START_MAXIMIZED=FALSE&amp;creator=factset&amp;display_string=Audit"}</definedName>
    <definedName name="_1540__FDSAUDITLINK__" hidden="1">{"fdsup://IBCentral/FAT Viewer?action=UPDATE&amp;creator=factset&amp;DOC_NAME=fat:reuters_qtrly_source_window.fat&amp;display_string=Audit&amp;DYN_ARGS=TRUE&amp;VAR:ID1=36476010&amp;VAR:RCODE=ATOT&amp;VAR:SDATE=20081099&amp;VAR:FREQ=DAILY&amp;VAR:RELITEM=&amp;VAR:CURRENCY=&amp;VAR:CURRSOURCE=EXSHARE&amp;","VAR:NATFREQ=QUARTERLY&amp;VAR:RFIELD=FINALIZED&amp;VAR:DB_TYPE=&amp;VAR:UNITS=M&amp;window=popup&amp;width=450&amp;height=300&amp;START_MAXIMIZED=FALSE"}</definedName>
    <definedName name="_1541__FDSAUDITLINK__" hidden="1">{"fdsup://IBCentral/FAT Viewer?action=UPDATE&amp;creator=factset&amp;DOC_NAME=fat:reuters_qtrly_source_window.fat&amp;display_string=Audit&amp;DYN_ARGS=TRUE&amp;VAR:ID1=36467W10&amp;VAR:RCODE=LTLL&amp;VAR:SDATE=20081099&amp;VAR:FREQ=DAILY&amp;VAR:RELITEM=&amp;VAR:CURRENCY=&amp;VAR:CURRSOURCE=EXSHARE&amp;","VAR:NATFREQ=QUARTERLY&amp;VAR:RFIELD=FINALIZED&amp;VAR:DB_TYPE=&amp;VAR:UNITS=M&amp;window=popup&amp;width=450&amp;height=300&amp;START_MAXIMIZED=FALSE"}</definedName>
    <definedName name="_1542__FDSAUDITLINK__" hidden="1">{"fdsup://IBCentral/FAT Viewer?action=UPDATE&amp;creator=factset&amp;DOC_NAME=fat:reuters_qtrly_source_window.fat&amp;display_string=Audit&amp;DYN_ARGS=TRUE&amp;VAR:ID1=36467W10&amp;VAR:RCODE=LTCL&amp;VAR:SDATE=20081099&amp;VAR:FREQ=DAILY&amp;VAR:RELITEM=&amp;VAR:CURRENCY=&amp;VAR:CURRSOURCE=EXSHARE&amp;","VAR:NATFREQ=QUARTERLY&amp;VAR:RFIELD=FINALIZED&amp;VAR:DB_TYPE=&amp;VAR:UNITS=M&amp;window=popup&amp;width=450&amp;height=300&amp;START_MAXIMIZED=FALSE"}</definedName>
    <definedName name="_1543__FDSAUDITLINK__" hidden="1">{"fdsup://IBCentral/FAT Viewer?action=UPDATE&amp;creator=factset&amp;DOC_NAME=fat:reuters_qtrly_source_window.fat&amp;display_string=Audit&amp;DYN_ARGS=TRUE&amp;VAR:ID1=36467W10&amp;VAR:RCODE=ATCA&amp;VAR:SDATE=20081099&amp;VAR:FREQ=DAILY&amp;VAR:RELITEM=&amp;VAR:CURRENCY=&amp;VAR:CURRSOURCE=EXSHARE&amp;","VAR:NATFREQ=QUARTERLY&amp;VAR:RFIELD=FINALIZED&amp;VAR:DB_TYPE=&amp;VAR:UNITS=M&amp;window=popup&amp;width=450&amp;height=300&amp;START_MAXIMIZED=FALSE"}</definedName>
    <definedName name="_1544__FDSAUDITLINK__" hidden="1">{"fdsup://IBCentral/FAT Viewer?action=UPDATE&amp;creator=factset&amp;DOC_NAME=fat:reuters_qtrly_source_window.fat&amp;display_string=Audit&amp;DYN_ARGS=TRUE&amp;VAR:ID1=36467W10&amp;VAR:RCODE=ATOT&amp;VAR:SDATE=20081099&amp;VAR:FREQ=DAILY&amp;VAR:RELITEM=&amp;VAR:CURRENCY=&amp;VAR:CURRSOURCE=EXSHARE&amp;","VAR:NATFREQ=QUARTERLY&amp;VAR:RFIELD=FINALIZED&amp;VAR:DB_TYPE=&amp;VAR:UNITS=M&amp;window=popup&amp;width=450&amp;height=300&amp;START_MAXIMIZED=FALSE"}</definedName>
    <definedName name="_1545__FDSAUDITLINK__" hidden="1">{"fdsup://IBCentral/FAT Viewer?action=UPDATE&amp;creator=factset&amp;DOC_NAME=fat:reuters_qtrly_source_window.fat&amp;display_string=Audit&amp;DYN_ARGS=TRUE&amp;VAR:ID1=22405110&amp;VAR:RCODE=LTLL&amp;VAR:SDATE=20081299&amp;VAR:FREQ=DAILY&amp;VAR:RELITEM=&amp;VAR:CURRENCY=&amp;VAR:CURRSOURCE=EXSHARE&amp;","VAR:NATFREQ=QUARTERLY&amp;VAR:RFIELD=FINALIZED&amp;VAR:DB_TYPE=&amp;VAR:UNITS=M&amp;window=popup&amp;width=450&amp;height=300&amp;START_MAXIMIZED=FALSE"}</definedName>
    <definedName name="_1546__FDSAUDITLINK__" hidden="1">{"fdsup://IBCentral/FAT Viewer?action=UPDATE&amp;creator=factset&amp;DOC_NAME=fat:reuters_qtrly_source_window.fat&amp;display_string=Audit&amp;DYN_ARGS=TRUE&amp;VAR:ID1=22405110&amp;VAR:RCODE=LTCL&amp;VAR:SDATE=20081299&amp;VAR:FREQ=DAILY&amp;VAR:RELITEM=&amp;VAR:CURRENCY=&amp;VAR:CURRSOURCE=EXSHARE&amp;","VAR:NATFREQ=QUARTERLY&amp;VAR:RFIELD=FINALIZED&amp;VAR:DB_TYPE=&amp;VAR:UNITS=M&amp;window=popup&amp;width=450&amp;height=300&amp;START_MAXIMIZED=FALSE"}</definedName>
    <definedName name="_1547__FDSAUDITLINK__" hidden="1">{"fdsup://IBCentral/FAT Viewer?action=UPDATE&amp;creator=factset&amp;DOC_NAME=fat:reuters_qtrly_source_window.fat&amp;display_string=Audit&amp;DYN_ARGS=TRUE&amp;VAR:ID1=22405110&amp;VAR:RCODE=ATCA&amp;VAR:SDATE=20081299&amp;VAR:FREQ=DAILY&amp;VAR:RELITEM=&amp;VAR:CURRENCY=&amp;VAR:CURRSOURCE=EXSHARE&amp;","VAR:NATFREQ=QUARTERLY&amp;VAR:RFIELD=FINALIZED&amp;VAR:DB_TYPE=&amp;VAR:UNITS=M&amp;window=popup&amp;width=450&amp;height=300&amp;START_MAXIMIZED=FALSE"}</definedName>
    <definedName name="_1548__FDSAUDITLINK__" hidden="1">{"fdsup://IBCentral/FAT Viewer?action=UPDATE&amp;creator=factset&amp;DOC_NAME=fat:reuters_qtrly_source_window.fat&amp;display_string=Audit&amp;DYN_ARGS=TRUE&amp;VAR:ID1=22405110&amp;VAR:RCODE=ATOT&amp;VAR:SDATE=20081299&amp;VAR:FREQ=DAILY&amp;VAR:RELITEM=&amp;VAR:CURRENCY=&amp;VAR:CURRSOURCE=EXSHARE&amp;","VAR:NATFREQ=QUARTERLY&amp;VAR:RFIELD=FINALIZED&amp;VAR:DB_TYPE=&amp;VAR:UNITS=M&amp;window=popup&amp;width=450&amp;height=300&amp;START_MAXIMIZED=FALSE"}</definedName>
    <definedName name="_1549__FDSAUDITLINK__" hidden="1">{"fdsup://IBCentral/FAT Viewer?action=UPDATE&amp;creator=factset&amp;DOC_NAME=fat:reuters_qtrly_source_window.fat&amp;display_string=Audit&amp;DYN_ARGS=TRUE&amp;VAR:ID1=22286210&amp;VAR:RCODE=LTLL&amp;VAR:SDATE=20081299&amp;VAR:FREQ=DAILY&amp;VAR:RELITEM=&amp;VAR:CURRENCY=&amp;VAR:CURRSOURCE=EXSHARE&amp;","VAR:NATFREQ=QUARTERLY&amp;VAR:RFIELD=FINALIZED&amp;VAR:DB_TYPE=&amp;VAR:UNITS=M&amp;window=popup&amp;width=450&amp;height=300&amp;START_MAXIMIZED=FALSE"}</definedName>
    <definedName name="_155__FDSAUDITLINK__" hidden="1">{"fdsup://Directions/FactSet Auditing Viewer?action=AUDIT_VALUE&amp;DB=129&amp;ID1=G2414010&amp;VALUEID=02999&amp;SDATE=201001&amp;PERIODTYPE=QTR_STD&amp;window=popup_no_bar&amp;width=385&amp;height=120&amp;START_MAXIMIZED=FALSE&amp;creator=factset&amp;display_string=Audit"}</definedName>
    <definedName name="_1550__FDSAUDITLINK__" hidden="1">{"fdsup://IBCentral/FAT Viewer?action=UPDATE&amp;creator=factset&amp;DOC_NAME=fat:reuters_qtrly_source_window.fat&amp;display_string=Audit&amp;DYN_ARGS=TRUE&amp;VAR:ID1=22286210&amp;VAR:RCODE=LTCL&amp;VAR:SDATE=20081299&amp;VAR:FREQ=DAILY&amp;VAR:RELITEM=&amp;VAR:CURRENCY=&amp;VAR:CURRSOURCE=EXSHARE&amp;","VAR:NATFREQ=QUARTERLY&amp;VAR:RFIELD=FINALIZED&amp;VAR:DB_TYPE=&amp;VAR:UNITS=M&amp;window=popup&amp;width=450&amp;height=300&amp;START_MAXIMIZED=FALSE"}</definedName>
    <definedName name="_1551__FDSAUDITLINK__" hidden="1">{"fdsup://IBCentral/FAT Viewer?action=UPDATE&amp;creator=factset&amp;DOC_NAME=fat:reuters_qtrly_source_window.fat&amp;display_string=Audit&amp;DYN_ARGS=TRUE&amp;VAR:ID1=22286210&amp;VAR:RCODE=ATCA&amp;VAR:SDATE=20081299&amp;VAR:FREQ=DAILY&amp;VAR:RELITEM=&amp;VAR:CURRENCY=&amp;VAR:CURRSOURCE=EXSHARE&amp;","VAR:NATFREQ=QUARTERLY&amp;VAR:RFIELD=FINALIZED&amp;VAR:DB_TYPE=&amp;VAR:UNITS=M&amp;window=popup&amp;width=450&amp;height=300&amp;START_MAXIMIZED=FALSE"}</definedName>
    <definedName name="_1552__FDSAUDITLINK__" hidden="1">{"fdsup://IBCentral/FAT Viewer?action=UPDATE&amp;creator=factset&amp;DOC_NAME=fat:reuters_qtrly_source_window.fat&amp;display_string=Audit&amp;DYN_ARGS=TRUE&amp;VAR:ID1=22286210&amp;VAR:RCODE=ATOT&amp;VAR:SDATE=20081299&amp;VAR:FREQ=DAILY&amp;VAR:RELITEM=&amp;VAR:CURRENCY=&amp;VAR:CURRSOURCE=EXSHARE&amp;","VAR:NATFREQ=QUARTERLY&amp;VAR:RFIELD=FINALIZED&amp;VAR:DB_TYPE=&amp;VAR:UNITS=M&amp;window=popup&amp;width=450&amp;height=300&amp;START_MAXIMIZED=FALSE"}</definedName>
    <definedName name="_1553__FDSAUDITLINK__" hidden="1">{"fdsup://IBCentral/FAT Viewer?action=UPDATE&amp;creator=factset&amp;DOC_NAME=fat:reuters_qtrly_source_window.fat&amp;display_string=Audit&amp;DYN_ARGS=TRUE&amp;VAR:ID1=21248510&amp;VAR:RCODE=LTLL&amp;VAR:SDATE=20081299&amp;VAR:FREQ=DAILY&amp;VAR:RELITEM=&amp;VAR:CURRENCY=&amp;VAR:CURRSOURCE=EXSHARE&amp;","VAR:NATFREQ=QUARTERLY&amp;VAR:RFIELD=FINALIZED&amp;VAR:DB_TYPE=&amp;VAR:UNITS=M&amp;window=popup&amp;width=450&amp;height=300&amp;START_MAXIMIZED=FALSE"}</definedName>
    <definedName name="_1554__FDSAUDITLINK__" hidden="1">{"fdsup://IBCentral/FAT Viewer?action=UPDATE&amp;creator=factset&amp;DOC_NAME=fat:reuters_qtrly_source_window.fat&amp;display_string=Audit&amp;DYN_ARGS=TRUE&amp;VAR:ID1=21248510&amp;VAR:RCODE=LTCL&amp;VAR:SDATE=20081299&amp;VAR:FREQ=DAILY&amp;VAR:RELITEM=&amp;VAR:CURRENCY=&amp;VAR:CURRSOURCE=EXSHARE&amp;","VAR:NATFREQ=QUARTERLY&amp;VAR:RFIELD=FINALIZED&amp;VAR:DB_TYPE=&amp;VAR:UNITS=M&amp;window=popup&amp;width=450&amp;height=300&amp;START_MAXIMIZED=FALSE"}</definedName>
    <definedName name="_1555__FDSAUDITLINK__" hidden="1">{"fdsup://IBCentral/FAT Viewer?action=UPDATE&amp;creator=factset&amp;DOC_NAME=fat:reuters_qtrly_source_window.fat&amp;display_string=Audit&amp;DYN_ARGS=TRUE&amp;VAR:ID1=21248510&amp;VAR:RCODE=ATCA&amp;VAR:SDATE=20081299&amp;VAR:FREQ=DAILY&amp;VAR:RELITEM=&amp;VAR:CURRENCY=&amp;VAR:CURRSOURCE=EXSHARE&amp;","VAR:NATFREQ=QUARTERLY&amp;VAR:RFIELD=FINALIZED&amp;VAR:DB_TYPE=&amp;VAR:UNITS=M&amp;window=popup&amp;width=450&amp;height=300&amp;START_MAXIMIZED=FALSE"}</definedName>
    <definedName name="_1556__FDSAUDITLINK__" hidden="1">{"fdsup://IBCentral/FAT Viewer?action=UPDATE&amp;creator=factset&amp;DOC_NAME=fat:reuters_qtrly_source_window.fat&amp;display_string=Audit&amp;DYN_ARGS=TRUE&amp;VAR:ID1=21248510&amp;VAR:RCODE=ATOT&amp;VAR:SDATE=20081299&amp;VAR:FREQ=DAILY&amp;VAR:RELITEM=&amp;VAR:CURRENCY=&amp;VAR:CURRSOURCE=EXSHARE&amp;","VAR:NATFREQ=QUARTERLY&amp;VAR:RFIELD=FINALIZED&amp;VAR:DB_TYPE=&amp;VAR:UNITS=M&amp;window=popup&amp;width=450&amp;height=300&amp;START_MAXIMIZED=FALSE"}</definedName>
    <definedName name="_1557__FDSAUDITLINK__" hidden="1">{"fdsup://IBCentral/FAT Viewer?action=UPDATE&amp;creator=factset&amp;DOC_NAME=fat:reuters_qtrly_source_window.fat&amp;display_string=Audit&amp;DYN_ARGS=TRUE&amp;VAR:ID1=12589610&amp;VAR:RCODE=LTLL&amp;VAR:SDATE=20081299&amp;VAR:FREQ=DAILY&amp;VAR:RELITEM=&amp;VAR:CURRENCY=&amp;VAR:CURRSOURCE=EXSHARE&amp;","VAR:NATFREQ=QUARTERLY&amp;VAR:RFIELD=FINALIZED&amp;VAR:DB_TYPE=&amp;VAR:UNITS=M&amp;window=popup&amp;width=450&amp;height=300&amp;START_MAXIMIZED=FALSE"}</definedName>
    <definedName name="_1558__FDSAUDITLINK__" hidden="1">{"fdsup://IBCentral/FAT Viewer?action=UPDATE&amp;creator=factset&amp;DOC_NAME=fat:reuters_qtrly_source_window.fat&amp;display_string=Audit&amp;DYN_ARGS=TRUE&amp;VAR:ID1=12589610&amp;VAR:RCODE=LTCL&amp;VAR:SDATE=20081299&amp;VAR:FREQ=DAILY&amp;VAR:RELITEM=&amp;VAR:CURRENCY=&amp;VAR:CURRSOURCE=EXSHARE&amp;","VAR:NATFREQ=QUARTERLY&amp;VAR:RFIELD=FINALIZED&amp;VAR:DB_TYPE=&amp;VAR:UNITS=M&amp;window=popup&amp;width=450&amp;height=300&amp;START_MAXIMIZED=FALSE"}</definedName>
    <definedName name="_1559__FDSAUDITLINK__" hidden="1">{"fdsup://IBCentral/FAT Viewer?action=UPDATE&amp;creator=factset&amp;DOC_NAME=fat:reuters_qtrly_source_window.fat&amp;display_string=Audit&amp;DYN_ARGS=TRUE&amp;VAR:ID1=12589610&amp;VAR:RCODE=ATCA&amp;VAR:SDATE=20081299&amp;VAR:FREQ=DAILY&amp;VAR:RELITEM=&amp;VAR:CURRENCY=&amp;VAR:CURRSOURCE=EXSHARE&amp;","VAR:NATFREQ=QUARTERLY&amp;VAR:RFIELD=FINALIZED&amp;VAR:DB_TYPE=&amp;VAR:UNITS=M&amp;window=popup&amp;width=450&amp;height=300&amp;START_MAXIMIZED=FALSE"}</definedName>
    <definedName name="_156__FDSAUDITLINK__" hidden="1">{"fdsup://Directions/FactSet Auditing Viewer?action=AUDIT_VALUE&amp;DB=129&amp;ID1=21683110&amp;VALUEID=02999&amp;SDATE=201001&amp;PERIODTYPE=QTR_STD&amp;window=popup_no_bar&amp;width=385&amp;height=120&amp;START_MAXIMIZED=FALSE&amp;creator=factset&amp;display_string=Audit"}</definedName>
    <definedName name="_1560__FDSAUDITLINK__" hidden="1">{"fdsup://IBCentral/FAT Viewer?action=UPDATE&amp;creator=factset&amp;DOC_NAME=fat:reuters_qtrly_source_window.fat&amp;display_string=Audit&amp;DYN_ARGS=TRUE&amp;VAR:ID1=12589610&amp;VAR:RCODE=ATOT&amp;VAR:SDATE=20081299&amp;VAR:FREQ=DAILY&amp;VAR:RELITEM=&amp;VAR:CURRENCY=&amp;VAR:CURRSOURCE=EXSHARE&amp;","VAR:NATFREQ=QUARTERLY&amp;VAR:RFIELD=FINALIZED&amp;VAR:DB_TYPE=&amp;VAR:UNITS=M&amp;window=popup&amp;width=450&amp;height=300&amp;START_MAXIMIZED=FALSE"}</definedName>
    <definedName name="_1561__FDSAUDITLINK__" hidden="1">{"fdsup://IBCentral/FAT Viewer?action=UPDATE&amp;creator=factset&amp;DOC_NAME=fat:reuters_qtrly_source_window.fat&amp;display_string=Audit&amp;DYN_ARGS=TRUE&amp;VAR:ID1=15189T10&amp;VAR:RCODE=LTLL&amp;VAR:SDATE=20081299&amp;VAR:FREQ=DAILY&amp;VAR:RELITEM=&amp;VAR:CURRENCY=&amp;VAR:CURRSOURCE=EXSHARE&amp;","VAR:NATFREQ=QUARTERLY&amp;VAR:RFIELD=FINALIZED&amp;VAR:DB_TYPE=&amp;VAR:UNITS=M&amp;window=popup&amp;width=450&amp;height=300&amp;START_MAXIMIZED=FALSE"}</definedName>
    <definedName name="_1562__FDSAUDITLINK__" hidden="1">{"fdsup://IBCentral/FAT Viewer?action=UPDATE&amp;creator=factset&amp;DOC_NAME=fat:reuters_qtrly_source_window.fat&amp;display_string=Audit&amp;DYN_ARGS=TRUE&amp;VAR:ID1=15189T10&amp;VAR:RCODE=LTCL&amp;VAR:SDATE=20081299&amp;VAR:FREQ=DAILY&amp;VAR:RELITEM=&amp;VAR:CURRENCY=&amp;VAR:CURRSOURCE=EXSHARE&amp;","VAR:NATFREQ=QUARTERLY&amp;VAR:RFIELD=FINALIZED&amp;VAR:DB_TYPE=&amp;VAR:UNITS=M&amp;window=popup&amp;width=450&amp;height=300&amp;START_MAXIMIZED=FALSE"}</definedName>
    <definedName name="_1563__FDSAUDITLINK__" hidden="1">{"fdsup://IBCentral/FAT Viewer?action=UPDATE&amp;creator=factset&amp;DOC_NAME=fat:reuters_qtrly_source_window.fat&amp;display_string=Audit&amp;DYN_ARGS=TRUE&amp;VAR:ID1=15189T10&amp;VAR:RCODE=ATCA&amp;VAR:SDATE=20081299&amp;VAR:FREQ=DAILY&amp;VAR:RELITEM=&amp;VAR:CURRENCY=&amp;VAR:CURRSOURCE=EXSHARE&amp;","VAR:NATFREQ=QUARTERLY&amp;VAR:RFIELD=FINALIZED&amp;VAR:DB_TYPE=&amp;VAR:UNITS=M&amp;window=popup&amp;width=450&amp;height=300&amp;START_MAXIMIZED=FALSE"}</definedName>
    <definedName name="_1564__FDSAUDITLINK__" hidden="1">{"fdsup://IBCentral/FAT Viewer?action=UPDATE&amp;creator=factset&amp;DOC_NAME=fat:reuters_qtrly_source_window.fat&amp;display_string=Audit&amp;DYN_ARGS=TRUE&amp;VAR:ID1=15189T10&amp;VAR:RCODE=ATOT&amp;VAR:SDATE=20081299&amp;VAR:FREQ=DAILY&amp;VAR:RELITEM=&amp;VAR:CURRENCY=&amp;VAR:CURRSOURCE=EXSHARE&amp;","VAR:NATFREQ=QUARTERLY&amp;VAR:RFIELD=FINALIZED&amp;VAR:DB_TYPE=&amp;VAR:UNITS=M&amp;window=popup&amp;width=450&amp;height=300&amp;START_MAXIMIZED=FALSE"}</definedName>
    <definedName name="_1565__FDSAUDITLINK__" hidden="1">{"fdsup://IBCentral/FAT Viewer?action=UPDATE&amp;creator=factset&amp;DOC_NAME=fat:reuters_qtrly_source_window.fat&amp;display_string=Audit&amp;DYN_ARGS=TRUE&amp;VAR:ID1=12673P10&amp;VAR:RCODE=LTLL&amp;VAR:SDATE=20081299&amp;VAR:FREQ=DAILY&amp;VAR:RELITEM=&amp;VAR:CURRENCY=&amp;VAR:CURRSOURCE=EXSHARE&amp;","VAR:NATFREQ=QUARTERLY&amp;VAR:RFIELD=FINALIZED&amp;VAR:DB_TYPE=&amp;VAR:UNITS=M&amp;window=popup&amp;width=450&amp;height=300&amp;START_MAXIMIZED=FALSE"}</definedName>
    <definedName name="_1566__FDSAUDITLINK__" hidden="1">{"fdsup://IBCentral/FAT Viewer?action=UPDATE&amp;creator=factset&amp;DOC_NAME=fat:reuters_qtrly_source_window.fat&amp;display_string=Audit&amp;DYN_ARGS=TRUE&amp;VAR:ID1=12673P10&amp;VAR:RCODE=LTCL&amp;VAR:SDATE=20081299&amp;VAR:FREQ=DAILY&amp;VAR:RELITEM=&amp;VAR:CURRENCY=&amp;VAR:CURRSOURCE=EXSHARE&amp;","VAR:NATFREQ=QUARTERLY&amp;VAR:RFIELD=FINALIZED&amp;VAR:DB_TYPE=&amp;VAR:UNITS=M&amp;window=popup&amp;width=450&amp;height=300&amp;START_MAXIMIZED=FALSE"}</definedName>
    <definedName name="_1567__FDSAUDITLINK__" hidden="1">{"fdsup://IBCentral/FAT Viewer?action=UPDATE&amp;creator=factset&amp;DOC_NAME=fat:reuters_qtrly_source_window.fat&amp;display_string=Audit&amp;DYN_ARGS=TRUE&amp;VAR:ID1=12673P10&amp;VAR:RCODE=ATCA&amp;VAR:SDATE=20081299&amp;VAR:FREQ=DAILY&amp;VAR:RELITEM=&amp;VAR:CURRENCY=&amp;VAR:CURRSOURCE=EXSHARE&amp;","VAR:NATFREQ=QUARTERLY&amp;VAR:RFIELD=FINALIZED&amp;VAR:DB_TYPE=&amp;VAR:UNITS=M&amp;window=popup&amp;width=450&amp;height=300&amp;START_MAXIMIZED=FALSE"}</definedName>
    <definedName name="_1568__FDSAUDITLINK__" hidden="1">{"fdsup://IBCentral/FAT Viewer?action=UPDATE&amp;creator=factset&amp;DOC_NAME=fat:reuters_qtrly_source_window.fat&amp;display_string=Audit&amp;DYN_ARGS=TRUE&amp;VAR:ID1=12673P10&amp;VAR:RCODE=ATOT&amp;VAR:SDATE=20081299&amp;VAR:FREQ=DAILY&amp;VAR:RELITEM=&amp;VAR:CURRENCY=&amp;VAR:CURRSOURCE=EXSHARE&amp;","VAR:NATFREQ=QUARTERLY&amp;VAR:RFIELD=FINALIZED&amp;VAR:DB_TYPE=&amp;VAR:UNITS=M&amp;window=popup&amp;width=450&amp;height=300&amp;START_MAXIMIZED=FALSE"}</definedName>
    <definedName name="_1569__FDSAUDITLINK__" hidden="1">{"fdsup://IBCentral/FAT Viewer?action=UPDATE&amp;creator=factset&amp;DOC_NAME=fat:reuters_qtrly_source_window.fat&amp;display_string=Audit&amp;DYN_ARGS=TRUE&amp;VAR:ID1=10969610&amp;VAR:RCODE=LTLL&amp;VAR:SDATE=20081299&amp;VAR:FREQ=DAILY&amp;VAR:RELITEM=&amp;VAR:CURRENCY=&amp;VAR:CURRSOURCE=EXSHARE&amp;","VAR:NATFREQ=QUARTERLY&amp;VAR:RFIELD=FINALIZED&amp;VAR:DB_TYPE=&amp;VAR:UNITS=M&amp;window=popup&amp;width=450&amp;height=300&amp;START_MAXIMIZED=FALSE"}</definedName>
    <definedName name="_157__FDSAUDITLINK__" hidden="1">{"fdsup://Directions/FactSet Auditing Viewer?action=AUDIT_VALUE&amp;DB=129&amp;ID1=31852230&amp;VALUEID=02999&amp;SDATE=201001&amp;PERIODTYPE=QTR_STD&amp;window=popup_no_bar&amp;width=385&amp;height=120&amp;START_MAXIMIZED=FALSE&amp;creator=factset&amp;display_string=Audit"}</definedName>
    <definedName name="_1570__FDSAUDITLINK__" hidden="1">{"fdsup://IBCentral/FAT Viewer?action=UPDATE&amp;creator=factset&amp;DOC_NAME=fat:reuters_qtrly_source_window.fat&amp;display_string=Audit&amp;DYN_ARGS=TRUE&amp;VAR:ID1=10969610&amp;VAR:RCODE=LTCL&amp;VAR:SDATE=20081299&amp;VAR:FREQ=DAILY&amp;VAR:RELITEM=&amp;VAR:CURRENCY=&amp;VAR:CURRSOURCE=EXSHARE&amp;","VAR:NATFREQ=QUARTERLY&amp;VAR:RFIELD=FINALIZED&amp;VAR:DB_TYPE=&amp;VAR:UNITS=M&amp;window=popup&amp;width=450&amp;height=300&amp;START_MAXIMIZED=FALSE"}</definedName>
    <definedName name="_1571__FDSAUDITLINK__" hidden="1">{"fdsup://IBCentral/FAT Viewer?action=UPDATE&amp;creator=factset&amp;DOC_NAME=fat:reuters_qtrly_source_window.fat&amp;display_string=Audit&amp;DYN_ARGS=TRUE&amp;VAR:ID1=10969610&amp;VAR:RCODE=ATCA&amp;VAR:SDATE=20081299&amp;VAR:FREQ=DAILY&amp;VAR:RELITEM=&amp;VAR:CURRENCY=&amp;VAR:CURRSOURCE=EXSHARE&amp;","VAR:NATFREQ=QUARTERLY&amp;VAR:RFIELD=FINALIZED&amp;VAR:DB_TYPE=&amp;VAR:UNITS=M&amp;window=popup&amp;width=450&amp;height=300&amp;START_MAXIMIZED=FALSE"}</definedName>
    <definedName name="_1572__FDSAUDITLINK__" hidden="1">{"fdsup://IBCentral/FAT Viewer?action=UPDATE&amp;creator=factset&amp;DOC_NAME=fat:reuters_qtrly_source_window.fat&amp;display_string=Audit&amp;DYN_ARGS=TRUE&amp;VAR:ID1=10969610&amp;VAR:RCODE=ATOT&amp;VAR:SDATE=20081299&amp;VAR:FREQ=DAILY&amp;VAR:RELITEM=&amp;VAR:CURRENCY=&amp;VAR:CURRSOURCE=EXSHARE&amp;","VAR:NATFREQ=QUARTERLY&amp;VAR:RFIELD=FINALIZED&amp;VAR:DB_TYPE=&amp;VAR:UNITS=M&amp;window=popup&amp;width=450&amp;height=300&amp;START_MAXIMIZED=FALSE"}</definedName>
    <definedName name="_1573__FDSAUDITLINK__" hidden="1">{"fdsup://IBCentral/FAT Viewer?action=UPDATE&amp;creator=factset&amp;DOC_NAME=fat:reuters_qtrly_source_window.fat&amp;display_string=Audit&amp;DYN_ARGS=TRUE&amp;VAR:ID1=08055510&amp;VAR:RCODE=LTLL&amp;VAR:SDATE=20081299&amp;VAR:FREQ=DAILY&amp;VAR:RELITEM=&amp;VAR:CURRENCY=&amp;VAR:CURRSOURCE=EXSHARE&amp;","VAR:NATFREQ=QUARTERLY&amp;VAR:RFIELD=FINALIZED&amp;VAR:DB_TYPE=&amp;VAR:UNITS=M&amp;window=popup&amp;width=450&amp;height=300&amp;START_MAXIMIZED=FALSE"}</definedName>
    <definedName name="_1574__FDSAUDITLINK__" hidden="1">{"fdsup://IBCentral/FAT Viewer?action=UPDATE&amp;creator=factset&amp;DOC_NAME=fat:reuters_qtrly_source_window.fat&amp;display_string=Audit&amp;DYN_ARGS=TRUE&amp;VAR:ID1=08055510&amp;VAR:RCODE=LTCL&amp;VAR:SDATE=20081299&amp;VAR:FREQ=DAILY&amp;VAR:RELITEM=&amp;VAR:CURRENCY=&amp;VAR:CURRSOURCE=EXSHARE&amp;","VAR:NATFREQ=QUARTERLY&amp;VAR:RFIELD=FINALIZED&amp;VAR:DB_TYPE=&amp;VAR:UNITS=M&amp;window=popup&amp;width=450&amp;height=300&amp;START_MAXIMIZED=FALSE"}</definedName>
    <definedName name="_1575__FDSAUDITLINK__" hidden="1">{"fdsup://IBCentral/FAT Viewer?action=UPDATE&amp;creator=factset&amp;DOC_NAME=fat:reuters_qtrly_source_window.fat&amp;display_string=Audit&amp;DYN_ARGS=TRUE&amp;VAR:ID1=08055510&amp;VAR:RCODE=ATCA&amp;VAR:SDATE=20081299&amp;VAR:FREQ=DAILY&amp;VAR:RELITEM=&amp;VAR:CURRENCY=&amp;VAR:CURRSOURCE=EXSHARE&amp;","VAR:NATFREQ=QUARTERLY&amp;VAR:RFIELD=FINALIZED&amp;VAR:DB_TYPE=&amp;VAR:UNITS=M&amp;window=popup&amp;width=450&amp;height=300&amp;START_MAXIMIZED=FALSE"}</definedName>
    <definedName name="_1576__FDSAUDITLINK__" hidden="1">{"fdsup://IBCentral/FAT Viewer?action=UPDATE&amp;creator=factset&amp;DOC_NAME=fat:reuters_qtrly_source_window.fat&amp;display_string=Audit&amp;DYN_ARGS=TRUE&amp;VAR:ID1=08055510&amp;VAR:RCODE=ATOT&amp;VAR:SDATE=20081299&amp;VAR:FREQ=DAILY&amp;VAR:RELITEM=&amp;VAR:CURRENCY=&amp;VAR:CURRSOURCE=EXSHARE&amp;","VAR:NATFREQ=QUARTERLY&amp;VAR:RFIELD=FINALIZED&amp;VAR:DB_TYPE=&amp;VAR:UNITS=M&amp;window=popup&amp;width=450&amp;height=300&amp;START_MAXIMIZED=FALSE"}</definedName>
    <definedName name="_1577__FDSAUDITLINK__" hidden="1">{"fdsup://IBCentral/FAT Viewer?action=UPDATE&amp;creator=factset&amp;DOC_NAME=fat:reuters_qtrly_source_window.fat&amp;display_string=Audit&amp;DYN_ARGS=TRUE&amp;VAR:ID1=04079010&amp;VAR:RCODE=LTLL&amp;VAR:SDATE=20081299&amp;VAR:FREQ=DAILY&amp;VAR:RELITEM=&amp;VAR:CURRENCY=&amp;VAR:CURRSOURCE=EXSHARE&amp;","VAR:NATFREQ=QUARTERLY&amp;VAR:RFIELD=FINALIZED&amp;VAR:DB_TYPE=&amp;VAR:UNITS=M&amp;window=popup&amp;width=450&amp;height=300&amp;START_MAXIMIZED=FALSE"}</definedName>
    <definedName name="_1578__FDSAUDITLINK__" hidden="1">{"fdsup://IBCentral/FAT Viewer?action=UPDATE&amp;creator=factset&amp;DOC_NAME=fat:reuters_qtrly_source_window.fat&amp;display_string=Audit&amp;DYN_ARGS=TRUE&amp;VAR:ID1=04079010&amp;VAR:RCODE=LTCL&amp;VAR:SDATE=20081299&amp;VAR:FREQ=DAILY&amp;VAR:RELITEM=&amp;VAR:CURRENCY=&amp;VAR:CURRSOURCE=EXSHARE&amp;","VAR:NATFREQ=QUARTERLY&amp;VAR:RFIELD=FINALIZED&amp;VAR:DB_TYPE=&amp;VAR:UNITS=M&amp;window=popup&amp;width=450&amp;height=300&amp;START_MAXIMIZED=FALSE"}</definedName>
    <definedName name="_1579__FDSAUDITLINK__" hidden="1">{"fdsup://IBCentral/FAT Viewer?action=UPDATE&amp;creator=factset&amp;DOC_NAME=fat:reuters_qtrly_source_window.fat&amp;display_string=Audit&amp;DYN_ARGS=TRUE&amp;VAR:ID1=04079010&amp;VAR:RCODE=ATCA&amp;VAR:SDATE=20081299&amp;VAR:FREQ=DAILY&amp;VAR:RELITEM=&amp;VAR:CURRENCY=&amp;VAR:CURRSOURCE=EXSHARE&amp;","VAR:NATFREQ=QUARTERLY&amp;VAR:RFIELD=FINALIZED&amp;VAR:DB_TYPE=&amp;VAR:UNITS=M&amp;window=popup&amp;width=450&amp;height=300&amp;START_MAXIMIZED=FALSE"}</definedName>
    <definedName name="_158__FDSAUDITLINK__" hidden="1">{"fdsup://Directions/FactSet Auditing Viewer?action=AUDIT_VALUE&amp;DB=129&amp;ID1=21902310&amp;VALUEID=02999&amp;SDATE=201001&amp;PERIODTYPE=QTR_STD&amp;window=popup_no_bar&amp;width=385&amp;height=120&amp;START_MAXIMIZED=FALSE&amp;creator=factset&amp;display_string=Audit"}</definedName>
    <definedName name="_1580__FDSAUDITLINK__" hidden="1">{"fdsup://IBCentral/FAT Viewer?action=UPDATE&amp;creator=factset&amp;DOC_NAME=fat:reuters_qtrly_source_window.fat&amp;display_string=Audit&amp;DYN_ARGS=TRUE&amp;VAR:ID1=04079010&amp;VAR:RCODE=ATOT&amp;VAR:SDATE=20081299&amp;VAR:FREQ=DAILY&amp;VAR:RELITEM=&amp;VAR:CURRENCY=&amp;VAR:CURRSOURCE=EXSHARE&amp;","VAR:NATFREQ=QUARTERLY&amp;VAR:RFIELD=FINALIZED&amp;VAR:DB_TYPE=&amp;VAR:UNITS=M&amp;window=popup&amp;width=450&amp;height=300&amp;START_MAXIMIZED=FALSE"}</definedName>
    <definedName name="_1581__FDSAUDITLINK__" hidden="1">{"fdsup://IBCentral/FAT Viewer?action=UPDATE&amp;creator=factset&amp;DOC_NAME=fat:reuters_qtrly_source_window.fat&amp;display_string=Audit&amp;DYN_ARGS=TRUE&amp;VAR:ID1=02991220&amp;VAR:RCODE=LTLL&amp;VAR:SDATE=20081299&amp;VAR:FREQ=DAILY&amp;VAR:RELITEM=&amp;VAR:CURRENCY=&amp;VAR:CURRSOURCE=EXSHARE&amp;","VAR:NATFREQ=QUARTERLY&amp;VAR:RFIELD=FINALIZED&amp;VAR:DB_TYPE=&amp;VAR:UNITS=M&amp;window=popup&amp;width=450&amp;height=300&amp;START_MAXIMIZED=FALSE"}</definedName>
    <definedName name="_1582__FDSAUDITLINK__" hidden="1">{"fdsup://IBCentral/FAT Viewer?action=UPDATE&amp;creator=factset&amp;DOC_NAME=fat:reuters_qtrly_source_window.fat&amp;display_string=Audit&amp;DYN_ARGS=TRUE&amp;VAR:ID1=02991220&amp;VAR:RCODE=LTCL&amp;VAR:SDATE=20081299&amp;VAR:FREQ=DAILY&amp;VAR:RELITEM=&amp;VAR:CURRENCY=&amp;VAR:CURRSOURCE=EXSHARE&amp;","VAR:NATFREQ=QUARTERLY&amp;VAR:RFIELD=FINALIZED&amp;VAR:DB_TYPE=&amp;VAR:UNITS=M&amp;window=popup&amp;width=450&amp;height=300&amp;START_MAXIMIZED=FALSE"}</definedName>
    <definedName name="_1583__FDSAUDITLINK__" hidden="1">{"fdsup://IBCentral/FAT Viewer?action=UPDATE&amp;creator=factset&amp;DOC_NAME=fat:reuters_qtrly_source_window.fat&amp;display_string=Audit&amp;DYN_ARGS=TRUE&amp;VAR:ID1=02991220&amp;VAR:RCODE=ATCA&amp;VAR:SDATE=20081299&amp;VAR:FREQ=DAILY&amp;VAR:RELITEM=&amp;VAR:CURRENCY=&amp;VAR:CURRSOURCE=EXSHARE&amp;","VAR:NATFREQ=QUARTERLY&amp;VAR:RFIELD=FINALIZED&amp;VAR:DB_TYPE=&amp;VAR:UNITS=M&amp;window=popup&amp;width=450&amp;height=300&amp;START_MAXIMIZED=FALSE"}</definedName>
    <definedName name="_1584__FDSAUDITLINK__" hidden="1">{"fdsup://IBCentral/FAT Viewer?action=UPDATE&amp;creator=factset&amp;DOC_NAME=fat:reuters_qtrly_source_window.fat&amp;display_string=Audit&amp;DYN_ARGS=TRUE&amp;VAR:ID1=02991220&amp;VAR:RCODE=ATOT&amp;VAR:SDATE=20081299&amp;VAR:FREQ=DAILY&amp;VAR:RELITEM=&amp;VAR:CURRENCY=&amp;VAR:CURRSOURCE=EXSHARE&amp;","VAR:NATFREQ=QUARTERLY&amp;VAR:RFIELD=FINALIZED&amp;VAR:DB_TYPE=&amp;VAR:UNITS=M&amp;window=popup&amp;width=450&amp;height=300&amp;START_MAXIMIZED=FALSE"}</definedName>
    <definedName name="_1585__FDSAUDITLINK__" hidden="1">{"fdsup://IBCentral/FAT Viewer?action=UPDATE&amp;creator=factset&amp;DOC_NAME=fat:reuters_qtrly_source_window.fat&amp;display_string=Audit&amp;DYN_ARGS=TRUE&amp;VAR:ID1=00846U10&amp;VAR:RCODE=LTLL&amp;VAR:SDATE=20081099&amp;VAR:FREQ=DAILY&amp;VAR:RELITEM=&amp;VAR:CURRENCY=&amp;VAR:CURRSOURCE=EXSHARE&amp;","VAR:NATFREQ=QUARTERLY&amp;VAR:RFIELD=FINALIZED&amp;VAR:DB_TYPE=&amp;VAR:UNITS=M&amp;window=popup&amp;width=450&amp;height=300&amp;START_MAXIMIZED=FALSE"}</definedName>
    <definedName name="_1586__FDSAUDITLINK__" hidden="1">{"fdsup://IBCentral/FAT Viewer?action=UPDATE&amp;creator=factset&amp;DOC_NAME=fat:reuters_qtrly_source_window.fat&amp;display_string=Audit&amp;DYN_ARGS=TRUE&amp;VAR:ID1=00846U10&amp;VAR:RCODE=LTCL&amp;VAR:SDATE=20081099&amp;VAR:FREQ=DAILY&amp;VAR:RELITEM=&amp;VAR:CURRENCY=&amp;VAR:CURRSOURCE=EXSHARE&amp;","VAR:NATFREQ=QUARTERLY&amp;VAR:RFIELD=FINALIZED&amp;VAR:DB_TYPE=&amp;VAR:UNITS=M&amp;window=popup&amp;width=450&amp;height=300&amp;START_MAXIMIZED=FALSE"}</definedName>
    <definedName name="_1587__FDSAUDITLINK__" hidden="1">{"fdsup://IBCentral/FAT Viewer?action=UPDATE&amp;creator=factset&amp;DOC_NAME=fat:reuters_qtrly_source_window.fat&amp;display_string=Audit&amp;DYN_ARGS=TRUE&amp;VAR:ID1=00846U10&amp;VAR:RCODE=ATCA&amp;VAR:SDATE=20081099&amp;VAR:FREQ=DAILY&amp;VAR:RELITEM=&amp;VAR:CURRENCY=&amp;VAR:CURRSOURCE=EXSHARE&amp;","VAR:NATFREQ=QUARTERLY&amp;VAR:RFIELD=FINALIZED&amp;VAR:DB_TYPE=&amp;VAR:UNITS=M&amp;window=popup&amp;width=450&amp;height=300&amp;START_MAXIMIZED=FALSE"}</definedName>
    <definedName name="_1588__FDSAUDITLINK__" hidden="1">{"fdsup://IBCentral/FAT Viewer?action=UPDATE&amp;creator=factset&amp;DOC_NAME=fat:reuters_qtrly_source_window.fat&amp;display_string=Audit&amp;DYN_ARGS=TRUE&amp;VAR:ID1=00846U10&amp;VAR:RCODE=ATOT&amp;VAR:SDATE=20081099&amp;VAR:FREQ=DAILY&amp;VAR:RELITEM=&amp;VAR:CURRENCY=&amp;VAR:CURRSOURCE=EXSHARE&amp;","VAR:NATFREQ=QUARTERLY&amp;VAR:RFIELD=FINALIZED&amp;VAR:DB_TYPE=&amp;VAR:UNITS=M&amp;window=popup&amp;width=450&amp;height=300&amp;START_MAXIMIZED=FALSE"}</definedName>
    <definedName name="_1589__FDSAUDITLINK__" hidden="1">{"fdsup://IBCentral/FAT Viewer?action=UPDATE&amp;creator=factset&amp;DOC_NAME=fat:reuters_qtrly_source_window.fat&amp;display_string=Audit&amp;DYN_ARGS=TRUE&amp;VAR:ID1=94107520&amp;VAR:RCODE=LTLL&amp;VAR:SDATE=20081299&amp;VAR:FREQ=DAILY&amp;VAR:RELITEM=&amp;VAR:CURRENCY=&amp;VAR:CURRSOURCE=EXSHARE&amp;","VAR:NATFREQ=QUARTERLY&amp;VAR:RFIELD=FINALIZED&amp;VAR:DB_TYPE=&amp;VAR:UNITS=M&amp;window=popup&amp;width=450&amp;height=300&amp;START_MAXIMIZED=FALSE"}</definedName>
    <definedName name="_159__FDSAUDITLINK__" hidden="1">{"fdsup://Directions/FactSet Auditing Viewer?action=AUDIT_VALUE&amp;DB=129&amp;ID1=22160K10&amp;VALUEID=02999&amp;SDATE=201003&amp;PERIODTYPE=QTR_STD&amp;window=popup_no_bar&amp;width=385&amp;height=120&amp;START_MAXIMIZED=FALSE&amp;creator=factset&amp;display_string=Audit"}</definedName>
    <definedName name="_1590__FDSAUDITLINK__" hidden="1">{"fdsup://IBCentral/FAT Viewer?action=UPDATE&amp;creator=factset&amp;DOC_NAME=fat:reuters_qtrly_source_window.fat&amp;display_string=Audit&amp;DYN_ARGS=TRUE&amp;VAR:ID1=94107520&amp;VAR:RCODE=LTCL&amp;VAR:SDATE=20081299&amp;VAR:FREQ=DAILY&amp;VAR:RELITEM=&amp;VAR:CURRENCY=&amp;VAR:CURRSOURCE=EXSHARE&amp;","VAR:NATFREQ=QUARTERLY&amp;VAR:RFIELD=FINALIZED&amp;VAR:DB_TYPE=&amp;VAR:UNITS=M&amp;window=popup&amp;width=450&amp;height=300&amp;START_MAXIMIZED=FALSE"}</definedName>
    <definedName name="_1591__FDSAUDITLINK__" hidden="1">{"fdsup://IBCentral/FAT Viewer?action=UPDATE&amp;creator=factset&amp;DOC_NAME=fat:reuters_qtrly_source_window.fat&amp;display_string=Audit&amp;DYN_ARGS=TRUE&amp;VAR:ID1=94107520&amp;VAR:RCODE=ATCA&amp;VAR:SDATE=20081299&amp;VAR:FREQ=DAILY&amp;VAR:RELITEM=&amp;VAR:CURRENCY=&amp;VAR:CURRSOURCE=EXSHARE&amp;","VAR:NATFREQ=QUARTERLY&amp;VAR:RFIELD=FINALIZED&amp;VAR:DB_TYPE=&amp;VAR:UNITS=M&amp;window=popup&amp;width=450&amp;height=300&amp;START_MAXIMIZED=FALSE"}</definedName>
    <definedName name="_1592__FDSAUDITLINK__" hidden="1">{"fdsup://IBCentral/FAT Viewer?action=UPDATE&amp;creator=factset&amp;DOC_NAME=fat:reuters_qtrly_source_window.fat&amp;display_string=Audit&amp;DYN_ARGS=TRUE&amp;VAR:ID1=94107520&amp;VAR:RCODE=ATOT&amp;VAR:SDATE=20081299&amp;VAR:FREQ=DAILY&amp;VAR:RELITEM=&amp;VAR:CURRENCY=&amp;VAR:CURRSOURCE=EXSHARE&amp;","VAR:NATFREQ=QUARTERLY&amp;VAR:RFIELD=FINALIZED&amp;VAR:DB_TYPE=&amp;VAR:UNITS=M&amp;window=popup&amp;width=450&amp;height=300&amp;START_MAXIMIZED=FALSE"}</definedName>
    <definedName name="_1593__FDSAUDITLINK__" hidden="1">{"fdsup://IBCentral/FAT Viewer?action=UPDATE&amp;creator=factset&amp;DOC_NAME=fat:reuters_qtrly_source_window.fat&amp;display_string=Audit&amp;DYN_ARGS=TRUE&amp;VAR:ID1=92922P10&amp;VAR:RCODE=LTLL&amp;VAR:SDATE=20081299&amp;VAR:FREQ=DAILY&amp;VAR:RELITEM=&amp;VAR:CURRENCY=&amp;VAR:CURRSOURCE=EXSHARE&amp;","VAR:NATFREQ=QUARTERLY&amp;VAR:RFIELD=FINALIZED&amp;VAR:DB_TYPE=&amp;VAR:UNITS=M&amp;window=popup&amp;width=450&amp;height=300&amp;START_MAXIMIZED=FALSE"}</definedName>
    <definedName name="_1594__FDSAUDITLINK__" hidden="1">{"fdsup://IBCentral/FAT Viewer?action=UPDATE&amp;creator=factset&amp;DOC_NAME=fat:reuters_qtrly_source_window.fat&amp;display_string=Audit&amp;DYN_ARGS=TRUE&amp;VAR:ID1=92922P10&amp;VAR:RCODE=LTCL&amp;VAR:SDATE=20081299&amp;VAR:FREQ=DAILY&amp;VAR:RELITEM=&amp;VAR:CURRENCY=&amp;VAR:CURRSOURCE=EXSHARE&amp;","VAR:NATFREQ=QUARTERLY&amp;VAR:RFIELD=FINALIZED&amp;VAR:DB_TYPE=&amp;VAR:UNITS=M&amp;window=popup&amp;width=450&amp;height=300&amp;START_MAXIMIZED=FALSE"}</definedName>
    <definedName name="_1595__FDSAUDITLINK__" hidden="1">{"fdsup://IBCentral/FAT Viewer?action=UPDATE&amp;creator=factset&amp;DOC_NAME=fat:reuters_qtrly_source_window.fat&amp;display_string=Audit&amp;DYN_ARGS=TRUE&amp;VAR:ID1=92922P10&amp;VAR:RCODE=ATCA&amp;VAR:SDATE=20081299&amp;VAR:FREQ=DAILY&amp;VAR:RELITEM=&amp;VAR:CURRENCY=&amp;VAR:CURRSOURCE=EXSHARE&amp;","VAR:NATFREQ=QUARTERLY&amp;VAR:RFIELD=FINALIZED&amp;VAR:DB_TYPE=&amp;VAR:UNITS=M&amp;window=popup&amp;width=450&amp;height=300&amp;START_MAXIMIZED=FALSE"}</definedName>
    <definedName name="_1596__FDSAUDITLINK__" hidden="1">{"fdsup://IBCentral/FAT Viewer?action=UPDATE&amp;creator=factset&amp;DOC_NAME=fat:reuters_qtrly_source_window.fat&amp;display_string=Audit&amp;DYN_ARGS=TRUE&amp;VAR:ID1=92922P10&amp;VAR:RCODE=ATOT&amp;VAR:SDATE=20081299&amp;VAR:FREQ=DAILY&amp;VAR:RELITEM=&amp;VAR:CURRENCY=&amp;VAR:CURRSOURCE=EXSHARE&amp;","VAR:NATFREQ=QUARTERLY&amp;VAR:RFIELD=FINALIZED&amp;VAR:DB_TYPE=&amp;VAR:UNITS=M&amp;window=popup&amp;width=450&amp;height=300&amp;START_MAXIMIZED=FALSE"}</definedName>
    <definedName name="_1597__FDSAUDITLINK__" hidden="1">{"fdsup://IBCentral/FAT Viewer?action=UPDATE&amp;creator=factset&amp;DOC_NAME=fat:reuters_qtrly_source_window.fat&amp;display_string=Audit&amp;DYN_ARGS=TRUE&amp;VAR:ID1=92769R10&amp;VAR:RCODE=LTLL&amp;VAR:SDATE=20081299&amp;VAR:FREQ=DAILY&amp;VAR:RELITEM=&amp;VAR:CURRENCY=&amp;VAR:CURRSOURCE=EXSHARE&amp;","VAR:NATFREQ=QUARTERLY&amp;VAR:RFIELD=FINALIZED&amp;VAR:DB_TYPE=&amp;VAR:UNITS=M&amp;window=popup&amp;width=450&amp;height=300&amp;START_MAXIMIZED=FALSE"}</definedName>
    <definedName name="_1598__FDSAUDITLINK__" hidden="1">{"fdsup://IBCentral/FAT Viewer?action=UPDATE&amp;creator=factset&amp;DOC_NAME=fat:reuters_qtrly_source_window.fat&amp;display_string=Audit&amp;DYN_ARGS=TRUE&amp;VAR:ID1=92769R10&amp;VAR:RCODE=LTCL&amp;VAR:SDATE=20081299&amp;VAR:FREQ=DAILY&amp;VAR:RELITEM=&amp;VAR:CURRENCY=&amp;VAR:CURRSOURCE=EXSHARE&amp;","VAR:NATFREQ=QUARTERLY&amp;VAR:RFIELD=FINALIZED&amp;VAR:DB_TYPE=&amp;VAR:UNITS=M&amp;window=popup&amp;width=450&amp;height=300&amp;START_MAXIMIZED=FALSE"}</definedName>
    <definedName name="_1599__FDSAUDITLINK__" hidden="1">{"fdsup://IBCentral/FAT Viewer?action=UPDATE&amp;creator=factset&amp;DOC_NAME=fat:reuters_qtrly_source_window.fat&amp;display_string=Audit&amp;DYN_ARGS=TRUE&amp;VAR:ID1=92769R10&amp;VAR:RCODE=ATCA&amp;VAR:SDATE=20081299&amp;VAR:FREQ=DAILY&amp;VAR:RELITEM=&amp;VAR:CURRENCY=&amp;VAR:CURRSOURCE=EXSHARE&amp;","VAR:NATFREQ=QUARTERLY&amp;VAR:RFIELD=FINALIZED&amp;VAR:DB_TYPE=&amp;VAR:UNITS=M&amp;window=popup&amp;width=450&amp;height=300&amp;START_MAXIMIZED=FALSE"}</definedName>
    <definedName name="_15IQ_CURRENCY_GAIN_INS" hidden="1">"c238"</definedName>
    <definedName name="_16__FDSAUDITLINK__" hidden="1">{"fdsup://Directions/FactSet Auditing Viewer?action=AUDIT_VALUE&amp;DB=129&amp;ID1=00508Y10&amp;VALUEID=02999&amp;SDATE=201003&amp;PERIODTYPE=QTR_STD&amp;window=popup_no_bar&amp;width=385&amp;height=120&amp;START_MAXIMIZED=FALSE&amp;creator=factset&amp;display_string=Audit"}</definedName>
    <definedName name="_160__FDSAUDITLINK__" hidden="1">{"fdsup://Directions/FactSet Auditing Viewer?action=AUDIT_VALUE&amp;DB=129&amp;ID1=22282E10&amp;VALUEID=02999&amp;SDATE=201001&amp;PERIODTYPE=QTR_STD&amp;window=popup_no_bar&amp;width=385&amp;height=120&amp;START_MAXIMIZED=FALSE&amp;creator=factset&amp;display_string=Audit"}</definedName>
    <definedName name="_1600__FDSAUDITLINK__" hidden="1">{"fdsup://IBCentral/FAT Viewer?action=UPDATE&amp;creator=factset&amp;DOC_NAME=fat:reuters_qtrly_source_window.fat&amp;display_string=Audit&amp;DYN_ARGS=TRUE&amp;VAR:ID1=92769R10&amp;VAR:RCODE=ATOT&amp;VAR:SDATE=20081299&amp;VAR:FREQ=DAILY&amp;VAR:RELITEM=&amp;VAR:CURRENCY=&amp;VAR:CURRSOURCE=EXSHARE&amp;","VAR:NATFREQ=QUARTERLY&amp;VAR:RFIELD=FINALIZED&amp;VAR:DB_TYPE=&amp;VAR:UNITS=M&amp;window=popup&amp;width=450&amp;height=300&amp;START_MAXIMIZED=FALSE"}</definedName>
    <definedName name="_1601__FDSAUDITLINK__" hidden="1">{"fdsup://IBCentral/FAT Viewer?action=UPDATE&amp;creator=factset&amp;DOC_NAME=fat:reuters_qtrly_source_window.fat&amp;display_string=Audit&amp;DYN_ARGS=TRUE&amp;VAR:ID1=91886610&amp;VAR:RCODE=LTLL&amp;VAR:SDATE=20081299&amp;VAR:FREQ=DAILY&amp;VAR:RELITEM=&amp;VAR:CURRENCY=&amp;VAR:CURRSOURCE=EXSHARE&amp;","VAR:NATFREQ=QUARTERLY&amp;VAR:RFIELD=FINALIZED&amp;VAR:DB_TYPE=&amp;VAR:UNITS=M&amp;window=popup&amp;width=450&amp;height=300&amp;START_MAXIMIZED=FALSE"}</definedName>
    <definedName name="_1602__FDSAUDITLINK__" hidden="1">{"fdsup://IBCentral/FAT Viewer?action=UPDATE&amp;creator=factset&amp;DOC_NAME=fat:reuters_qtrly_source_window.fat&amp;display_string=Audit&amp;DYN_ARGS=TRUE&amp;VAR:ID1=91886610&amp;VAR:RCODE=LTCL&amp;VAR:SDATE=20081299&amp;VAR:FREQ=DAILY&amp;VAR:RELITEM=&amp;VAR:CURRENCY=&amp;VAR:CURRSOURCE=EXSHARE&amp;","VAR:NATFREQ=QUARTERLY&amp;VAR:RFIELD=FINALIZED&amp;VAR:DB_TYPE=&amp;VAR:UNITS=M&amp;window=popup&amp;width=450&amp;height=300&amp;START_MAXIMIZED=FALSE"}</definedName>
    <definedName name="_1603__FDSAUDITLINK__" hidden="1">{"fdsup://IBCentral/FAT Viewer?action=UPDATE&amp;creator=factset&amp;DOC_NAME=fat:reuters_qtrly_source_window.fat&amp;display_string=Audit&amp;DYN_ARGS=TRUE&amp;VAR:ID1=91886610&amp;VAR:RCODE=ATCA&amp;VAR:SDATE=20081299&amp;VAR:FREQ=DAILY&amp;VAR:RELITEM=&amp;VAR:CURRENCY=&amp;VAR:CURRSOURCE=EXSHARE&amp;","VAR:NATFREQ=QUARTERLY&amp;VAR:RFIELD=FINALIZED&amp;VAR:DB_TYPE=&amp;VAR:UNITS=M&amp;window=popup&amp;width=450&amp;height=300&amp;START_MAXIMIZED=FALSE"}</definedName>
    <definedName name="_1604__FDSAUDITLINK__" hidden="1">{"fdsup://IBCentral/FAT Viewer?action=UPDATE&amp;creator=factset&amp;DOC_NAME=fat:reuters_qtrly_source_window.fat&amp;display_string=Audit&amp;DYN_ARGS=TRUE&amp;VAR:ID1=91886610&amp;VAR:RCODE=ATOT&amp;VAR:SDATE=20081299&amp;VAR:FREQ=DAILY&amp;VAR:RELITEM=&amp;VAR:CURRENCY=&amp;VAR:CURRSOURCE=EXSHARE&amp;","VAR:NATFREQ=QUARTERLY&amp;VAR:RFIELD=FINALIZED&amp;VAR:DB_TYPE=&amp;VAR:UNITS=M&amp;window=popup&amp;width=450&amp;height=300&amp;START_MAXIMIZED=FALSE"}</definedName>
    <definedName name="_1605__FDSAUDITLINK__" hidden="1">{"fdsup://IBCentral/FAT Viewer?action=UPDATE&amp;creator=factset&amp;DOC_NAME=fat:reuters_qtrly_source_window.fat&amp;display_string=Audit&amp;DYN_ARGS=TRUE&amp;VAR:ID1=90333L10&amp;VAR:RCODE=LTLL&amp;VAR:SDATE=20081299&amp;VAR:FREQ=DAILY&amp;VAR:RELITEM=&amp;VAR:CURRENCY=&amp;VAR:CURRSOURCE=EXSHARE&amp;","VAR:NATFREQ=QUARTERLY&amp;VAR:RFIELD=FINALIZED&amp;VAR:DB_TYPE=&amp;VAR:UNITS=M&amp;window=popup&amp;width=450&amp;height=300&amp;START_MAXIMIZED=FALSE"}</definedName>
    <definedName name="_1606__FDSAUDITLINK__" hidden="1">{"fdsup://IBCentral/FAT Viewer?action=UPDATE&amp;creator=factset&amp;DOC_NAME=fat:reuters_qtrly_source_window.fat&amp;display_string=Audit&amp;DYN_ARGS=TRUE&amp;VAR:ID1=90333L10&amp;VAR:RCODE=LTCL&amp;VAR:SDATE=20081299&amp;VAR:FREQ=DAILY&amp;VAR:RELITEM=&amp;VAR:CURRENCY=&amp;VAR:CURRSOURCE=EXSHARE&amp;","VAR:NATFREQ=QUARTERLY&amp;VAR:RFIELD=FINALIZED&amp;VAR:DB_TYPE=&amp;VAR:UNITS=M&amp;window=popup&amp;width=450&amp;height=300&amp;START_MAXIMIZED=FALSE"}</definedName>
    <definedName name="_1607__FDSAUDITLINK__" hidden="1">{"fdsup://IBCentral/FAT Viewer?action=UPDATE&amp;creator=factset&amp;DOC_NAME=fat:reuters_qtrly_source_window.fat&amp;display_string=Audit&amp;DYN_ARGS=TRUE&amp;VAR:ID1=90333L10&amp;VAR:RCODE=ATCA&amp;VAR:SDATE=20081299&amp;VAR:FREQ=DAILY&amp;VAR:RELITEM=&amp;VAR:CURRENCY=&amp;VAR:CURRSOURCE=EXSHARE&amp;","VAR:NATFREQ=QUARTERLY&amp;VAR:RFIELD=FINALIZED&amp;VAR:DB_TYPE=&amp;VAR:UNITS=M&amp;window=popup&amp;width=450&amp;height=300&amp;START_MAXIMIZED=FALSE"}</definedName>
    <definedName name="_1608__FDSAUDITLINK__" hidden="1">{"fdsup://IBCentral/FAT Viewer?action=UPDATE&amp;creator=factset&amp;DOC_NAME=fat:reuters_qtrly_source_window.fat&amp;display_string=Audit&amp;DYN_ARGS=TRUE&amp;VAR:ID1=90333L10&amp;VAR:RCODE=ATOT&amp;VAR:SDATE=20081299&amp;VAR:FREQ=DAILY&amp;VAR:RELITEM=&amp;VAR:CURRENCY=&amp;VAR:CURRSOURCE=EXSHARE&amp;","VAR:NATFREQ=QUARTERLY&amp;VAR:RFIELD=FINALIZED&amp;VAR:DB_TYPE=&amp;VAR:UNITS=M&amp;window=popup&amp;width=450&amp;height=300&amp;START_MAXIMIZED=FALSE"}</definedName>
    <definedName name="_1609__FDSAUDITLINK__" hidden="1">{"fdsup://IBCentral/FAT Viewer?action=UPDATE&amp;creator=factset&amp;DOC_NAME=fat:reuters_qtrly_source_window.fat&amp;display_string=Audit&amp;DYN_ARGS=TRUE&amp;VAR:ID1=P9439810&amp;VAR:RCODE=LTLL&amp;VAR:SDATE=20081299&amp;VAR:FREQ=DAILY&amp;VAR:RELITEM=&amp;VAR:CURRENCY=&amp;VAR:CURRSOURCE=EXSHARE&amp;","VAR:NATFREQ=QUARTERLY&amp;VAR:RFIELD=FINALIZED&amp;VAR:DB_TYPE=&amp;VAR:UNITS=M&amp;window=popup&amp;width=450&amp;height=300&amp;START_MAXIMIZED=FALSE"}</definedName>
    <definedName name="_161__FDSAUDITLINK__" hidden="1">{"fdsup://Directions/FactSet Auditing Viewer?action=AUDIT_VALUE&amp;DB=129&amp;ID1=G2554F10&amp;VALUEID=02999&amp;SDATE=201002&amp;PERIODTYPE=QTR_STD&amp;window=popup_no_bar&amp;width=385&amp;height=120&amp;START_MAXIMIZED=FALSE&amp;creator=factset&amp;display_string=Audit"}</definedName>
    <definedName name="_1610__FDSAUDITLINK__" hidden="1">{"fdsup://IBCentral/FAT Viewer?action=UPDATE&amp;creator=factset&amp;DOC_NAME=fat:reuters_qtrly_source_window.fat&amp;display_string=Audit&amp;DYN_ARGS=TRUE&amp;VAR:ID1=P9439810&amp;VAR:RCODE=LTCL&amp;VAR:SDATE=20081299&amp;VAR:FREQ=DAILY&amp;VAR:RELITEM=&amp;VAR:CURRENCY=&amp;VAR:CURRSOURCE=EXSHARE&amp;","VAR:NATFREQ=QUARTERLY&amp;VAR:RFIELD=FINALIZED&amp;VAR:DB_TYPE=&amp;VAR:UNITS=M&amp;window=popup&amp;width=450&amp;height=300&amp;START_MAXIMIZED=FALSE"}</definedName>
    <definedName name="_1611__FDSAUDITLINK__" hidden="1">{"fdsup://IBCentral/FAT Viewer?action=UPDATE&amp;creator=factset&amp;DOC_NAME=fat:reuters_qtrly_source_window.fat&amp;display_string=Audit&amp;DYN_ARGS=TRUE&amp;VAR:ID1=P9439810&amp;VAR:RCODE=ATCA&amp;VAR:SDATE=20081299&amp;VAR:FREQ=DAILY&amp;VAR:RELITEM=&amp;VAR:CURRENCY=&amp;VAR:CURRSOURCE=EXSHARE&amp;","VAR:NATFREQ=QUARTERLY&amp;VAR:RFIELD=FINALIZED&amp;VAR:DB_TYPE=&amp;VAR:UNITS=M&amp;window=popup&amp;width=450&amp;height=300&amp;START_MAXIMIZED=FALSE"}</definedName>
    <definedName name="_1612__FDSAUDITLINK__" hidden="1">{"fdsup://IBCentral/FAT Viewer?action=UPDATE&amp;creator=factset&amp;DOC_NAME=fat:reuters_qtrly_source_window.fat&amp;display_string=Audit&amp;DYN_ARGS=TRUE&amp;VAR:ID1=P9439810&amp;VAR:RCODE=ATOT&amp;VAR:SDATE=20081299&amp;VAR:FREQ=DAILY&amp;VAR:RELITEM=&amp;VAR:CURRENCY=&amp;VAR:CURRSOURCE=EXSHARE&amp;","VAR:NATFREQ=QUARTERLY&amp;VAR:RFIELD=FINALIZED&amp;VAR:DB_TYPE=&amp;VAR:UNITS=M&amp;window=popup&amp;width=450&amp;height=300&amp;START_MAXIMIZED=FALSE"}</definedName>
    <definedName name="_1613__FDSAUDITLINK__" hidden="1">{"fdsup://IBCentral/FAT Viewer?action=UPDATE&amp;creator=factset&amp;DOC_NAME=fat:reuters_qtrly_source_window.fat&amp;display_string=Audit&amp;DYN_ARGS=TRUE&amp;VAR:ID1=89621520&amp;VAR:RCODE=LTLL&amp;VAR:SDATE=20081299&amp;VAR:FREQ=DAILY&amp;VAR:RELITEM=&amp;VAR:CURRENCY=&amp;VAR:CURRSOURCE=EXSHARE&amp;","VAR:NATFREQ=QUARTERLY&amp;VAR:RFIELD=FINALIZED&amp;VAR:DB_TYPE=&amp;VAR:UNITS=M&amp;window=popup&amp;width=450&amp;height=300&amp;START_MAXIMIZED=FALSE"}</definedName>
    <definedName name="_1614__FDSAUDITLINK__" hidden="1">{"fdsup://IBCentral/FAT Viewer?action=UPDATE&amp;creator=factset&amp;DOC_NAME=fat:reuters_qtrly_source_window.fat&amp;display_string=Audit&amp;DYN_ARGS=TRUE&amp;VAR:ID1=89621520&amp;VAR:RCODE=LTCL&amp;VAR:SDATE=20081299&amp;VAR:FREQ=DAILY&amp;VAR:RELITEM=&amp;VAR:CURRENCY=&amp;VAR:CURRSOURCE=EXSHARE&amp;","VAR:NATFREQ=QUARTERLY&amp;VAR:RFIELD=FINALIZED&amp;VAR:DB_TYPE=&amp;VAR:UNITS=M&amp;window=popup&amp;width=450&amp;height=300&amp;START_MAXIMIZED=FALSE"}</definedName>
    <definedName name="_1615__FDSAUDITLINK__" hidden="1">{"fdsup://IBCentral/FAT Viewer?action=UPDATE&amp;creator=factset&amp;DOC_NAME=fat:reuters_qtrly_source_window.fat&amp;display_string=Audit&amp;DYN_ARGS=TRUE&amp;VAR:ID1=89621520&amp;VAR:RCODE=ATCA&amp;VAR:SDATE=20081299&amp;VAR:FREQ=DAILY&amp;VAR:RELITEM=&amp;VAR:CURRENCY=&amp;VAR:CURRSOURCE=EXSHARE&amp;","VAR:NATFREQ=QUARTERLY&amp;VAR:RFIELD=FINALIZED&amp;VAR:DB_TYPE=&amp;VAR:UNITS=M&amp;window=popup&amp;width=450&amp;height=300&amp;START_MAXIMIZED=FALSE"}</definedName>
    <definedName name="_1616__FDSAUDITLINK__" hidden="1">{"fdsup://IBCentral/FAT Viewer?action=UPDATE&amp;creator=factset&amp;DOC_NAME=fat:reuters_qtrly_source_window.fat&amp;display_string=Audit&amp;DYN_ARGS=TRUE&amp;VAR:ID1=89621520&amp;VAR:RCODE=ATOT&amp;VAR:SDATE=20081299&amp;VAR:FREQ=DAILY&amp;VAR:RELITEM=&amp;VAR:CURRENCY=&amp;VAR:CURRSOURCE=EXSHARE&amp;","VAR:NATFREQ=QUARTERLY&amp;VAR:RFIELD=FINALIZED&amp;VAR:DB_TYPE=&amp;VAR:UNITS=M&amp;window=popup&amp;width=450&amp;height=300&amp;START_MAXIMIZED=FALSE"}</definedName>
    <definedName name="_1617__FDSAUDITLINK__" hidden="1">{"fdsup://IBCentral/FAT Viewer?action=UPDATE&amp;creator=factset&amp;DOC_NAME=fat:reuters_qtrly_source_window.fat&amp;display_string=Audit&amp;DYN_ARGS=TRUE&amp;VAR:ID1=89214A10&amp;VAR:RCODE=LTLL&amp;VAR:SDATE=20081299&amp;VAR:FREQ=DAILY&amp;VAR:RELITEM=&amp;VAR:CURRENCY=&amp;VAR:CURRSOURCE=EXSHARE&amp;","VAR:NATFREQ=QUARTERLY&amp;VAR:RFIELD=FINALIZED&amp;VAR:DB_TYPE=&amp;VAR:UNITS=M&amp;window=popup&amp;width=450&amp;height=300&amp;START_MAXIMIZED=FALSE"}</definedName>
    <definedName name="_1618__FDSAUDITLINK__" hidden="1">{"fdsup://IBCentral/FAT Viewer?action=UPDATE&amp;creator=factset&amp;DOC_NAME=fat:reuters_qtrly_source_window.fat&amp;display_string=Audit&amp;DYN_ARGS=TRUE&amp;VAR:ID1=89214A10&amp;VAR:RCODE=LTCL&amp;VAR:SDATE=20081299&amp;VAR:FREQ=DAILY&amp;VAR:RELITEM=&amp;VAR:CURRENCY=&amp;VAR:CURRSOURCE=EXSHARE&amp;","VAR:NATFREQ=QUARTERLY&amp;VAR:RFIELD=FINALIZED&amp;VAR:DB_TYPE=&amp;VAR:UNITS=M&amp;window=popup&amp;width=450&amp;height=300&amp;START_MAXIMIZED=FALSE"}</definedName>
    <definedName name="_1619__FDSAUDITLINK__" hidden="1">{"fdsup://IBCentral/FAT Viewer?action=UPDATE&amp;creator=factset&amp;DOC_NAME=fat:reuters_qtrly_source_window.fat&amp;display_string=Audit&amp;DYN_ARGS=TRUE&amp;VAR:ID1=89214A10&amp;VAR:RCODE=ATCA&amp;VAR:SDATE=20081299&amp;VAR:FREQ=DAILY&amp;VAR:RELITEM=&amp;VAR:CURRENCY=&amp;VAR:CURRSOURCE=EXSHARE&amp;","VAR:NATFREQ=QUARTERLY&amp;VAR:RFIELD=FINALIZED&amp;VAR:DB_TYPE=&amp;VAR:UNITS=M&amp;window=popup&amp;width=450&amp;height=300&amp;START_MAXIMIZED=FALSE"}</definedName>
    <definedName name="_162__FDSAUDITLINK__" hidden="1">{"fdsup://Directions/FactSet Auditing Viewer?action=AUDIT_VALUE&amp;DB=129&amp;ID1=22410J10&amp;VALUEID=02999&amp;SDATE=201003&amp;PERIODTYPE=QTR_STD&amp;window=popup_no_bar&amp;width=385&amp;height=120&amp;START_MAXIMIZED=FALSE&amp;creator=factset&amp;display_string=Audit"}</definedName>
    <definedName name="_1620__FDSAUDITLINK__" hidden="1">{"fdsup://IBCentral/FAT Viewer?action=UPDATE&amp;creator=factset&amp;DOC_NAME=fat:reuters_qtrly_source_window.fat&amp;display_string=Audit&amp;DYN_ARGS=TRUE&amp;VAR:ID1=89214A10&amp;VAR:RCODE=ATOT&amp;VAR:SDATE=20081299&amp;VAR:FREQ=DAILY&amp;VAR:RELITEM=&amp;VAR:CURRENCY=&amp;VAR:CURRSOURCE=EXSHARE&amp;","VAR:NATFREQ=QUARTERLY&amp;VAR:RFIELD=FINALIZED&amp;VAR:DB_TYPE=&amp;VAR:UNITS=M&amp;window=popup&amp;width=450&amp;height=300&amp;START_MAXIMIZED=FALSE"}</definedName>
    <definedName name="_1621__FDSAUDITLINK__" hidden="1">{"fdsup://IBCentral/FAT Viewer?action=UPDATE&amp;creator=factset&amp;DOC_NAME=fat:reuters_qtrly_source_window.fat&amp;display_string=Audit&amp;DYN_ARGS=TRUE&amp;VAR:ID1=83224810&amp;VAR:RCODE=LTLL&amp;VAR:SDATE=20081099&amp;VAR:FREQ=DAILY&amp;VAR:RELITEM=&amp;VAR:CURRENCY=&amp;VAR:CURRSOURCE=EXSHARE&amp;","VAR:NATFREQ=QUARTERLY&amp;VAR:RFIELD=FINALIZED&amp;VAR:DB_TYPE=&amp;VAR:UNITS=M&amp;window=popup&amp;width=450&amp;height=300&amp;START_MAXIMIZED=FALSE"}</definedName>
    <definedName name="_1622__FDSAUDITLINK__" hidden="1">{"fdsup://IBCentral/FAT Viewer?action=UPDATE&amp;creator=factset&amp;DOC_NAME=fat:reuters_qtrly_source_window.fat&amp;display_string=Audit&amp;DYN_ARGS=TRUE&amp;VAR:ID1=83224810&amp;VAR:RCODE=LTCL&amp;VAR:SDATE=20081099&amp;VAR:FREQ=DAILY&amp;VAR:RELITEM=&amp;VAR:CURRENCY=&amp;VAR:CURRSOURCE=EXSHARE&amp;","VAR:NATFREQ=QUARTERLY&amp;VAR:RFIELD=FINALIZED&amp;VAR:DB_TYPE=&amp;VAR:UNITS=M&amp;window=popup&amp;width=450&amp;height=300&amp;START_MAXIMIZED=FALSE"}</definedName>
    <definedName name="_1623__FDSAUDITLINK__" hidden="1">{"fdsup://IBCentral/FAT Viewer?action=UPDATE&amp;creator=factset&amp;DOC_NAME=fat:reuters_qtrly_source_window.fat&amp;display_string=Audit&amp;DYN_ARGS=TRUE&amp;VAR:ID1=83224810&amp;VAR:RCODE=ATCA&amp;VAR:SDATE=20081099&amp;VAR:FREQ=DAILY&amp;VAR:RELITEM=&amp;VAR:CURRENCY=&amp;VAR:CURRSOURCE=EXSHARE&amp;","VAR:NATFREQ=QUARTERLY&amp;VAR:RFIELD=FINALIZED&amp;VAR:DB_TYPE=&amp;VAR:UNITS=M&amp;window=popup&amp;width=450&amp;height=300&amp;START_MAXIMIZED=FALSE"}</definedName>
    <definedName name="_1624__FDSAUDITLINK__" hidden="1">{"fdsup://IBCentral/FAT Viewer?action=UPDATE&amp;creator=factset&amp;DOC_NAME=fat:reuters_qtrly_source_window.fat&amp;display_string=Audit&amp;DYN_ARGS=TRUE&amp;VAR:ID1=83224810&amp;VAR:RCODE=ATOT&amp;VAR:SDATE=20081099&amp;VAR:FREQ=DAILY&amp;VAR:RELITEM=&amp;VAR:CURRENCY=&amp;VAR:CURRSOURCE=EXSHARE&amp;","VAR:NATFREQ=QUARTERLY&amp;VAR:RFIELD=FINALIZED&amp;VAR:DB_TYPE=&amp;VAR:UNITS=M&amp;window=popup&amp;width=450&amp;height=300&amp;START_MAXIMIZED=FALSE"}</definedName>
    <definedName name="_1625__FDSAUDITLINK__" hidden="1">{"fdsup://IBCentral/FAT Viewer?action=UPDATE&amp;creator=factset&amp;DOC_NAME=fat:reuters_qtrly_source_window.fat&amp;display_string=Audit&amp;DYN_ARGS=TRUE&amp;VAR:ID1=80007P30&amp;VAR:RCODE=LTLL&amp;VAR:SDATE=20081299&amp;VAR:FREQ=DAILY&amp;VAR:RELITEM=&amp;VAR:CURRENCY=&amp;VAR:CURRSOURCE=EXSHARE&amp;","VAR:NATFREQ=QUARTERLY&amp;VAR:RFIELD=FINALIZED&amp;VAR:DB_TYPE=&amp;VAR:UNITS=M&amp;window=popup&amp;width=450&amp;height=300&amp;START_MAXIMIZED=FALSE"}</definedName>
    <definedName name="_1626__FDSAUDITLINK__" hidden="1">{"fdsup://IBCentral/FAT Viewer?action=UPDATE&amp;creator=factset&amp;DOC_NAME=fat:reuters_qtrly_source_window.fat&amp;display_string=Audit&amp;DYN_ARGS=TRUE&amp;VAR:ID1=80007P30&amp;VAR:RCODE=LTCL&amp;VAR:SDATE=20081299&amp;VAR:FREQ=DAILY&amp;VAR:RELITEM=&amp;VAR:CURRENCY=&amp;VAR:CURRSOURCE=EXSHARE&amp;","VAR:NATFREQ=QUARTERLY&amp;VAR:RFIELD=FINALIZED&amp;VAR:DB_TYPE=&amp;VAR:UNITS=M&amp;window=popup&amp;width=450&amp;height=300&amp;START_MAXIMIZED=FALSE"}</definedName>
    <definedName name="_1627__FDSAUDITLINK__" hidden="1">{"fdsup://IBCentral/FAT Viewer?action=UPDATE&amp;creator=factset&amp;DOC_NAME=fat:reuters_qtrly_source_window.fat&amp;display_string=Audit&amp;DYN_ARGS=TRUE&amp;VAR:ID1=80007P30&amp;VAR:RCODE=ATCA&amp;VAR:SDATE=20081299&amp;VAR:FREQ=DAILY&amp;VAR:RELITEM=&amp;VAR:CURRENCY=&amp;VAR:CURRSOURCE=EXSHARE&amp;","VAR:NATFREQ=QUARTERLY&amp;VAR:RFIELD=FINALIZED&amp;VAR:DB_TYPE=&amp;VAR:UNITS=M&amp;window=popup&amp;width=450&amp;height=300&amp;START_MAXIMIZED=FALSE"}</definedName>
    <definedName name="_1628__FDSAUDITLINK__" hidden="1">{"fdsup://IBCentral/FAT Viewer?action=UPDATE&amp;creator=factset&amp;DOC_NAME=fat:reuters_qtrly_source_window.fat&amp;display_string=Audit&amp;DYN_ARGS=TRUE&amp;VAR:ID1=80007P30&amp;VAR:RCODE=ATOT&amp;VAR:SDATE=20081299&amp;VAR:FREQ=DAILY&amp;VAR:RELITEM=&amp;VAR:CURRENCY=&amp;VAR:CURRSOURCE=EXSHARE&amp;","VAR:NATFREQ=QUARTERLY&amp;VAR:RFIELD=FINALIZED&amp;VAR:DB_TYPE=&amp;VAR:UNITS=M&amp;window=popup&amp;width=450&amp;height=300&amp;START_MAXIMIZED=FALSE"}</definedName>
    <definedName name="_1629__FDSAUDITLINK__" hidden="1">{"fdsup://IBCentral/FAT Viewer?action=UPDATE&amp;creator=factset&amp;DOC_NAME=fat:reuters_qtrly_source_window.fat&amp;display_string=Audit&amp;DYN_ARGS=TRUE&amp;VAR:ID1=74838C10&amp;VAR:RCODE=LTLL&amp;VAR:SDATE=20081099&amp;VAR:FREQ=DAILY&amp;VAR:RELITEM=&amp;VAR:CURRENCY=&amp;VAR:CURRSOURCE=EXSHARE&amp;","VAR:NATFREQ=QUARTERLY&amp;VAR:RFIELD=FINALIZED&amp;VAR:DB_TYPE=&amp;VAR:UNITS=M&amp;window=popup&amp;width=450&amp;height=300&amp;START_MAXIMIZED=FALSE"}</definedName>
    <definedName name="_163__FDSAUDITLINK__" hidden="1">{"fdsup://Directions/FactSet Auditing Viewer?action=AUDIT_VALUE&amp;DB=129&amp;ID1=22439910&amp;VALUEID=02999&amp;SDATE=201001&amp;PERIODTYPE=QTR_STD&amp;window=popup_no_bar&amp;width=385&amp;height=120&amp;START_MAXIMIZED=FALSE&amp;creator=factset&amp;display_string=Audit"}</definedName>
    <definedName name="_1630__FDSAUDITLINK__" hidden="1">{"fdsup://IBCentral/FAT Viewer?action=UPDATE&amp;creator=factset&amp;DOC_NAME=fat:reuters_qtrly_source_window.fat&amp;display_string=Audit&amp;DYN_ARGS=TRUE&amp;VAR:ID1=74838C10&amp;VAR:RCODE=LTCL&amp;VAR:SDATE=20081099&amp;VAR:FREQ=DAILY&amp;VAR:RELITEM=&amp;VAR:CURRENCY=&amp;VAR:CURRSOURCE=EXSHARE&amp;","VAR:NATFREQ=QUARTERLY&amp;VAR:RFIELD=FINALIZED&amp;VAR:DB_TYPE=&amp;VAR:UNITS=M&amp;window=popup&amp;width=450&amp;height=300&amp;START_MAXIMIZED=FALSE"}</definedName>
    <definedName name="_1631__FDSAUDITLINK__" hidden="1">{"fdsup://IBCentral/FAT Viewer?action=UPDATE&amp;creator=factset&amp;DOC_NAME=fat:reuters_qtrly_source_window.fat&amp;display_string=Audit&amp;DYN_ARGS=TRUE&amp;VAR:ID1=74838C10&amp;VAR:RCODE=ATCA&amp;VAR:SDATE=20081099&amp;VAR:FREQ=DAILY&amp;VAR:RELITEM=&amp;VAR:CURRENCY=&amp;VAR:CURRSOURCE=EXSHARE&amp;","VAR:NATFREQ=QUARTERLY&amp;VAR:RFIELD=FINALIZED&amp;VAR:DB_TYPE=&amp;VAR:UNITS=M&amp;window=popup&amp;width=450&amp;height=300&amp;START_MAXIMIZED=FALSE"}</definedName>
    <definedName name="_1632__FDSAUDITLINK__" hidden="1">{"fdsup://IBCentral/FAT Viewer?action=UPDATE&amp;creator=factset&amp;DOC_NAME=fat:reuters_qtrly_source_window.fat&amp;display_string=Audit&amp;DYN_ARGS=TRUE&amp;VAR:ID1=74838C10&amp;VAR:RCODE=ATOT&amp;VAR:SDATE=20081099&amp;VAR:FREQ=DAILY&amp;VAR:RELITEM=&amp;VAR:CURRENCY=&amp;VAR:CURRSOURCE=EXSHARE&amp;","VAR:NATFREQ=QUARTERLY&amp;VAR:RFIELD=FINALIZED&amp;VAR:DB_TYPE=&amp;VAR:UNITS=M&amp;window=popup&amp;width=450&amp;height=300&amp;START_MAXIMIZED=FALSE"}</definedName>
    <definedName name="_1633__FDSAUDITLINK__" hidden="1">{"fdsup://IBCentral/FAT Viewer?action=UPDATE&amp;creator=factset&amp;DOC_NAME=fat:reuters_qtrly_source_window.fat&amp;display_string=Audit&amp;DYN_ARGS=TRUE&amp;VAR:ID1=74381510&amp;VAR:RCODE=LTLL&amp;VAR:SDATE=20081299&amp;VAR:FREQ=DAILY&amp;VAR:RELITEM=&amp;VAR:CURRENCY=&amp;VAR:CURRSOURCE=EXSHARE&amp;","VAR:NATFREQ=QUARTERLY&amp;VAR:RFIELD=FINALIZED&amp;VAR:DB_TYPE=&amp;VAR:UNITS=M&amp;window=popup&amp;width=450&amp;height=300&amp;START_MAXIMIZED=FALSE"}</definedName>
    <definedName name="_1634__FDSAUDITLINK__" hidden="1">{"fdsup://IBCentral/FAT Viewer?action=UPDATE&amp;creator=factset&amp;DOC_NAME=fat:reuters_qtrly_source_window.fat&amp;display_string=Audit&amp;DYN_ARGS=TRUE&amp;VAR:ID1=74381510&amp;VAR:RCODE=LTCL&amp;VAR:SDATE=20081299&amp;VAR:FREQ=DAILY&amp;VAR:RELITEM=&amp;VAR:CURRENCY=&amp;VAR:CURRSOURCE=EXSHARE&amp;","VAR:NATFREQ=QUARTERLY&amp;VAR:RFIELD=FINALIZED&amp;VAR:DB_TYPE=&amp;VAR:UNITS=M&amp;window=popup&amp;width=450&amp;height=300&amp;START_MAXIMIZED=FALSE"}</definedName>
    <definedName name="_1635__FDSAUDITLINK__" hidden="1">{"fdsup://IBCentral/FAT Viewer?action=UPDATE&amp;creator=factset&amp;DOC_NAME=fat:reuters_qtrly_source_window.fat&amp;display_string=Audit&amp;DYN_ARGS=TRUE&amp;VAR:ID1=74381510&amp;VAR:RCODE=ATCA&amp;VAR:SDATE=20081299&amp;VAR:FREQ=DAILY&amp;VAR:RELITEM=&amp;VAR:CURRENCY=&amp;VAR:CURRSOURCE=EXSHARE&amp;","VAR:NATFREQ=QUARTERLY&amp;VAR:RFIELD=FINALIZED&amp;VAR:DB_TYPE=&amp;VAR:UNITS=M&amp;window=popup&amp;width=450&amp;height=300&amp;START_MAXIMIZED=FALSE"}</definedName>
    <definedName name="_1636__FDSAUDITLINK__" hidden="1">{"fdsup://IBCentral/FAT Viewer?action=UPDATE&amp;creator=factset&amp;DOC_NAME=fat:reuters_qtrly_source_window.fat&amp;display_string=Audit&amp;DYN_ARGS=TRUE&amp;VAR:ID1=74381510&amp;VAR:RCODE=ATOT&amp;VAR:SDATE=20081299&amp;VAR:FREQ=DAILY&amp;VAR:RELITEM=&amp;VAR:CURRENCY=&amp;VAR:CURRSOURCE=EXSHARE&amp;","VAR:NATFREQ=QUARTERLY&amp;VAR:RFIELD=FINALIZED&amp;VAR:DB_TYPE=&amp;VAR:UNITS=M&amp;window=popup&amp;width=450&amp;height=300&amp;START_MAXIMIZED=FALSE"}</definedName>
    <definedName name="_1637__FDSAUDITLINK__" hidden="1">{"fdsup://IBCentral/FAT Viewer?action=UPDATE&amp;creator=factset&amp;DOC_NAME=fat:reuters_qtrly_source_window.fat&amp;display_string=Audit&amp;DYN_ARGS=TRUE&amp;VAR:ID1=73179V10&amp;VAR:RCODE=LTLL&amp;VAR:SDATE=20081299&amp;VAR:FREQ=DAILY&amp;VAR:RELITEM=&amp;VAR:CURRENCY=&amp;VAR:CURRSOURCE=EXSHARE&amp;","VAR:NATFREQ=QUARTERLY&amp;VAR:RFIELD=FINALIZED&amp;VAR:DB_TYPE=&amp;VAR:UNITS=M&amp;window=popup&amp;width=450&amp;height=300&amp;START_MAXIMIZED=FALSE"}</definedName>
    <definedName name="_1638__FDSAUDITLINK__" hidden="1">{"fdsup://IBCentral/FAT Viewer?action=UPDATE&amp;creator=factset&amp;DOC_NAME=fat:reuters_qtrly_source_window.fat&amp;display_string=Audit&amp;DYN_ARGS=TRUE&amp;VAR:ID1=73179V10&amp;VAR:RCODE=LTCL&amp;VAR:SDATE=20081299&amp;VAR:FREQ=DAILY&amp;VAR:RELITEM=&amp;VAR:CURRENCY=&amp;VAR:CURRSOURCE=EXSHARE&amp;","VAR:NATFREQ=QUARTERLY&amp;VAR:RFIELD=FINALIZED&amp;VAR:DB_TYPE=&amp;VAR:UNITS=M&amp;window=popup&amp;width=450&amp;height=300&amp;START_MAXIMIZED=FALSE"}</definedName>
    <definedName name="_1639__FDSAUDITLINK__" hidden="1">{"fdsup://IBCentral/FAT Viewer?action=UPDATE&amp;creator=factset&amp;DOC_NAME=fat:reuters_qtrly_source_window.fat&amp;display_string=Audit&amp;DYN_ARGS=TRUE&amp;VAR:ID1=73179V10&amp;VAR:RCODE=ATCA&amp;VAR:SDATE=20081299&amp;VAR:FREQ=DAILY&amp;VAR:RELITEM=&amp;VAR:CURRENCY=&amp;VAR:CURRSOURCE=EXSHARE&amp;","VAR:NATFREQ=QUARTERLY&amp;VAR:RFIELD=FINALIZED&amp;VAR:DB_TYPE=&amp;VAR:UNITS=M&amp;window=popup&amp;width=450&amp;height=300&amp;START_MAXIMIZED=FALSE"}</definedName>
    <definedName name="_164__FDSAUDITLINK__" hidden="1">{"fdsup://Directions/FactSet Auditing Viewer?action=AUDIT_VALUE&amp;DB=129&amp;ID1=22765U10&amp;VALUEID=02999&amp;SDATE=201001&amp;PERIODTYPE=QTR_STD&amp;window=popup_no_bar&amp;width=385&amp;height=120&amp;START_MAXIMIZED=FALSE&amp;creator=factset&amp;display_string=Audit"}</definedName>
    <definedName name="_1640__FDSAUDITLINK__" hidden="1">{"fdsup://IBCentral/FAT Viewer?action=UPDATE&amp;creator=factset&amp;DOC_NAME=fat:reuters_qtrly_source_window.fat&amp;display_string=Audit&amp;DYN_ARGS=TRUE&amp;VAR:ID1=73179V10&amp;VAR:RCODE=ATOT&amp;VAR:SDATE=20081299&amp;VAR:FREQ=DAILY&amp;VAR:RELITEM=&amp;VAR:CURRENCY=&amp;VAR:CURRSOURCE=EXSHARE&amp;","VAR:NATFREQ=QUARTERLY&amp;VAR:RFIELD=FINALIZED&amp;VAR:DB_TYPE=&amp;VAR:UNITS=M&amp;window=popup&amp;width=450&amp;height=300&amp;START_MAXIMIZED=FALSE"}</definedName>
    <definedName name="_1641__FDSAUDITLINK__" hidden="1">{"fdsup://IBCentral/FAT Viewer?action=UPDATE&amp;creator=factset&amp;DOC_NAME=fat:reuters_qtrly_source_window.fat&amp;display_string=Audit&amp;DYN_ARGS=TRUE&amp;VAR:ID1=72345610&amp;VAR:RCODE=LTLL&amp;VAR:SDATE=20081299&amp;VAR:FREQ=DAILY&amp;VAR:RELITEM=&amp;VAR:CURRENCY=&amp;VAR:CURRSOURCE=EXSHARE&amp;","VAR:NATFREQ=QUARTERLY&amp;VAR:RFIELD=FINALIZED&amp;VAR:DB_TYPE=&amp;VAR:UNITS=M&amp;window=popup&amp;width=450&amp;height=300&amp;START_MAXIMIZED=FALSE"}</definedName>
    <definedName name="_1642__FDSAUDITLINK__" hidden="1">{"fdsup://IBCentral/FAT Viewer?action=UPDATE&amp;creator=factset&amp;DOC_NAME=fat:reuters_qtrly_source_window.fat&amp;display_string=Audit&amp;DYN_ARGS=TRUE&amp;VAR:ID1=72345610&amp;VAR:RCODE=LTCL&amp;VAR:SDATE=20081299&amp;VAR:FREQ=DAILY&amp;VAR:RELITEM=&amp;VAR:CURRENCY=&amp;VAR:CURRSOURCE=EXSHARE&amp;","VAR:NATFREQ=QUARTERLY&amp;VAR:RFIELD=FINALIZED&amp;VAR:DB_TYPE=&amp;VAR:UNITS=M&amp;window=popup&amp;width=450&amp;height=300&amp;START_MAXIMIZED=FALSE"}</definedName>
    <definedName name="_1643__FDSAUDITLINK__" hidden="1">{"fdsup://IBCentral/FAT Viewer?action=UPDATE&amp;creator=factset&amp;DOC_NAME=fat:reuters_qtrly_source_window.fat&amp;display_string=Audit&amp;DYN_ARGS=TRUE&amp;VAR:ID1=72345610&amp;VAR:RCODE=ATCA&amp;VAR:SDATE=20081299&amp;VAR:FREQ=DAILY&amp;VAR:RELITEM=&amp;VAR:CURRENCY=&amp;VAR:CURRSOURCE=EXSHARE&amp;","VAR:NATFREQ=QUARTERLY&amp;VAR:RFIELD=FINALIZED&amp;VAR:DB_TYPE=&amp;VAR:UNITS=M&amp;window=popup&amp;width=450&amp;height=300&amp;START_MAXIMIZED=FALSE"}</definedName>
    <definedName name="_1644__FDSAUDITLINK__" hidden="1">{"fdsup://IBCentral/FAT Viewer?action=UPDATE&amp;creator=factset&amp;DOC_NAME=fat:reuters_qtrly_source_window.fat&amp;display_string=Audit&amp;DYN_ARGS=TRUE&amp;VAR:ID1=72345610&amp;VAR:RCODE=ATOT&amp;VAR:SDATE=20081299&amp;VAR:FREQ=DAILY&amp;VAR:RELITEM=&amp;VAR:CURRENCY=&amp;VAR:CURRSOURCE=EXSHARE&amp;","VAR:NATFREQ=QUARTERLY&amp;VAR:RFIELD=FINALIZED&amp;VAR:DB_TYPE=&amp;VAR:UNITS=M&amp;window=popup&amp;width=450&amp;height=300&amp;START_MAXIMIZED=FALSE"}</definedName>
    <definedName name="_1645__FDSAUDITLINK__" hidden="1">{"fdsup://IBCentral/FAT Viewer?action=UPDATE&amp;creator=factset&amp;DOC_NAME=fat:reuters_qtrly_source_window.fat&amp;display_string=Audit&amp;DYN_ARGS=TRUE&amp;VAR:ID1=71657810&amp;VAR:RCODE=LTLL&amp;VAR:SDATE=20081299&amp;VAR:FREQ=DAILY&amp;VAR:RELITEM=&amp;VAR:CURRENCY=&amp;VAR:CURRSOURCE=EXSHARE&amp;","VAR:NATFREQ=QUARTERLY&amp;VAR:RFIELD=FINALIZED&amp;VAR:DB_TYPE=&amp;VAR:UNITS=M&amp;window=popup&amp;width=450&amp;height=300&amp;START_MAXIMIZED=FALSE"}</definedName>
    <definedName name="_1646__FDSAUDITLINK__" hidden="1">{"fdsup://IBCentral/FAT Viewer?action=UPDATE&amp;creator=factset&amp;DOC_NAME=fat:reuters_qtrly_source_window.fat&amp;display_string=Audit&amp;DYN_ARGS=TRUE&amp;VAR:ID1=71657810&amp;VAR:RCODE=LTCL&amp;VAR:SDATE=20081299&amp;VAR:FREQ=DAILY&amp;VAR:RELITEM=&amp;VAR:CURRENCY=&amp;VAR:CURRSOURCE=EXSHARE&amp;","VAR:NATFREQ=QUARTERLY&amp;VAR:RFIELD=FINALIZED&amp;VAR:DB_TYPE=&amp;VAR:UNITS=M&amp;window=popup&amp;width=450&amp;height=300&amp;START_MAXIMIZED=FALSE"}</definedName>
    <definedName name="_1647__FDSAUDITLINK__" hidden="1">{"fdsup://IBCentral/FAT Viewer?action=UPDATE&amp;creator=factset&amp;DOC_NAME=fat:reuters_qtrly_source_window.fat&amp;display_string=Audit&amp;DYN_ARGS=TRUE&amp;VAR:ID1=71657810&amp;VAR:RCODE=ATCA&amp;VAR:SDATE=20081299&amp;VAR:FREQ=DAILY&amp;VAR:RELITEM=&amp;VAR:CURRENCY=&amp;VAR:CURRSOURCE=EXSHARE&amp;","VAR:NATFREQ=QUARTERLY&amp;VAR:RFIELD=FINALIZED&amp;VAR:DB_TYPE=&amp;VAR:UNITS=M&amp;window=popup&amp;width=450&amp;height=300&amp;START_MAXIMIZED=FALSE"}</definedName>
    <definedName name="_1648__FDSAUDITLINK__" hidden="1">{"fdsup://IBCentral/FAT Viewer?action=UPDATE&amp;creator=factset&amp;DOC_NAME=fat:reuters_qtrly_source_window.fat&amp;display_string=Audit&amp;DYN_ARGS=TRUE&amp;VAR:ID1=71657810&amp;VAR:RCODE=ATOT&amp;VAR:SDATE=20081299&amp;VAR:FREQ=DAILY&amp;VAR:RELITEM=&amp;VAR:CURRENCY=&amp;VAR:CURRSOURCE=EXSHARE&amp;","VAR:NATFREQ=QUARTERLY&amp;VAR:RFIELD=FINALIZED&amp;VAR:DB_TYPE=&amp;VAR:UNITS=M&amp;window=popup&amp;width=450&amp;height=300&amp;START_MAXIMIZED=FALSE"}</definedName>
    <definedName name="_1649__FDSAUDITLINK__" hidden="1">{"fdsup://IBCentral/FAT Viewer?action=UPDATE&amp;creator=factset&amp;DOC_NAME=fat:reuters_qtrly_source_window.fat&amp;display_string=Audit&amp;DYN_ARGS=TRUE&amp;VAR:ID1=71649510&amp;VAR:RCODE=LTLL&amp;VAR:SDATE=20081299&amp;VAR:FREQ=DAILY&amp;VAR:RELITEM=&amp;VAR:CURRENCY=&amp;VAR:CURRSOURCE=EXSHARE&amp;","VAR:NATFREQ=QUARTERLY&amp;VAR:RFIELD=FINALIZED&amp;VAR:DB_TYPE=&amp;VAR:UNITS=M&amp;window=popup&amp;width=450&amp;height=300&amp;START_MAXIMIZED=FALSE"}</definedName>
    <definedName name="_165__FDSAUDITLINK__" hidden="1">{"fdsup://Directions/FactSet Auditing Viewer?action=AUDIT_VALUE&amp;DB=129&amp;ID1=22836810&amp;VALUEID=02999&amp;SDATE=201001&amp;PERIODTYPE=QTR_STD&amp;window=popup_no_bar&amp;width=385&amp;height=120&amp;START_MAXIMIZED=FALSE&amp;creator=factset&amp;display_string=Audit"}</definedName>
    <definedName name="_1650__FDSAUDITLINK__" hidden="1">{"fdsup://IBCentral/FAT Viewer?action=UPDATE&amp;creator=factset&amp;DOC_NAME=fat:reuters_qtrly_source_window.fat&amp;display_string=Audit&amp;DYN_ARGS=TRUE&amp;VAR:ID1=71649510&amp;VAR:RCODE=LTCL&amp;VAR:SDATE=20081299&amp;VAR:FREQ=DAILY&amp;VAR:RELITEM=&amp;VAR:CURRENCY=&amp;VAR:CURRSOURCE=EXSHARE&amp;","VAR:NATFREQ=QUARTERLY&amp;VAR:RFIELD=FINALIZED&amp;VAR:DB_TYPE=&amp;VAR:UNITS=M&amp;window=popup&amp;width=450&amp;height=300&amp;START_MAXIMIZED=FALSE"}</definedName>
    <definedName name="_1651__FDSAUDITLINK__" hidden="1">{"fdsup://IBCentral/FAT Viewer?action=UPDATE&amp;creator=factset&amp;DOC_NAME=fat:reuters_qtrly_source_window.fat&amp;display_string=Audit&amp;DYN_ARGS=TRUE&amp;VAR:ID1=71649510&amp;VAR:RCODE=ATCA&amp;VAR:SDATE=20081299&amp;VAR:FREQ=DAILY&amp;VAR:RELITEM=&amp;VAR:CURRENCY=&amp;VAR:CURRSOURCE=EXSHARE&amp;","VAR:NATFREQ=QUARTERLY&amp;VAR:RFIELD=FINALIZED&amp;VAR:DB_TYPE=&amp;VAR:UNITS=M&amp;window=popup&amp;width=450&amp;height=300&amp;START_MAXIMIZED=FALSE"}</definedName>
    <definedName name="_1652__FDSAUDITLINK__" hidden="1">{"fdsup://IBCentral/FAT Viewer?action=UPDATE&amp;creator=factset&amp;DOC_NAME=fat:reuters_qtrly_source_window.fat&amp;display_string=Audit&amp;DYN_ARGS=TRUE&amp;VAR:ID1=71649510&amp;VAR:RCODE=ATOT&amp;VAR:SDATE=20081299&amp;VAR:FREQ=DAILY&amp;VAR:RELITEM=&amp;VAR:CURRENCY=&amp;VAR:CURRSOURCE=EXSHARE&amp;","VAR:NATFREQ=QUARTERLY&amp;VAR:RFIELD=FINALIZED&amp;VAR:DB_TYPE=&amp;VAR:UNITS=M&amp;window=popup&amp;width=450&amp;height=300&amp;START_MAXIMIZED=FALSE"}</definedName>
    <definedName name="_1653__FDSAUDITLINK__" hidden="1">{"fdsup://IBCentral/FAT Viewer?action=UPDATE&amp;creator=factset&amp;DOC_NAME=fat:reuters_qtrly_source_window.fat&amp;display_string=Audit&amp;DYN_ARGS=TRUE&amp;VAR:ID1=71327810&amp;VAR:RCODE=LTLL&amp;VAR:SDATE=20081099&amp;VAR:FREQ=DAILY&amp;VAR:RELITEM=&amp;VAR:CURRENCY=&amp;VAR:CURRSOURCE=EXSHARE&amp;","VAR:NATFREQ=QUARTERLY&amp;VAR:RFIELD=FINALIZED&amp;VAR:DB_TYPE=&amp;VAR:UNITS=M&amp;window=popup&amp;width=450&amp;height=300&amp;START_MAXIMIZED=FALSE"}</definedName>
    <definedName name="_1654__FDSAUDITLINK__" hidden="1">{"fdsup://IBCentral/FAT Viewer?action=UPDATE&amp;creator=factset&amp;DOC_NAME=fat:reuters_qtrly_source_window.fat&amp;display_string=Audit&amp;DYN_ARGS=TRUE&amp;VAR:ID1=71327810&amp;VAR:RCODE=LTCL&amp;VAR:SDATE=20081099&amp;VAR:FREQ=DAILY&amp;VAR:RELITEM=&amp;VAR:CURRENCY=&amp;VAR:CURRSOURCE=EXSHARE&amp;","VAR:NATFREQ=QUARTERLY&amp;VAR:RFIELD=FINALIZED&amp;VAR:DB_TYPE=&amp;VAR:UNITS=M&amp;window=popup&amp;width=450&amp;height=300&amp;START_MAXIMIZED=FALSE"}</definedName>
    <definedName name="_1655__FDSAUDITLINK__" hidden="1">{"fdsup://IBCentral/FAT Viewer?action=UPDATE&amp;creator=factset&amp;DOC_NAME=fat:reuters_qtrly_source_window.fat&amp;display_string=Audit&amp;DYN_ARGS=TRUE&amp;VAR:ID1=71327810&amp;VAR:RCODE=ATCA&amp;VAR:SDATE=20081099&amp;VAR:FREQ=DAILY&amp;VAR:RELITEM=&amp;VAR:CURRENCY=&amp;VAR:CURRSOURCE=EXSHARE&amp;","VAR:NATFREQ=QUARTERLY&amp;VAR:RFIELD=FINALIZED&amp;VAR:DB_TYPE=&amp;VAR:UNITS=M&amp;window=popup&amp;width=450&amp;height=300&amp;START_MAXIMIZED=FALSE"}</definedName>
    <definedName name="_1656__FDSAUDITLINK__" hidden="1">{"fdsup://IBCentral/FAT Viewer?action=UPDATE&amp;creator=factset&amp;DOC_NAME=fat:reuters_qtrly_source_window.fat&amp;display_string=Audit&amp;DYN_ARGS=TRUE&amp;VAR:ID1=71327810&amp;VAR:RCODE=ATOT&amp;VAR:SDATE=20081099&amp;VAR:FREQ=DAILY&amp;VAR:RELITEM=&amp;VAR:CURRENCY=&amp;VAR:CURRSOURCE=EXSHARE&amp;","VAR:NATFREQ=QUARTERLY&amp;VAR:RFIELD=FINALIZED&amp;VAR:DB_TYPE=&amp;VAR:UNITS=M&amp;window=popup&amp;width=450&amp;height=300&amp;START_MAXIMIZED=FALSE"}</definedName>
    <definedName name="_1657__FDSAUDITLINK__" hidden="1">{"fdsup://IBCentral/FAT Viewer?action=UPDATE&amp;creator=factset&amp;DOC_NAME=fat:reuters_qtrly_source_window.fat&amp;display_string=Audit&amp;DYN_ARGS=TRUE&amp;VAR:ID1=69865710&amp;VAR:RCODE=LTLL&amp;VAR:SDATE=20081299&amp;VAR:FREQ=DAILY&amp;VAR:RELITEM=&amp;VAR:CURRENCY=&amp;VAR:CURRSOURCE=EXSHARE&amp;","VAR:NATFREQ=QUARTERLY&amp;VAR:RFIELD=FINALIZED&amp;VAR:DB_TYPE=&amp;VAR:UNITS=M&amp;window=popup&amp;width=450&amp;height=300&amp;START_MAXIMIZED=FALSE"}</definedName>
    <definedName name="_1658__FDSAUDITLINK__" hidden="1">{"fdsup://IBCentral/FAT Viewer?action=UPDATE&amp;creator=factset&amp;DOC_NAME=fat:reuters_qtrly_source_window.fat&amp;display_string=Audit&amp;DYN_ARGS=TRUE&amp;VAR:ID1=69865710&amp;VAR:RCODE=LTCL&amp;VAR:SDATE=20081299&amp;VAR:FREQ=DAILY&amp;VAR:RELITEM=&amp;VAR:CURRENCY=&amp;VAR:CURRSOURCE=EXSHARE&amp;","VAR:NATFREQ=QUARTERLY&amp;VAR:RFIELD=FINALIZED&amp;VAR:DB_TYPE=&amp;VAR:UNITS=M&amp;window=popup&amp;width=450&amp;height=300&amp;START_MAXIMIZED=FALSE"}</definedName>
    <definedName name="_1659__FDSAUDITLINK__" hidden="1">{"fdsup://IBCentral/FAT Viewer?action=UPDATE&amp;creator=factset&amp;DOC_NAME=fat:reuters_qtrly_source_window.fat&amp;display_string=Audit&amp;DYN_ARGS=TRUE&amp;VAR:ID1=69865710&amp;VAR:RCODE=ATCA&amp;VAR:SDATE=20081299&amp;VAR:FREQ=DAILY&amp;VAR:RELITEM=&amp;VAR:CURRENCY=&amp;VAR:CURRSOURCE=EXSHARE&amp;","VAR:NATFREQ=QUARTERLY&amp;VAR:RFIELD=FINALIZED&amp;VAR:DB_TYPE=&amp;VAR:UNITS=M&amp;window=popup&amp;width=450&amp;height=300&amp;START_MAXIMIZED=FALSE"}</definedName>
    <definedName name="_166__FDSAUDITLINK__" hidden="1">{"fdsup://Directions/FactSet Auditing Viewer?action=AUDIT_VALUE&amp;DB=129&amp;ID1=12640810&amp;VALUEID=02999&amp;SDATE=201001&amp;PERIODTYPE=QTR_STD&amp;window=popup_no_bar&amp;width=385&amp;height=120&amp;START_MAXIMIZED=FALSE&amp;creator=factset&amp;display_string=Audit"}</definedName>
    <definedName name="_1660__FDSAUDITLINK__" hidden="1">{"fdsup://IBCentral/FAT Viewer?action=UPDATE&amp;creator=factset&amp;DOC_NAME=fat:reuters_qtrly_source_window.fat&amp;display_string=Audit&amp;DYN_ARGS=TRUE&amp;VAR:ID1=69865710&amp;VAR:RCODE=ATOT&amp;VAR:SDATE=20081299&amp;VAR:FREQ=DAILY&amp;VAR:RELITEM=&amp;VAR:CURRENCY=&amp;VAR:CURRSOURCE=EXSHARE&amp;","VAR:NATFREQ=QUARTERLY&amp;VAR:RFIELD=FINALIZED&amp;VAR:DB_TYPE=&amp;VAR:UNITS=M&amp;window=popup&amp;width=450&amp;height=300&amp;START_MAXIMIZED=FALSE"}</definedName>
    <definedName name="_1661__FDSAUDITLINK__" hidden="1">{"fdsup://IBCentral/FAT Viewer?action=UPDATE&amp;creator=factset&amp;DOC_NAME=fat:reuters_qtrly_source_window.fat&amp;display_string=Audit&amp;DYN_ARGS=TRUE&amp;VAR:ID1=68557K10&amp;VAR:RCODE=LTLL&amp;VAR:SDATE=20081299&amp;VAR:FREQ=DAILY&amp;VAR:RELITEM=&amp;VAR:CURRENCY=&amp;VAR:CURRSOURCE=EXSHARE&amp;","VAR:NATFREQ=QUARTERLY&amp;VAR:RFIELD=FINALIZED&amp;VAR:DB_TYPE=&amp;VAR:UNITS=M&amp;window=popup&amp;width=450&amp;height=300&amp;START_MAXIMIZED=FALSE"}</definedName>
    <definedName name="_1662__FDSAUDITLINK__" hidden="1">{"fdsup://IBCentral/FAT Viewer?action=UPDATE&amp;creator=factset&amp;DOC_NAME=fat:reuters_qtrly_source_window.fat&amp;display_string=Audit&amp;DYN_ARGS=TRUE&amp;VAR:ID1=68557K10&amp;VAR:RCODE=LTCL&amp;VAR:SDATE=20081299&amp;VAR:FREQ=DAILY&amp;VAR:RELITEM=&amp;VAR:CURRENCY=&amp;VAR:CURRSOURCE=EXSHARE&amp;","VAR:NATFREQ=QUARTERLY&amp;VAR:RFIELD=FINALIZED&amp;VAR:DB_TYPE=&amp;VAR:UNITS=M&amp;window=popup&amp;width=450&amp;height=300&amp;START_MAXIMIZED=FALSE"}</definedName>
    <definedName name="_1663__FDSAUDITLINK__" hidden="1">{"fdsup://IBCentral/FAT Viewer?action=UPDATE&amp;creator=factset&amp;DOC_NAME=fat:reuters_qtrly_source_window.fat&amp;display_string=Audit&amp;DYN_ARGS=TRUE&amp;VAR:ID1=68557K10&amp;VAR:RCODE=ATCA&amp;VAR:SDATE=20081299&amp;VAR:FREQ=DAILY&amp;VAR:RELITEM=&amp;VAR:CURRENCY=&amp;VAR:CURRSOURCE=EXSHARE&amp;","VAR:NATFREQ=QUARTERLY&amp;VAR:RFIELD=FINALIZED&amp;VAR:DB_TYPE=&amp;VAR:UNITS=M&amp;window=popup&amp;width=450&amp;height=300&amp;START_MAXIMIZED=FALSE"}</definedName>
    <definedName name="_1664__FDSAUDITLINK__" hidden="1">{"fdsup://IBCentral/FAT Viewer?action=UPDATE&amp;creator=factset&amp;DOC_NAME=fat:reuters_qtrly_source_window.fat&amp;display_string=Audit&amp;DYN_ARGS=TRUE&amp;VAR:ID1=68557K10&amp;VAR:RCODE=ATOT&amp;VAR:SDATE=20081299&amp;VAR:FREQ=DAILY&amp;VAR:RELITEM=&amp;VAR:CURRENCY=&amp;VAR:CURRSOURCE=EXSHARE&amp;","VAR:NATFREQ=QUARTERLY&amp;VAR:RFIELD=FINALIZED&amp;VAR:DB_TYPE=&amp;VAR:UNITS=M&amp;window=popup&amp;width=450&amp;height=300&amp;START_MAXIMIZED=FALSE"}</definedName>
    <definedName name="_1665__FDSAUDITLINK__" hidden="1">{"fdsup://IBCentral/FAT Viewer?action=UPDATE&amp;creator=factset&amp;DOC_NAME=fat:reuters_qtrly_source_window.fat&amp;display_string=Audit&amp;DYN_ARGS=TRUE&amp;VAR:ID1=68190410&amp;VAR:RCODE=LTLL&amp;VAR:SDATE=20081299&amp;VAR:FREQ=DAILY&amp;VAR:RELITEM=&amp;VAR:CURRENCY=&amp;VAR:CURRSOURCE=EXSHARE&amp;","VAR:NATFREQ=QUARTERLY&amp;VAR:RFIELD=FINALIZED&amp;VAR:DB_TYPE=&amp;VAR:UNITS=M&amp;window=popup&amp;width=450&amp;height=300&amp;START_MAXIMIZED=FALSE"}</definedName>
    <definedName name="_1666__FDSAUDITLINK__" hidden="1">{"fdsup://IBCentral/FAT Viewer?action=UPDATE&amp;creator=factset&amp;DOC_NAME=fat:reuters_qtrly_source_window.fat&amp;display_string=Audit&amp;DYN_ARGS=TRUE&amp;VAR:ID1=68190410&amp;VAR:RCODE=LTCL&amp;VAR:SDATE=20081299&amp;VAR:FREQ=DAILY&amp;VAR:RELITEM=&amp;VAR:CURRENCY=&amp;VAR:CURRSOURCE=EXSHARE&amp;","VAR:NATFREQ=QUARTERLY&amp;VAR:RFIELD=FINALIZED&amp;VAR:DB_TYPE=&amp;VAR:UNITS=M&amp;window=popup&amp;width=450&amp;height=300&amp;START_MAXIMIZED=FALSE"}</definedName>
    <definedName name="_1667__FDSAUDITLINK__" hidden="1">{"fdsup://IBCentral/FAT Viewer?action=UPDATE&amp;creator=factset&amp;DOC_NAME=fat:reuters_qtrly_source_window.fat&amp;display_string=Audit&amp;DYN_ARGS=TRUE&amp;VAR:ID1=68190410&amp;VAR:RCODE=ATCA&amp;VAR:SDATE=20081299&amp;VAR:FREQ=DAILY&amp;VAR:RELITEM=&amp;VAR:CURRENCY=&amp;VAR:CURRSOURCE=EXSHARE&amp;","VAR:NATFREQ=QUARTERLY&amp;VAR:RFIELD=FINALIZED&amp;VAR:DB_TYPE=&amp;VAR:UNITS=M&amp;window=popup&amp;width=450&amp;height=300&amp;START_MAXIMIZED=FALSE"}</definedName>
    <definedName name="_1668__FDSAUDITLINK__" hidden="1">{"fdsup://IBCentral/FAT Viewer?action=UPDATE&amp;creator=factset&amp;DOC_NAME=fat:reuters_qtrly_source_window.fat&amp;display_string=Audit&amp;DYN_ARGS=TRUE&amp;VAR:ID1=68190410&amp;VAR:RCODE=ATOT&amp;VAR:SDATE=20081299&amp;VAR:FREQ=DAILY&amp;VAR:RELITEM=&amp;VAR:CURRENCY=&amp;VAR:CURRSOURCE=EXSHARE&amp;","VAR:NATFREQ=QUARTERLY&amp;VAR:RFIELD=FINALIZED&amp;VAR:DB_TYPE=&amp;VAR:UNITS=M&amp;window=popup&amp;width=450&amp;height=300&amp;START_MAXIMIZED=FALSE"}</definedName>
    <definedName name="_1669__FDSAUDITLINK__" hidden="1">{"fdsup://IBCentral/FAT Viewer?action=UPDATE&amp;creator=factset&amp;DOC_NAME=fat:reuters_qtrly_source_window.fat&amp;display_string=Audit&amp;DYN_ARGS=TRUE&amp;VAR:ID1=67082310&amp;VAR:RCODE=LTLL&amp;VAR:SDATE=20081299&amp;VAR:FREQ=DAILY&amp;VAR:RELITEM=&amp;VAR:CURRENCY=&amp;VAR:CURRSOURCE=EXSHARE&amp;","VAR:NATFREQ=QUARTERLY&amp;VAR:RFIELD=FINALIZED&amp;VAR:DB_TYPE=&amp;VAR:UNITS=M&amp;window=popup&amp;width=450&amp;height=300&amp;START_MAXIMIZED=FALSE"}</definedName>
    <definedName name="_167__FDSAUDITLINK__" hidden="1">{"fdsup://Directions/FactSet Auditing Viewer?action=AUDIT_VALUE&amp;DB=129&amp;ID1=23102110&amp;VALUEID=02999&amp;SDATE=201001&amp;PERIODTYPE=QTR_STD&amp;window=popup_no_bar&amp;width=385&amp;height=120&amp;START_MAXIMIZED=FALSE&amp;creator=factset&amp;display_string=Audit"}</definedName>
    <definedName name="_1670__FDSAUDITLINK__" hidden="1">{"fdsup://IBCentral/FAT Viewer?action=UPDATE&amp;creator=factset&amp;DOC_NAME=fat:reuters_qtrly_source_window.fat&amp;display_string=Audit&amp;DYN_ARGS=TRUE&amp;VAR:ID1=67082310&amp;VAR:RCODE=LTCL&amp;VAR:SDATE=20081299&amp;VAR:FREQ=DAILY&amp;VAR:RELITEM=&amp;VAR:CURRENCY=&amp;VAR:CURRSOURCE=EXSHARE&amp;","VAR:NATFREQ=QUARTERLY&amp;VAR:RFIELD=FINALIZED&amp;VAR:DB_TYPE=&amp;VAR:UNITS=M&amp;window=popup&amp;width=450&amp;height=300&amp;START_MAXIMIZED=FALSE"}</definedName>
    <definedName name="_1671__FDSAUDITLINK__" hidden="1">{"fdsup://IBCentral/FAT Viewer?action=UPDATE&amp;creator=factset&amp;DOC_NAME=fat:reuters_qtrly_source_window.fat&amp;display_string=Audit&amp;DYN_ARGS=TRUE&amp;VAR:ID1=67082310&amp;VAR:RCODE=ATCA&amp;VAR:SDATE=20081299&amp;VAR:FREQ=DAILY&amp;VAR:RELITEM=&amp;VAR:CURRENCY=&amp;VAR:CURRSOURCE=EXSHARE&amp;","VAR:NATFREQ=QUARTERLY&amp;VAR:RFIELD=FINALIZED&amp;VAR:DB_TYPE=&amp;VAR:UNITS=M&amp;window=popup&amp;width=450&amp;height=300&amp;START_MAXIMIZED=FALSE"}</definedName>
    <definedName name="_1672__FDSAUDITLINK__" hidden="1">{"fdsup://IBCentral/FAT Viewer?action=UPDATE&amp;creator=factset&amp;DOC_NAME=fat:reuters_qtrly_source_window.fat&amp;display_string=Audit&amp;DYN_ARGS=TRUE&amp;VAR:ID1=67082310&amp;VAR:RCODE=ATOT&amp;VAR:SDATE=20081299&amp;VAR:FREQ=DAILY&amp;VAR:RELITEM=&amp;VAR:CURRENCY=&amp;VAR:CURRSOURCE=EXSHARE&amp;","VAR:NATFREQ=QUARTERLY&amp;VAR:RFIELD=FINALIZED&amp;VAR:DB_TYPE=&amp;VAR:UNITS=M&amp;window=popup&amp;width=450&amp;height=300&amp;START_MAXIMIZED=FALSE"}</definedName>
    <definedName name="_1673__FDSAUDITLINK__" hidden="1">{"fdsup://IBCentral/FAT Viewer?action=UPDATE&amp;creator=factset&amp;DOC_NAME=fat:reuters_qtrly_source_window.fat&amp;display_string=Audit&amp;DYN_ARGS=TRUE&amp;VAR:ID1=63115810&amp;VAR:RCODE=LTLL&amp;VAR:SDATE=20081299&amp;VAR:FREQ=DAILY&amp;VAR:RELITEM=&amp;VAR:CURRENCY=&amp;VAR:CURRSOURCE=EXSHARE&amp;","VAR:NATFREQ=QUARTERLY&amp;VAR:RFIELD=FINALIZED&amp;VAR:DB_TYPE=&amp;VAR:UNITS=M&amp;window=popup&amp;width=450&amp;height=300&amp;START_MAXIMIZED=FALSE"}</definedName>
    <definedName name="_1674__FDSAUDITLINK__" hidden="1">{"fdsup://IBCentral/FAT Viewer?action=UPDATE&amp;creator=factset&amp;DOC_NAME=fat:reuters_qtrly_source_window.fat&amp;display_string=Audit&amp;DYN_ARGS=TRUE&amp;VAR:ID1=63115810&amp;VAR:RCODE=LTCL&amp;VAR:SDATE=20081299&amp;VAR:FREQ=DAILY&amp;VAR:RELITEM=&amp;VAR:CURRENCY=&amp;VAR:CURRSOURCE=EXSHARE&amp;","VAR:NATFREQ=QUARTERLY&amp;VAR:RFIELD=FINALIZED&amp;VAR:DB_TYPE=&amp;VAR:UNITS=M&amp;window=popup&amp;width=450&amp;height=300&amp;START_MAXIMIZED=FALSE"}</definedName>
    <definedName name="_1675__FDSAUDITLINK__" hidden="1">{"fdsup://IBCentral/FAT Viewer?action=UPDATE&amp;creator=factset&amp;DOC_NAME=fat:reuters_qtrly_source_window.fat&amp;display_string=Audit&amp;DYN_ARGS=TRUE&amp;VAR:ID1=63115810&amp;VAR:RCODE=ATCA&amp;VAR:SDATE=20081299&amp;VAR:FREQ=DAILY&amp;VAR:RELITEM=&amp;VAR:CURRENCY=&amp;VAR:CURRSOURCE=EXSHARE&amp;","VAR:NATFREQ=QUARTERLY&amp;VAR:RFIELD=FINALIZED&amp;VAR:DB_TYPE=&amp;VAR:UNITS=M&amp;window=popup&amp;width=450&amp;height=300&amp;START_MAXIMIZED=FALSE"}</definedName>
    <definedName name="_1676__FDSAUDITLINK__" hidden="1">{"fdsup://IBCentral/FAT Viewer?action=UPDATE&amp;creator=factset&amp;DOC_NAME=fat:reuters_qtrly_source_window.fat&amp;display_string=Audit&amp;DYN_ARGS=TRUE&amp;VAR:ID1=63115810&amp;VAR:RCODE=ATOT&amp;VAR:SDATE=20081299&amp;VAR:FREQ=DAILY&amp;VAR:RELITEM=&amp;VAR:CURRENCY=&amp;VAR:CURRSOURCE=EXSHARE&amp;","VAR:NATFREQ=QUARTERLY&amp;VAR:RFIELD=FINALIZED&amp;VAR:DB_TYPE=&amp;VAR:UNITS=M&amp;window=popup&amp;width=450&amp;height=300&amp;START_MAXIMIZED=FALSE"}</definedName>
    <definedName name="_1677__FDSAUDITLINK__" hidden="1">{"fdsup://IBCentral/FAT Viewer?action=UPDATE&amp;creator=factset&amp;DOC_NAME=fat:reuters_qtrly_source_window.fat&amp;display_string=Audit&amp;DYN_ARGS=TRUE&amp;VAR:ID1=62475810&amp;VAR:RCODE=LTLL&amp;VAR:SDATE=20081299&amp;VAR:FREQ=DAILY&amp;VAR:RELITEM=&amp;VAR:CURRENCY=&amp;VAR:CURRSOURCE=EXSHARE&amp;","VAR:NATFREQ=QUARTERLY&amp;VAR:RFIELD=FINALIZED&amp;VAR:DB_TYPE=&amp;VAR:UNITS=M&amp;window=popup&amp;width=450&amp;height=300&amp;START_MAXIMIZED=FALSE"}</definedName>
    <definedName name="_1678__FDSAUDITLINK__" hidden="1">{"fdsup://IBCentral/FAT Viewer?action=UPDATE&amp;creator=factset&amp;DOC_NAME=fat:reuters_qtrly_source_window.fat&amp;display_string=Audit&amp;DYN_ARGS=TRUE&amp;VAR:ID1=62475810&amp;VAR:RCODE=LTCL&amp;VAR:SDATE=20081299&amp;VAR:FREQ=DAILY&amp;VAR:RELITEM=&amp;VAR:CURRENCY=&amp;VAR:CURRSOURCE=EXSHARE&amp;","VAR:NATFREQ=QUARTERLY&amp;VAR:RFIELD=FINALIZED&amp;VAR:DB_TYPE=&amp;VAR:UNITS=M&amp;window=popup&amp;width=450&amp;height=300&amp;START_MAXIMIZED=FALSE"}</definedName>
    <definedName name="_1679__FDSAUDITLINK__" hidden="1">{"fdsup://IBCentral/FAT Viewer?action=UPDATE&amp;creator=factset&amp;DOC_NAME=fat:reuters_qtrly_source_window.fat&amp;display_string=Audit&amp;DYN_ARGS=TRUE&amp;VAR:ID1=62475810&amp;VAR:RCODE=ATCA&amp;VAR:SDATE=20081299&amp;VAR:FREQ=DAILY&amp;VAR:RELITEM=&amp;VAR:CURRENCY=&amp;VAR:CURRSOURCE=EXSHARE&amp;","VAR:NATFREQ=QUARTERLY&amp;VAR:RFIELD=FINALIZED&amp;VAR:DB_TYPE=&amp;VAR:UNITS=M&amp;window=popup&amp;width=450&amp;height=300&amp;START_MAXIMIZED=FALSE"}</definedName>
    <definedName name="_168__FDSAUDITLINK__" hidden="1">{"fdsup://Directions/FactSet Auditing Viewer?action=AUDIT_VALUE&amp;DB=129&amp;ID1=23108210&amp;VALUEID=02999&amp;SDATE=201001&amp;PERIODTYPE=QTR_STD&amp;window=popup_no_bar&amp;width=385&amp;height=120&amp;START_MAXIMIZED=FALSE&amp;creator=factset&amp;display_string=Audit"}</definedName>
    <definedName name="_1680__FDSAUDITLINK__" hidden="1">{"fdsup://IBCentral/FAT Viewer?action=UPDATE&amp;creator=factset&amp;DOC_NAME=fat:reuters_qtrly_source_window.fat&amp;display_string=Audit&amp;DYN_ARGS=TRUE&amp;VAR:ID1=62475810&amp;VAR:RCODE=ATOT&amp;VAR:SDATE=20081299&amp;VAR:FREQ=DAILY&amp;VAR:RELITEM=&amp;VAR:CURRENCY=&amp;VAR:CURRSOURCE=EXSHARE&amp;","VAR:NATFREQ=QUARTERLY&amp;VAR:RFIELD=FINALIZED&amp;VAR:DB_TYPE=&amp;VAR:UNITS=M&amp;window=popup&amp;width=450&amp;height=300&amp;START_MAXIMIZED=FALSE"}</definedName>
    <definedName name="_1681__FDSAUDITLINK__" hidden="1">{"fdsup://IBCentral/FAT Viewer?action=UPDATE&amp;creator=factset&amp;DOC_NAME=fat:reuters_qtrly_source_window.fat&amp;display_string=Audit&amp;DYN_ARGS=TRUE&amp;VAR:ID1=57948910&amp;VAR:RCODE=LTLL&amp;VAR:SDATE=20081299&amp;VAR:FREQ=DAILY&amp;VAR:RELITEM=&amp;VAR:CURRENCY=&amp;VAR:CURRSOURCE=EXSHARE&amp;","VAR:NATFREQ=QUARTERLY&amp;VAR:RFIELD=FINALIZED&amp;VAR:DB_TYPE=&amp;VAR:UNITS=M&amp;window=popup&amp;width=450&amp;height=300&amp;START_MAXIMIZED=FALSE"}</definedName>
    <definedName name="_1682__FDSAUDITLINK__" hidden="1">{"fdsup://IBCentral/FAT Viewer?action=UPDATE&amp;creator=factset&amp;DOC_NAME=fat:reuters_qtrly_source_window.fat&amp;display_string=Audit&amp;DYN_ARGS=TRUE&amp;VAR:ID1=57948910&amp;VAR:RCODE=LTCL&amp;VAR:SDATE=20081299&amp;VAR:FREQ=DAILY&amp;VAR:RELITEM=&amp;VAR:CURRENCY=&amp;VAR:CURRSOURCE=EXSHARE&amp;","VAR:NATFREQ=QUARTERLY&amp;VAR:RFIELD=FINALIZED&amp;VAR:DB_TYPE=&amp;VAR:UNITS=M&amp;window=popup&amp;width=450&amp;height=300&amp;START_MAXIMIZED=FALSE"}</definedName>
    <definedName name="_1683__FDSAUDITLINK__" hidden="1">{"fdsup://IBCentral/FAT Viewer?action=UPDATE&amp;creator=factset&amp;DOC_NAME=fat:reuters_qtrly_source_window.fat&amp;display_string=Audit&amp;DYN_ARGS=TRUE&amp;VAR:ID1=57948910&amp;VAR:RCODE=ATCA&amp;VAR:SDATE=20081299&amp;VAR:FREQ=DAILY&amp;VAR:RELITEM=&amp;VAR:CURRENCY=&amp;VAR:CURRSOURCE=EXSHARE&amp;","VAR:NATFREQ=QUARTERLY&amp;VAR:RFIELD=FINALIZED&amp;VAR:DB_TYPE=&amp;VAR:UNITS=M&amp;window=popup&amp;width=450&amp;height=300&amp;START_MAXIMIZED=FALSE"}</definedName>
    <definedName name="_1684__FDSAUDITLINK__" hidden="1">{"fdsup://IBCentral/FAT Viewer?action=UPDATE&amp;creator=factset&amp;DOC_NAME=fat:reuters_qtrly_source_window.fat&amp;display_string=Audit&amp;DYN_ARGS=TRUE&amp;VAR:ID1=57948910&amp;VAR:RCODE=ATOT&amp;VAR:SDATE=20081299&amp;VAR:FREQ=DAILY&amp;VAR:RELITEM=&amp;VAR:CURRENCY=&amp;VAR:CURRSOURCE=EXSHARE&amp;","VAR:NATFREQ=QUARTERLY&amp;VAR:RFIELD=FINALIZED&amp;VAR:DB_TYPE=&amp;VAR:UNITS=M&amp;window=popup&amp;width=450&amp;height=300&amp;START_MAXIMIZED=FALSE"}</definedName>
    <definedName name="_1685__FDSAUDITLINK__" hidden="1">{"fdsup://IBCentral/FAT Viewer?action=UPDATE&amp;creator=factset&amp;DOC_NAME=fat:reuters_qtrly_source_window.fat&amp;display_string=Audit&amp;DYN_ARGS=TRUE&amp;VAR:ID1=53277410&amp;VAR:RCODE=LTLL&amp;VAR:SDATE=20081299&amp;VAR:FREQ=DAILY&amp;VAR:RELITEM=&amp;VAR:CURRENCY=&amp;VAR:CURRSOURCE=EXSHARE&amp;","VAR:NATFREQ=QUARTERLY&amp;VAR:RFIELD=FINALIZED&amp;VAR:DB_TYPE=&amp;VAR:UNITS=M&amp;window=popup&amp;width=450&amp;height=300&amp;START_MAXIMIZED=FALSE"}</definedName>
    <definedName name="_1686__FDSAUDITLINK__" hidden="1">{"fdsup://IBCentral/FAT Viewer?action=UPDATE&amp;creator=factset&amp;DOC_NAME=fat:reuters_qtrly_source_window.fat&amp;display_string=Audit&amp;DYN_ARGS=TRUE&amp;VAR:ID1=53277410&amp;VAR:RCODE=LTCL&amp;VAR:SDATE=20081299&amp;VAR:FREQ=DAILY&amp;VAR:RELITEM=&amp;VAR:CURRENCY=&amp;VAR:CURRSOURCE=EXSHARE&amp;","VAR:NATFREQ=QUARTERLY&amp;VAR:RFIELD=FINALIZED&amp;VAR:DB_TYPE=&amp;VAR:UNITS=M&amp;window=popup&amp;width=450&amp;height=300&amp;START_MAXIMIZED=FALSE"}</definedName>
    <definedName name="_1687__FDSAUDITLINK__" hidden="1">{"fdsup://IBCentral/FAT Viewer?action=UPDATE&amp;creator=factset&amp;DOC_NAME=fat:reuters_qtrly_source_window.fat&amp;display_string=Audit&amp;DYN_ARGS=TRUE&amp;VAR:ID1=53277410&amp;VAR:RCODE=ATCA&amp;VAR:SDATE=20081299&amp;VAR:FREQ=DAILY&amp;VAR:RELITEM=&amp;VAR:CURRENCY=&amp;VAR:CURRSOURCE=EXSHARE&amp;","VAR:NATFREQ=QUARTERLY&amp;VAR:RFIELD=FINALIZED&amp;VAR:DB_TYPE=&amp;VAR:UNITS=M&amp;window=popup&amp;width=450&amp;height=300&amp;START_MAXIMIZED=FALSE"}</definedName>
    <definedName name="_1688__FDSAUDITLINK__" hidden="1">{"fdsup://IBCentral/FAT Viewer?action=UPDATE&amp;creator=factset&amp;DOC_NAME=fat:reuters_qtrly_source_window.fat&amp;display_string=Audit&amp;DYN_ARGS=TRUE&amp;VAR:ID1=53277410&amp;VAR:RCODE=ATOT&amp;VAR:SDATE=20081299&amp;VAR:FREQ=DAILY&amp;VAR:RELITEM=&amp;VAR:CURRENCY=&amp;VAR:CURRSOURCE=EXSHARE&amp;","VAR:NATFREQ=QUARTERLY&amp;VAR:RFIELD=FINALIZED&amp;VAR:DB_TYPE=&amp;VAR:UNITS=M&amp;window=popup&amp;width=450&amp;height=300&amp;START_MAXIMIZED=FALSE"}</definedName>
    <definedName name="_1689__FDSAUDITLINK__" hidden="1">{"fdsup://IBCentral/FAT Viewer?action=UPDATE&amp;creator=factset&amp;DOC_NAME=fat:reuters_qtrly_source_window.fat&amp;display_string=Audit&amp;DYN_ARGS=TRUE&amp;VAR:ID1=52989810&amp;VAR:RCODE=LTLL&amp;VAR:SDATE=20081299&amp;VAR:FREQ=DAILY&amp;VAR:RELITEM=&amp;VAR:CURRENCY=&amp;VAR:CURRSOURCE=EXSHARE&amp;","VAR:NATFREQ=QUARTERLY&amp;VAR:RFIELD=FINALIZED&amp;VAR:DB_TYPE=&amp;VAR:UNITS=M&amp;window=popup&amp;width=450&amp;height=300&amp;START_MAXIMIZED=FALSE"}</definedName>
    <definedName name="_169__FDSAUDITLINK__" hidden="1">{"fdsup://Directions/FactSet Auditing Viewer?action=AUDIT_VALUE&amp;DB=129&amp;ID1=12665010&amp;VALUEID=02999&amp;SDATE=201001&amp;PERIODTYPE=QTR_STD&amp;window=popup_no_bar&amp;width=385&amp;height=120&amp;START_MAXIMIZED=FALSE&amp;creator=factset&amp;display_string=Audit"}</definedName>
    <definedName name="_1690__FDSAUDITLINK__" hidden="1">{"fdsup://IBCentral/FAT Viewer?action=UPDATE&amp;creator=factset&amp;DOC_NAME=fat:reuters_qtrly_source_window.fat&amp;display_string=Audit&amp;DYN_ARGS=TRUE&amp;VAR:ID1=52989810&amp;VAR:RCODE=LTCL&amp;VAR:SDATE=20081299&amp;VAR:FREQ=DAILY&amp;VAR:RELITEM=&amp;VAR:CURRENCY=&amp;VAR:CURRSOURCE=EXSHARE&amp;","VAR:NATFREQ=QUARTERLY&amp;VAR:RFIELD=FINALIZED&amp;VAR:DB_TYPE=&amp;VAR:UNITS=M&amp;window=popup&amp;width=450&amp;height=300&amp;START_MAXIMIZED=FALSE"}</definedName>
    <definedName name="_1691__FDSAUDITLINK__" hidden="1">{"fdsup://IBCentral/FAT Viewer?action=UPDATE&amp;creator=factset&amp;DOC_NAME=fat:reuters_qtrly_source_window.fat&amp;display_string=Audit&amp;DYN_ARGS=TRUE&amp;VAR:ID1=52989810&amp;VAR:RCODE=ATCA&amp;VAR:SDATE=20081299&amp;VAR:FREQ=DAILY&amp;VAR:RELITEM=&amp;VAR:CURRENCY=&amp;VAR:CURRSOURCE=EXSHARE&amp;","VAR:NATFREQ=QUARTERLY&amp;VAR:RFIELD=FINALIZED&amp;VAR:DB_TYPE=&amp;VAR:UNITS=M&amp;window=popup&amp;width=450&amp;height=300&amp;START_MAXIMIZED=FALSE"}</definedName>
    <definedName name="_1692__FDSAUDITLINK__" hidden="1">{"fdsup://IBCentral/FAT Viewer?action=UPDATE&amp;creator=factset&amp;DOC_NAME=fat:reuters_qtrly_source_window.fat&amp;display_string=Audit&amp;DYN_ARGS=TRUE&amp;VAR:ID1=52989810&amp;VAR:RCODE=ATOT&amp;VAR:SDATE=20081299&amp;VAR:FREQ=DAILY&amp;VAR:RELITEM=&amp;VAR:CURRENCY=&amp;VAR:CURRSOURCE=EXSHARE&amp;","VAR:NATFREQ=QUARTERLY&amp;VAR:RFIELD=FINALIZED&amp;VAR:DB_TYPE=&amp;VAR:UNITS=M&amp;window=popup&amp;width=450&amp;height=300&amp;START_MAXIMIZED=FALSE"}</definedName>
    <definedName name="_1693__FDSAUDITLINK__" hidden="1">{"fdsup://IBCentral/FAT Viewer?action=UPDATE&amp;creator=factset&amp;DOC_NAME=fat:reuters_qtrly_source_window.fat&amp;display_string=Audit&amp;DYN_ARGS=TRUE&amp;VAR:ID1=52186510&amp;VAR:RCODE=LTLL&amp;VAR:SDATE=20081299&amp;VAR:FREQ=DAILY&amp;VAR:RELITEM=&amp;VAR:CURRENCY=&amp;VAR:CURRSOURCE=EXSHARE&amp;","VAR:NATFREQ=QUARTERLY&amp;VAR:RFIELD=FINALIZED&amp;VAR:DB_TYPE=&amp;VAR:UNITS=M&amp;window=popup&amp;width=450&amp;height=300&amp;START_MAXIMIZED=FALSE"}</definedName>
    <definedName name="_1694__FDSAUDITLINK__" hidden="1">{"fdsup://IBCentral/FAT Viewer?action=UPDATE&amp;creator=factset&amp;DOC_NAME=fat:reuters_qtrly_source_window.fat&amp;display_string=Audit&amp;DYN_ARGS=TRUE&amp;VAR:ID1=52186510&amp;VAR:RCODE=LTCL&amp;VAR:SDATE=20081299&amp;VAR:FREQ=DAILY&amp;VAR:RELITEM=&amp;VAR:CURRENCY=&amp;VAR:CURRSOURCE=EXSHARE&amp;","VAR:NATFREQ=QUARTERLY&amp;VAR:RFIELD=FINALIZED&amp;VAR:DB_TYPE=&amp;VAR:UNITS=M&amp;window=popup&amp;width=450&amp;height=300&amp;START_MAXIMIZED=FALSE"}</definedName>
    <definedName name="_1695__FDSAUDITLINK__" hidden="1">{"fdsup://IBCentral/FAT Viewer?action=UPDATE&amp;creator=factset&amp;DOC_NAME=fat:reuters_qtrly_source_window.fat&amp;display_string=Audit&amp;DYN_ARGS=TRUE&amp;VAR:ID1=52186510&amp;VAR:RCODE=ATCA&amp;VAR:SDATE=20081299&amp;VAR:FREQ=DAILY&amp;VAR:RELITEM=&amp;VAR:CURRENCY=&amp;VAR:CURRSOURCE=EXSHARE&amp;","VAR:NATFREQ=QUARTERLY&amp;VAR:RFIELD=FINALIZED&amp;VAR:DB_TYPE=&amp;VAR:UNITS=M&amp;window=popup&amp;width=450&amp;height=300&amp;START_MAXIMIZED=FALSE"}</definedName>
    <definedName name="_1696__FDSAUDITLINK__" hidden="1">{"fdsup://IBCentral/FAT Viewer?action=UPDATE&amp;creator=factset&amp;DOC_NAME=fat:reuters_qtrly_source_window.fat&amp;display_string=Audit&amp;DYN_ARGS=TRUE&amp;VAR:ID1=52186510&amp;VAR:RCODE=ATOT&amp;VAR:SDATE=20081299&amp;VAR:FREQ=DAILY&amp;VAR:RELITEM=&amp;VAR:CURRENCY=&amp;VAR:CURRSOURCE=EXSHARE&amp;","VAR:NATFREQ=QUARTERLY&amp;VAR:RFIELD=FINALIZED&amp;VAR:DB_TYPE=&amp;VAR:UNITS=M&amp;window=popup&amp;width=450&amp;height=300&amp;START_MAXIMIZED=FALSE"}</definedName>
    <definedName name="_1697__FDSAUDITLINK__" hidden="1">{"fdsup://IBCentral/FAT Viewer?action=UPDATE&amp;creator=factset&amp;DOC_NAME=fat:reuters_qtrly_source_window.fat&amp;display_string=Audit&amp;DYN_ARGS=TRUE&amp;VAR:ID1=51783410&amp;VAR:RCODE=LTLL&amp;VAR:SDATE=20081299&amp;VAR:FREQ=DAILY&amp;VAR:RELITEM=&amp;VAR:CURRENCY=&amp;VAR:CURRSOURCE=EXSHARE&amp;","VAR:NATFREQ=QUARTERLY&amp;VAR:RFIELD=FINALIZED&amp;VAR:DB_TYPE=&amp;VAR:UNITS=M&amp;window=popup&amp;width=450&amp;height=300&amp;START_MAXIMIZED=FALSE"}</definedName>
    <definedName name="_1698__FDSAUDITLINK__" hidden="1">{"fdsup://IBCentral/FAT Viewer?action=UPDATE&amp;creator=factset&amp;DOC_NAME=fat:reuters_qtrly_source_window.fat&amp;display_string=Audit&amp;DYN_ARGS=TRUE&amp;VAR:ID1=51783410&amp;VAR:RCODE=LTCL&amp;VAR:SDATE=20081299&amp;VAR:FREQ=DAILY&amp;VAR:RELITEM=&amp;VAR:CURRENCY=&amp;VAR:CURRSOURCE=EXSHARE&amp;","VAR:NATFREQ=QUARTERLY&amp;VAR:RFIELD=FINALIZED&amp;VAR:DB_TYPE=&amp;VAR:UNITS=M&amp;window=popup&amp;width=450&amp;height=300&amp;START_MAXIMIZED=FALSE"}</definedName>
    <definedName name="_1699__FDSAUDITLINK__" hidden="1">{"fdsup://IBCentral/FAT Viewer?action=UPDATE&amp;creator=factset&amp;DOC_NAME=fat:reuters_qtrly_source_window.fat&amp;display_string=Audit&amp;DYN_ARGS=TRUE&amp;VAR:ID1=51783410&amp;VAR:RCODE=ATCA&amp;VAR:SDATE=20081299&amp;VAR:FREQ=DAILY&amp;VAR:RELITEM=&amp;VAR:CURRENCY=&amp;VAR:CURRSOURCE=EXSHARE&amp;","VAR:NATFREQ=QUARTERLY&amp;VAR:RFIELD=FINALIZED&amp;VAR:DB_TYPE=&amp;VAR:UNITS=M&amp;window=popup&amp;width=450&amp;height=300&amp;START_MAXIMIZED=FALSE"}</definedName>
    <definedName name="_16IQ_CURRENCY_GAIN_INS" hidden="1">"c238"</definedName>
    <definedName name="_17__FDSAUDITLINK__" hidden="1">{"fdsup://Directions/FactSet Auditing Viewer?action=AUDIT_VALUE&amp;DB=129&amp;ID1=00724F10&amp;VALUEID=02999&amp;SDATE=201002&amp;PERIODTYPE=QTR_STD&amp;window=popup_no_bar&amp;width=385&amp;height=120&amp;START_MAXIMIZED=FALSE&amp;creator=factset&amp;display_string=Audit"}</definedName>
    <definedName name="_170__FDSAUDITLINK__" hidden="1">{"fdsup://Directions/FactSet Auditing Viewer?action=AUDIT_VALUE&amp;DB=129&amp;ID1=23282010&amp;VALUEID=02999&amp;SDATE=201001&amp;PERIODTYPE=QTR_STD&amp;window=popup_no_bar&amp;width=385&amp;height=120&amp;START_MAXIMIZED=FALSE&amp;creator=factset&amp;display_string=Audit"}</definedName>
    <definedName name="_1700__FDSAUDITLINK__" hidden="1">{"fdsup://IBCentral/FAT Viewer?action=UPDATE&amp;creator=factset&amp;DOC_NAME=fat:reuters_qtrly_source_window.fat&amp;display_string=Audit&amp;DYN_ARGS=TRUE&amp;VAR:ID1=51783410&amp;VAR:RCODE=ATOT&amp;VAR:SDATE=20081299&amp;VAR:FREQ=DAILY&amp;VAR:RELITEM=&amp;VAR:CURRENCY=&amp;VAR:CURRSOURCE=EXSHARE&amp;","VAR:NATFREQ=QUARTERLY&amp;VAR:RFIELD=FINALIZED&amp;VAR:DB_TYPE=&amp;VAR:UNITS=M&amp;window=popup&amp;width=450&amp;height=300&amp;START_MAXIMIZED=FALSE"}</definedName>
    <definedName name="_1701__FDSAUDITLINK__" hidden="1">{"fdsup://IBCentral/FAT Viewer?action=UPDATE&amp;creator=factset&amp;DOC_NAME=fat:reuters_qtrly_source_window.fat&amp;display_string=Audit&amp;DYN_ARGS=TRUE&amp;VAR:ID1=50212A10&amp;VAR:RCODE=LTLL&amp;VAR:SDATE=20081299&amp;VAR:FREQ=DAILY&amp;VAR:RELITEM=&amp;VAR:CURRENCY=&amp;VAR:CURRSOURCE=EXSHARE&amp;","VAR:NATFREQ=QUARTERLY&amp;VAR:RFIELD=FINALIZED&amp;VAR:DB_TYPE=&amp;VAR:UNITS=M&amp;window=popup&amp;width=450&amp;height=300&amp;START_MAXIMIZED=FALSE"}</definedName>
    <definedName name="_1702__FDSAUDITLINK__" hidden="1">{"fdsup://IBCentral/FAT Viewer?action=UPDATE&amp;creator=factset&amp;DOC_NAME=fat:reuters_qtrly_source_window.fat&amp;display_string=Audit&amp;DYN_ARGS=TRUE&amp;VAR:ID1=50212A10&amp;VAR:RCODE=LTCL&amp;VAR:SDATE=20081299&amp;VAR:FREQ=DAILY&amp;VAR:RELITEM=&amp;VAR:CURRENCY=&amp;VAR:CURRSOURCE=EXSHARE&amp;","VAR:NATFREQ=QUARTERLY&amp;VAR:RFIELD=FINALIZED&amp;VAR:DB_TYPE=&amp;VAR:UNITS=M&amp;window=popup&amp;width=450&amp;height=300&amp;START_MAXIMIZED=FALSE"}</definedName>
    <definedName name="_1703__FDSAUDITLINK__" hidden="1">{"fdsup://IBCentral/FAT Viewer?action=UPDATE&amp;creator=factset&amp;DOC_NAME=fat:reuters_qtrly_source_window.fat&amp;display_string=Audit&amp;DYN_ARGS=TRUE&amp;VAR:ID1=50212A10&amp;VAR:RCODE=ATCA&amp;VAR:SDATE=20081299&amp;VAR:FREQ=DAILY&amp;VAR:RELITEM=&amp;VAR:CURRENCY=&amp;VAR:CURRSOURCE=EXSHARE&amp;","VAR:NATFREQ=QUARTERLY&amp;VAR:RFIELD=FINALIZED&amp;VAR:DB_TYPE=&amp;VAR:UNITS=M&amp;window=popup&amp;width=450&amp;height=300&amp;START_MAXIMIZED=FALSE"}</definedName>
    <definedName name="_1704__FDSAUDITLINK__" hidden="1">{"fdsup://IBCentral/FAT Viewer?action=UPDATE&amp;creator=factset&amp;DOC_NAME=fat:reuters_qtrly_source_window.fat&amp;display_string=Audit&amp;DYN_ARGS=TRUE&amp;VAR:ID1=50212A10&amp;VAR:RCODE=ATOT&amp;VAR:SDATE=20081299&amp;VAR:FREQ=DAILY&amp;VAR:RELITEM=&amp;VAR:CURRENCY=&amp;VAR:CURRSOURCE=EXSHARE&amp;","VAR:NATFREQ=QUARTERLY&amp;VAR:RFIELD=FINALIZED&amp;VAR:DB_TYPE=&amp;VAR:UNITS=M&amp;window=popup&amp;width=450&amp;height=300&amp;START_MAXIMIZED=FALSE"}</definedName>
    <definedName name="_1705__FDSAUDITLINK__" hidden="1">{"fdsup://IBCentral/FAT Viewer?action=UPDATE&amp;creator=factset&amp;DOC_NAME=fat:reuters_qtrly_source_window.fat&amp;display_string=Audit&amp;DYN_ARGS=TRUE&amp;VAR:ID1=49918380&amp;VAR:RCODE=LTLL&amp;VAR:SDATE=20081299&amp;VAR:FREQ=DAILY&amp;VAR:RELITEM=&amp;VAR:CURRENCY=&amp;VAR:CURRSOURCE=EXSHARE&amp;","VAR:NATFREQ=QUARTERLY&amp;VAR:RFIELD=FINALIZED&amp;VAR:DB_TYPE=&amp;VAR:UNITS=M&amp;window=popup&amp;width=450&amp;height=300&amp;START_MAXIMIZED=FALSE"}</definedName>
    <definedName name="_1706__FDSAUDITLINK__" hidden="1">{"fdsup://IBCentral/FAT Viewer?action=UPDATE&amp;creator=factset&amp;DOC_NAME=fat:reuters_qtrly_source_window.fat&amp;display_string=Audit&amp;DYN_ARGS=TRUE&amp;VAR:ID1=49918380&amp;VAR:RCODE=LTCL&amp;VAR:SDATE=20081299&amp;VAR:FREQ=DAILY&amp;VAR:RELITEM=&amp;VAR:CURRENCY=&amp;VAR:CURRSOURCE=EXSHARE&amp;","VAR:NATFREQ=QUARTERLY&amp;VAR:RFIELD=FINALIZED&amp;VAR:DB_TYPE=&amp;VAR:UNITS=M&amp;window=popup&amp;width=450&amp;height=300&amp;START_MAXIMIZED=FALSE"}</definedName>
    <definedName name="_1707__FDSAUDITLINK__" hidden="1">{"fdsup://IBCentral/FAT Viewer?action=UPDATE&amp;creator=factset&amp;DOC_NAME=fat:reuters_qtrly_source_window.fat&amp;display_string=Audit&amp;DYN_ARGS=TRUE&amp;VAR:ID1=49918380&amp;VAR:RCODE=ATCA&amp;VAR:SDATE=20081299&amp;VAR:FREQ=DAILY&amp;VAR:RELITEM=&amp;VAR:CURRENCY=&amp;VAR:CURRSOURCE=EXSHARE&amp;","VAR:NATFREQ=QUARTERLY&amp;VAR:RFIELD=FINALIZED&amp;VAR:DB_TYPE=&amp;VAR:UNITS=M&amp;window=popup&amp;width=450&amp;height=300&amp;START_MAXIMIZED=FALSE"}</definedName>
    <definedName name="_1708__FDSAUDITLINK__" hidden="1">{"fdsup://IBCentral/FAT Viewer?action=UPDATE&amp;creator=factset&amp;DOC_NAME=fat:reuters_qtrly_source_window.fat&amp;display_string=Audit&amp;DYN_ARGS=TRUE&amp;VAR:ID1=49918380&amp;VAR:RCODE=ATOT&amp;VAR:SDATE=20081299&amp;VAR:FREQ=DAILY&amp;VAR:RELITEM=&amp;VAR:CURRENCY=&amp;VAR:CURRSOURCE=EXSHARE&amp;","VAR:NATFREQ=QUARTERLY&amp;VAR:RFIELD=FINALIZED&amp;VAR:DB_TYPE=&amp;VAR:UNITS=M&amp;window=popup&amp;width=450&amp;height=300&amp;START_MAXIMIZED=FALSE"}</definedName>
    <definedName name="_1709__FDSAUDITLINK__" hidden="1">{"fdsup://IBCentral/FAT Viewer?action=UPDATE&amp;creator=factset&amp;DOC_NAME=fat:reuters_qtrly_source_window.fat&amp;display_string=Audit&amp;DYN_ARGS=TRUE&amp;VAR:ID1=47758P30&amp;VAR:RCODE=LTLL&amp;VAR:SDATE=20081099&amp;VAR:FREQ=DAILY&amp;VAR:RELITEM=&amp;VAR:CURRENCY=&amp;VAR:CURRSOURCE=EXSHARE&amp;","VAR:NATFREQ=QUARTERLY&amp;VAR:RFIELD=FINALIZED&amp;VAR:DB_TYPE=&amp;VAR:UNITS=M&amp;window=popup&amp;width=450&amp;height=300&amp;START_MAXIMIZED=FALSE"}</definedName>
    <definedName name="_171__FDSAUDITLINK__" hidden="1">{"fdsup://Directions/FactSet Auditing Viewer?action=AUDIT_VALUE&amp;DB=129&amp;ID1=23331A10&amp;VALUEID=02999&amp;SDATE=201002&amp;PERIODTYPE=QTR_STD&amp;window=popup_no_bar&amp;width=385&amp;height=120&amp;START_MAXIMIZED=FALSE&amp;creator=factset&amp;display_string=Audit"}</definedName>
    <definedName name="_1710__FDSAUDITLINK__" hidden="1">{"fdsup://IBCentral/FAT Viewer?action=UPDATE&amp;creator=factset&amp;DOC_NAME=fat:reuters_qtrly_source_window.fat&amp;display_string=Audit&amp;DYN_ARGS=TRUE&amp;VAR:ID1=47758P30&amp;VAR:RCODE=LTCL&amp;VAR:SDATE=20081099&amp;VAR:FREQ=DAILY&amp;VAR:RELITEM=&amp;VAR:CURRENCY=&amp;VAR:CURRSOURCE=EXSHARE&amp;","VAR:NATFREQ=QUARTERLY&amp;VAR:RFIELD=FINALIZED&amp;VAR:DB_TYPE=&amp;VAR:UNITS=M&amp;window=popup&amp;width=450&amp;height=300&amp;START_MAXIMIZED=FALSE"}</definedName>
    <definedName name="_1711__FDSAUDITLINK__" hidden="1">{"fdsup://IBCentral/FAT Viewer?action=UPDATE&amp;creator=factset&amp;DOC_NAME=fat:reuters_qtrly_source_window.fat&amp;display_string=Audit&amp;DYN_ARGS=TRUE&amp;VAR:ID1=47758P30&amp;VAR:RCODE=ATCA&amp;VAR:SDATE=20081099&amp;VAR:FREQ=DAILY&amp;VAR:RELITEM=&amp;VAR:CURRENCY=&amp;VAR:CURRSOURCE=EXSHARE&amp;","VAR:NATFREQ=QUARTERLY&amp;VAR:RFIELD=FINALIZED&amp;VAR:DB_TYPE=&amp;VAR:UNITS=M&amp;window=popup&amp;width=450&amp;height=300&amp;START_MAXIMIZED=FALSE"}</definedName>
    <definedName name="_1712__FDSAUDITLINK__" hidden="1">{"fdsup://IBCentral/FAT Viewer?action=UPDATE&amp;creator=factset&amp;DOC_NAME=fat:reuters_qtrly_source_window.fat&amp;display_string=Audit&amp;DYN_ARGS=TRUE&amp;VAR:ID1=47758P30&amp;VAR:RCODE=ATOT&amp;VAR:SDATE=20081099&amp;VAR:FREQ=DAILY&amp;VAR:RELITEM=&amp;VAR:CURRENCY=&amp;VAR:CURRSOURCE=EXSHARE&amp;","VAR:NATFREQ=QUARTERLY&amp;VAR:RFIELD=FINALIZED&amp;VAR:DB_TYPE=&amp;VAR:UNITS=M&amp;window=popup&amp;width=450&amp;height=300&amp;START_MAXIMIZED=FALSE"}</definedName>
    <definedName name="_1713__FDSAUDITLINK__" hidden="1">{"fdsup://IBCentral/FAT Viewer?action=UPDATE&amp;creator=factset&amp;DOC_NAME=fat:reuters_qtrly_source_window.fat&amp;display_string=Audit&amp;DYN_ARGS=TRUE&amp;VAR:ID1=46459210&amp;VAR:RCODE=LTLL&amp;VAR:SDATE=20081099&amp;VAR:FREQ=DAILY&amp;VAR:RELITEM=&amp;VAR:CURRENCY=&amp;VAR:CURRSOURCE=EXSHARE&amp;","VAR:NATFREQ=QUARTERLY&amp;VAR:RFIELD=FINALIZED&amp;VAR:DB_TYPE=&amp;VAR:UNITS=M&amp;window=popup&amp;width=450&amp;height=300&amp;START_MAXIMIZED=FALSE"}</definedName>
    <definedName name="_1714__FDSAUDITLINK__" hidden="1">{"fdsup://IBCentral/FAT Viewer?action=UPDATE&amp;creator=factset&amp;DOC_NAME=fat:reuters_qtrly_source_window.fat&amp;display_string=Audit&amp;DYN_ARGS=TRUE&amp;VAR:ID1=46459210&amp;VAR:RCODE=LTCL&amp;VAR:SDATE=20081099&amp;VAR:FREQ=DAILY&amp;VAR:RELITEM=&amp;VAR:CURRENCY=&amp;VAR:CURRSOURCE=EXSHARE&amp;","VAR:NATFREQ=QUARTERLY&amp;VAR:RFIELD=FINALIZED&amp;VAR:DB_TYPE=&amp;VAR:UNITS=M&amp;window=popup&amp;width=450&amp;height=300&amp;START_MAXIMIZED=FALSE"}</definedName>
    <definedName name="_1715__FDSAUDITLINK__" hidden="1">{"fdsup://IBCentral/FAT Viewer?action=UPDATE&amp;creator=factset&amp;DOC_NAME=fat:reuters_qtrly_source_window.fat&amp;display_string=Audit&amp;DYN_ARGS=TRUE&amp;VAR:ID1=46459210&amp;VAR:RCODE=ATCA&amp;VAR:SDATE=20081099&amp;VAR:FREQ=DAILY&amp;VAR:RELITEM=&amp;VAR:CURRENCY=&amp;VAR:CURRSOURCE=EXSHARE&amp;","VAR:NATFREQ=QUARTERLY&amp;VAR:RFIELD=FINALIZED&amp;VAR:DB_TYPE=&amp;VAR:UNITS=M&amp;window=popup&amp;width=450&amp;height=300&amp;START_MAXIMIZED=FALSE"}</definedName>
    <definedName name="_1716__FDSAUDITLINK__" hidden="1">{"fdsup://IBCentral/FAT Viewer?action=UPDATE&amp;creator=factset&amp;DOC_NAME=fat:reuters_qtrly_source_window.fat&amp;display_string=Audit&amp;DYN_ARGS=TRUE&amp;VAR:ID1=46459210&amp;VAR:RCODE=ATOT&amp;VAR:SDATE=20081099&amp;VAR:FREQ=DAILY&amp;VAR:RELITEM=&amp;VAR:CURRENCY=&amp;VAR:CURRSOURCE=EXSHARE&amp;","VAR:NATFREQ=QUARTERLY&amp;VAR:RFIELD=FINALIZED&amp;VAR:DB_TYPE=&amp;VAR:UNITS=M&amp;window=popup&amp;width=450&amp;height=300&amp;START_MAXIMIZED=FALSE"}</definedName>
    <definedName name="_1717__FDSAUDITLINK__" hidden="1">{"fdsup://IBCentral/FAT Viewer?action=UPDATE&amp;creator=factset&amp;DOC_NAME=fat:reuters_qtrly_source_window.fat&amp;display_string=Audit&amp;DYN_ARGS=TRUE&amp;VAR:ID1=46126P10&amp;VAR:RCODE=LTLL&amp;VAR:SDATE=20081299&amp;VAR:FREQ=DAILY&amp;VAR:RELITEM=&amp;VAR:CURRENCY=&amp;VAR:CURRSOURCE=EXSHARE&amp;","VAR:NATFREQ=QUARTERLY&amp;VAR:RFIELD=FINALIZED&amp;VAR:DB_TYPE=&amp;VAR:UNITS=M&amp;window=popup&amp;width=450&amp;height=300&amp;START_MAXIMIZED=FALSE"}</definedName>
    <definedName name="_1718__FDSAUDITLINK__" hidden="1">{"fdsup://IBCentral/FAT Viewer?action=UPDATE&amp;creator=factset&amp;DOC_NAME=fat:reuters_qtrly_source_window.fat&amp;display_string=Audit&amp;DYN_ARGS=TRUE&amp;VAR:ID1=46126P10&amp;VAR:RCODE=LTCL&amp;VAR:SDATE=20081299&amp;VAR:FREQ=DAILY&amp;VAR:RELITEM=&amp;VAR:CURRENCY=&amp;VAR:CURRSOURCE=EXSHARE&amp;","VAR:NATFREQ=QUARTERLY&amp;VAR:RFIELD=FINALIZED&amp;VAR:DB_TYPE=&amp;VAR:UNITS=M&amp;window=popup&amp;width=450&amp;height=300&amp;START_MAXIMIZED=FALSE"}</definedName>
    <definedName name="_1719__FDSAUDITLINK__" hidden="1">{"fdsup://IBCentral/FAT Viewer?action=UPDATE&amp;creator=factset&amp;DOC_NAME=fat:reuters_qtrly_source_window.fat&amp;display_string=Audit&amp;DYN_ARGS=TRUE&amp;VAR:ID1=46126P10&amp;VAR:RCODE=ATCA&amp;VAR:SDATE=20081299&amp;VAR:FREQ=DAILY&amp;VAR:RELITEM=&amp;VAR:CURRENCY=&amp;VAR:CURRSOURCE=EXSHARE&amp;","VAR:NATFREQ=QUARTERLY&amp;VAR:RFIELD=FINALIZED&amp;VAR:DB_TYPE=&amp;VAR:UNITS=M&amp;window=popup&amp;width=450&amp;height=300&amp;START_MAXIMIZED=FALSE"}</definedName>
    <definedName name="_172__FDSAUDITLINK__" hidden="1">{"fdsup://Directions/FactSet Auditing Viewer?action=AUDIT_VALUE&amp;DB=129&amp;ID1=23585110&amp;VALUEID=02999&amp;SDATE=201001&amp;PERIODTYPE=QTR_STD&amp;window=popup_no_bar&amp;width=385&amp;height=120&amp;START_MAXIMIZED=FALSE&amp;creator=factset&amp;display_string=Audit"}</definedName>
    <definedName name="_1720__FDSAUDITLINK__" hidden="1">{"fdsup://IBCentral/FAT Viewer?action=UPDATE&amp;creator=factset&amp;DOC_NAME=fat:reuters_qtrly_source_window.fat&amp;display_string=Audit&amp;DYN_ARGS=TRUE&amp;VAR:ID1=46126P10&amp;VAR:RCODE=ATOT&amp;VAR:SDATE=20081299&amp;VAR:FREQ=DAILY&amp;VAR:RELITEM=&amp;VAR:CURRENCY=&amp;VAR:CURRSOURCE=EXSHARE&amp;","VAR:NATFREQ=QUARTERLY&amp;VAR:RFIELD=FINALIZED&amp;VAR:DB_TYPE=&amp;VAR:UNITS=M&amp;window=popup&amp;width=450&amp;height=300&amp;START_MAXIMIZED=FALSE"}</definedName>
    <definedName name="_1721__FDSAUDITLINK__" hidden="1">{"fdsup://IBCentral/FAT Viewer?action=UPDATE&amp;creator=factset&amp;DOC_NAME=fat:reuters_qtrly_source_window.fat&amp;display_string=Audit&amp;DYN_ARGS=TRUE&amp;VAR:ID1=42330P10&amp;VAR:RCODE=LTLL&amp;VAR:SDATE=20081299&amp;VAR:FREQ=DAILY&amp;VAR:RELITEM=&amp;VAR:CURRENCY=&amp;VAR:CURRSOURCE=EXSHARE&amp;","VAR:NATFREQ=QUARTERLY&amp;VAR:RFIELD=FINALIZED&amp;VAR:DB_TYPE=&amp;VAR:UNITS=M&amp;window=popup&amp;width=450&amp;height=300&amp;START_MAXIMIZED=FALSE"}</definedName>
    <definedName name="_1722__FDSAUDITLINK__" hidden="1">{"fdsup://IBCentral/FAT Viewer?action=UPDATE&amp;creator=factset&amp;DOC_NAME=fat:reuters_qtrly_source_window.fat&amp;display_string=Audit&amp;DYN_ARGS=TRUE&amp;VAR:ID1=42330P10&amp;VAR:RCODE=LTCL&amp;VAR:SDATE=20081299&amp;VAR:FREQ=DAILY&amp;VAR:RELITEM=&amp;VAR:CURRENCY=&amp;VAR:CURRSOURCE=EXSHARE&amp;","VAR:NATFREQ=QUARTERLY&amp;VAR:RFIELD=FINALIZED&amp;VAR:DB_TYPE=&amp;VAR:UNITS=M&amp;window=popup&amp;width=450&amp;height=300&amp;START_MAXIMIZED=FALSE"}</definedName>
    <definedName name="_1723__FDSAUDITLINK__" hidden="1">{"fdsup://IBCentral/FAT Viewer?action=UPDATE&amp;creator=factset&amp;DOC_NAME=fat:reuters_qtrly_source_window.fat&amp;display_string=Audit&amp;DYN_ARGS=TRUE&amp;VAR:ID1=42330P10&amp;VAR:RCODE=ATCA&amp;VAR:SDATE=20081299&amp;VAR:FREQ=DAILY&amp;VAR:RELITEM=&amp;VAR:CURRENCY=&amp;VAR:CURRSOURCE=EXSHARE&amp;","VAR:NATFREQ=QUARTERLY&amp;VAR:RFIELD=FINALIZED&amp;VAR:DB_TYPE=&amp;VAR:UNITS=M&amp;window=popup&amp;width=450&amp;height=300&amp;START_MAXIMIZED=FALSE"}</definedName>
    <definedName name="_1724__FDSAUDITLINK__" hidden="1">{"fdsup://IBCentral/FAT Viewer?action=UPDATE&amp;creator=factset&amp;DOC_NAME=fat:reuters_qtrly_source_window.fat&amp;display_string=Audit&amp;DYN_ARGS=TRUE&amp;VAR:ID1=42330P10&amp;VAR:RCODE=ATOT&amp;VAR:SDATE=20081299&amp;VAR:FREQ=DAILY&amp;VAR:RELITEM=&amp;VAR:CURRENCY=&amp;VAR:CURRSOURCE=EXSHARE&amp;","VAR:NATFREQ=QUARTERLY&amp;VAR:RFIELD=FINALIZED&amp;VAR:DB_TYPE=&amp;VAR:UNITS=M&amp;window=popup&amp;width=450&amp;height=300&amp;START_MAXIMIZED=FALSE"}</definedName>
    <definedName name="_1725__FDSAUDITLINK__" hidden="1">{"fdsup://IBCentral/FAT Viewer?action=UPDATE&amp;creator=factset&amp;DOC_NAME=fat:reuters_qtrly_source_window.fat&amp;display_string=Audit&amp;DYN_ARGS=TRUE&amp;VAR:ID1=36868210&amp;VAR:RCODE=LTLL&amp;VAR:SDATE=20081199&amp;VAR:FREQ=DAILY&amp;VAR:RELITEM=&amp;VAR:CURRENCY=&amp;VAR:CURRSOURCE=EXSHARE&amp;","VAR:NATFREQ=QUARTERLY&amp;VAR:RFIELD=FINALIZED&amp;VAR:DB_TYPE=&amp;VAR:UNITS=M&amp;window=popup&amp;width=450&amp;height=300&amp;START_MAXIMIZED=FALSE"}</definedName>
    <definedName name="_1726__FDSAUDITLINK__" hidden="1">{"fdsup://IBCentral/FAT Viewer?action=UPDATE&amp;creator=factset&amp;DOC_NAME=fat:reuters_qtrly_source_window.fat&amp;display_string=Audit&amp;DYN_ARGS=TRUE&amp;VAR:ID1=36868210&amp;VAR:RCODE=LTCL&amp;VAR:SDATE=20081199&amp;VAR:FREQ=DAILY&amp;VAR:RELITEM=&amp;VAR:CURRENCY=&amp;VAR:CURRSOURCE=EXSHARE&amp;","VAR:NATFREQ=QUARTERLY&amp;VAR:RFIELD=FINALIZED&amp;VAR:DB_TYPE=&amp;VAR:UNITS=M&amp;window=popup&amp;width=450&amp;height=300&amp;START_MAXIMIZED=FALSE"}</definedName>
    <definedName name="_1727__FDSAUDITLINK__" hidden="1">{"fdsup://IBCentral/FAT Viewer?action=UPDATE&amp;creator=factset&amp;DOC_NAME=fat:reuters_qtrly_source_window.fat&amp;display_string=Audit&amp;DYN_ARGS=TRUE&amp;VAR:ID1=36868210&amp;VAR:RCODE=ATCA&amp;VAR:SDATE=20081199&amp;VAR:FREQ=DAILY&amp;VAR:RELITEM=&amp;VAR:CURRENCY=&amp;VAR:CURRSOURCE=EXSHARE&amp;","VAR:NATFREQ=QUARTERLY&amp;VAR:RFIELD=FINALIZED&amp;VAR:DB_TYPE=&amp;VAR:UNITS=M&amp;window=popup&amp;width=450&amp;height=300&amp;START_MAXIMIZED=FALSE"}</definedName>
    <definedName name="_1728__FDSAUDITLINK__" hidden="1">{"fdsup://IBCentral/FAT Viewer?action=UPDATE&amp;creator=factset&amp;DOC_NAME=fat:reuters_qtrly_source_window.fat&amp;display_string=Audit&amp;DYN_ARGS=TRUE&amp;VAR:ID1=36868210&amp;VAR:RCODE=ATOT&amp;VAR:SDATE=20081199&amp;VAR:FREQ=DAILY&amp;VAR:RELITEM=&amp;VAR:CURRENCY=&amp;VAR:CURRSOURCE=EXSHARE&amp;","VAR:NATFREQ=QUARTERLY&amp;VAR:RFIELD=FINALIZED&amp;VAR:DB_TYPE=&amp;VAR:UNITS=M&amp;window=popup&amp;width=450&amp;height=300&amp;START_MAXIMIZED=FALSE"}</definedName>
    <definedName name="_1729__FDSAUDITLINK__" hidden="1">{"fdsup://IBCentral/FAT Viewer?action=UPDATE&amp;creator=factset&amp;DOC_NAME=fat:reuters_qtrly_source_window.fat&amp;display_string=Audit&amp;DYN_ARGS=TRUE&amp;VAR:ID1=24237010&amp;VAR:RCODE=LTLL&amp;VAR:SDATE=20081299&amp;VAR:FREQ=DAILY&amp;VAR:RELITEM=&amp;VAR:CURRENCY=&amp;VAR:CURRSOURCE=EXSHARE&amp;","VAR:NATFREQ=QUARTERLY&amp;VAR:RFIELD=FINALIZED&amp;VAR:DB_TYPE=&amp;VAR:UNITS=M&amp;window=popup&amp;width=450&amp;height=300&amp;START_MAXIMIZED=FALSE"}</definedName>
    <definedName name="_173__FDSAUDITLINK__" hidden="1">{"fdsup://Directions/FactSet Auditing Viewer?action=AUDIT_VALUE&amp;DB=129&amp;ID1=23918K10&amp;VALUEID=02999&amp;SDATE=201001&amp;PERIODTYPE=QTR_STD&amp;window=popup_no_bar&amp;width=385&amp;height=120&amp;START_MAXIMIZED=FALSE&amp;creator=factset&amp;display_string=Audit"}</definedName>
    <definedName name="_1730__FDSAUDITLINK__" hidden="1">{"fdsup://IBCentral/FAT Viewer?action=UPDATE&amp;creator=factset&amp;DOC_NAME=fat:reuters_qtrly_source_window.fat&amp;display_string=Audit&amp;DYN_ARGS=TRUE&amp;VAR:ID1=24237010&amp;VAR:RCODE=LTCL&amp;VAR:SDATE=20081299&amp;VAR:FREQ=DAILY&amp;VAR:RELITEM=&amp;VAR:CURRENCY=&amp;VAR:CURRSOURCE=EXSHARE&amp;","VAR:NATFREQ=QUARTERLY&amp;VAR:RFIELD=FINALIZED&amp;VAR:DB_TYPE=&amp;VAR:UNITS=M&amp;window=popup&amp;width=450&amp;height=300&amp;START_MAXIMIZED=FALSE"}</definedName>
    <definedName name="_1731__FDSAUDITLINK__" hidden="1">{"fdsup://IBCentral/FAT Viewer?action=UPDATE&amp;creator=factset&amp;DOC_NAME=fat:reuters_qtrly_source_window.fat&amp;display_string=Audit&amp;DYN_ARGS=TRUE&amp;VAR:ID1=24237010&amp;VAR:RCODE=ATCA&amp;VAR:SDATE=20081299&amp;VAR:FREQ=DAILY&amp;VAR:RELITEM=&amp;VAR:CURRENCY=&amp;VAR:CURRSOURCE=EXSHARE&amp;","VAR:NATFREQ=QUARTERLY&amp;VAR:RFIELD=FINALIZED&amp;VAR:DB_TYPE=&amp;VAR:UNITS=M&amp;window=popup&amp;width=450&amp;height=300&amp;START_MAXIMIZED=FALSE"}</definedName>
    <definedName name="_1732__FDSAUDITLINK__" hidden="1">{"fdsup://IBCentral/FAT Viewer?action=UPDATE&amp;creator=factset&amp;DOC_NAME=fat:reuters_qtrly_source_window.fat&amp;display_string=Audit&amp;DYN_ARGS=TRUE&amp;VAR:ID1=24237010&amp;VAR:RCODE=ATOT&amp;VAR:SDATE=20081299&amp;VAR:FREQ=DAILY&amp;VAR:RELITEM=&amp;VAR:CURRENCY=&amp;VAR:CURRSOURCE=EXSHARE&amp;","VAR:NATFREQ=QUARTERLY&amp;VAR:RFIELD=FINALIZED&amp;VAR:DB_TYPE=&amp;VAR:UNITS=M&amp;window=popup&amp;width=450&amp;height=300&amp;START_MAXIMIZED=FALSE"}</definedName>
    <definedName name="_1733__FDSAUDITLINK__" hidden="1">{"fdsup://IBCentral/FAT Viewer?action=UPDATE&amp;creator=factset&amp;DOC_NAME=fat:reuters_qtrly_source_window.fat&amp;display_string=Audit&amp;DYN_ARGS=TRUE&amp;VAR:ID1=12618M10&amp;VAR:RCODE=LTLL&amp;VAR:SDATE=20081299&amp;VAR:FREQ=DAILY&amp;VAR:RELITEM=&amp;VAR:CURRENCY=&amp;VAR:CURRSOURCE=EXSHARE&amp;","VAR:NATFREQ=QUARTERLY&amp;VAR:RFIELD=FINALIZED&amp;VAR:DB_TYPE=&amp;VAR:UNITS=M&amp;window=popup&amp;width=450&amp;height=300&amp;START_MAXIMIZED=FALSE"}</definedName>
    <definedName name="_1734__FDSAUDITLINK__" hidden="1">{"fdsup://IBCentral/FAT Viewer?action=UPDATE&amp;creator=factset&amp;DOC_NAME=fat:reuters_qtrly_source_window.fat&amp;display_string=Audit&amp;DYN_ARGS=TRUE&amp;VAR:ID1=12618M10&amp;VAR:RCODE=LTCL&amp;VAR:SDATE=20081299&amp;VAR:FREQ=DAILY&amp;VAR:RELITEM=&amp;VAR:CURRENCY=&amp;VAR:CURRSOURCE=EXSHARE&amp;","VAR:NATFREQ=QUARTERLY&amp;VAR:RFIELD=FINALIZED&amp;VAR:DB_TYPE=&amp;VAR:UNITS=M&amp;window=popup&amp;width=450&amp;height=300&amp;START_MAXIMIZED=FALSE"}</definedName>
    <definedName name="_1735__FDSAUDITLINK__" hidden="1">{"fdsup://IBCentral/FAT Viewer?action=UPDATE&amp;creator=factset&amp;DOC_NAME=fat:reuters_qtrly_source_window.fat&amp;display_string=Audit&amp;DYN_ARGS=TRUE&amp;VAR:ID1=12618M10&amp;VAR:RCODE=ATCA&amp;VAR:SDATE=20081299&amp;VAR:FREQ=DAILY&amp;VAR:RELITEM=&amp;VAR:CURRENCY=&amp;VAR:CURRSOURCE=EXSHARE&amp;","VAR:NATFREQ=QUARTERLY&amp;VAR:RFIELD=FINALIZED&amp;VAR:DB_TYPE=&amp;VAR:UNITS=M&amp;window=popup&amp;width=450&amp;height=300&amp;START_MAXIMIZED=FALSE"}</definedName>
    <definedName name="_1736__FDSAUDITLINK__" hidden="1">{"fdsup://IBCentral/FAT Viewer?action=UPDATE&amp;creator=factset&amp;DOC_NAME=fat:reuters_qtrly_source_window.fat&amp;display_string=Audit&amp;DYN_ARGS=TRUE&amp;VAR:ID1=12618M10&amp;VAR:RCODE=ATOT&amp;VAR:SDATE=20081299&amp;VAR:FREQ=DAILY&amp;VAR:RELITEM=&amp;VAR:CURRENCY=&amp;VAR:CURRSOURCE=EXSHARE&amp;","VAR:NATFREQ=QUARTERLY&amp;VAR:RFIELD=FINALIZED&amp;VAR:DB_TYPE=&amp;VAR:UNITS=M&amp;window=popup&amp;width=450&amp;height=300&amp;START_MAXIMIZED=FALSE"}</definedName>
    <definedName name="_1737__FDSAUDITLINK__" hidden="1">{"fdsup://IBCentral/FAT Viewer?action=UPDATE&amp;creator=factset&amp;DOC_NAME=fat:reuters_qtrly_source_window.fat&amp;display_string=Audit&amp;DYN_ARGS=TRUE&amp;VAR:ID1=21683110&amp;VAR:RCODE=LTLL&amp;VAR:SDATE=20081299&amp;VAR:FREQ=DAILY&amp;VAR:RELITEM=&amp;VAR:CURRENCY=&amp;VAR:CURRSOURCE=EXSHARE&amp;","VAR:NATFREQ=QUARTERLY&amp;VAR:RFIELD=FINALIZED&amp;VAR:DB_TYPE=&amp;VAR:UNITS=M&amp;window=popup&amp;width=450&amp;height=300&amp;START_MAXIMIZED=FALSE"}</definedName>
    <definedName name="_1738__FDSAUDITLINK__" hidden="1">{"fdsup://IBCentral/FAT Viewer?action=UPDATE&amp;creator=factset&amp;DOC_NAME=fat:reuters_qtrly_source_window.fat&amp;display_string=Audit&amp;DYN_ARGS=TRUE&amp;VAR:ID1=21683110&amp;VAR:RCODE=LTCL&amp;VAR:SDATE=20081299&amp;VAR:FREQ=DAILY&amp;VAR:RELITEM=&amp;VAR:CURRENCY=&amp;VAR:CURRSOURCE=EXSHARE&amp;","VAR:NATFREQ=QUARTERLY&amp;VAR:RFIELD=FINALIZED&amp;VAR:DB_TYPE=&amp;VAR:UNITS=M&amp;window=popup&amp;width=450&amp;height=300&amp;START_MAXIMIZED=FALSE"}</definedName>
    <definedName name="_1739__FDSAUDITLINK__" hidden="1">{"fdsup://IBCentral/FAT Viewer?action=UPDATE&amp;creator=factset&amp;DOC_NAME=fat:reuters_qtrly_source_window.fat&amp;display_string=Audit&amp;DYN_ARGS=TRUE&amp;VAR:ID1=21683110&amp;VAR:RCODE=ATCA&amp;VAR:SDATE=20081299&amp;VAR:FREQ=DAILY&amp;VAR:RELITEM=&amp;VAR:CURRENCY=&amp;VAR:CURRSOURCE=EXSHARE&amp;","VAR:NATFREQ=QUARTERLY&amp;VAR:RFIELD=FINALIZED&amp;VAR:DB_TYPE=&amp;VAR:UNITS=M&amp;window=popup&amp;width=450&amp;height=300&amp;START_MAXIMIZED=FALSE"}</definedName>
    <definedName name="_174__FDSAUDITLINK__" hidden="1">{"fdsup://Directions/FactSet Auditing Viewer?action=AUDIT_VALUE&amp;DB=129&amp;ID1=23311P10&amp;VALUEID=02999&amp;SDATE=201001&amp;PERIODTYPE=QTR_STD&amp;window=popup_no_bar&amp;width=385&amp;height=120&amp;START_MAXIMIZED=FALSE&amp;creator=factset&amp;display_string=Audit"}</definedName>
    <definedName name="_1740__FDSAUDITLINK__" hidden="1">{"fdsup://IBCentral/FAT Viewer?action=UPDATE&amp;creator=factset&amp;DOC_NAME=fat:reuters_qtrly_source_window.fat&amp;display_string=Audit&amp;DYN_ARGS=TRUE&amp;VAR:ID1=21683110&amp;VAR:RCODE=ATOT&amp;VAR:SDATE=20081299&amp;VAR:FREQ=DAILY&amp;VAR:RELITEM=&amp;VAR:CURRENCY=&amp;VAR:CURRSOURCE=EXSHARE&amp;","VAR:NATFREQ=QUARTERLY&amp;VAR:RFIELD=FINALIZED&amp;VAR:DB_TYPE=&amp;VAR:UNITS=M&amp;window=popup&amp;width=450&amp;height=300&amp;START_MAXIMIZED=FALSE"}</definedName>
    <definedName name="_1741__FDSAUDITLINK__" hidden="1">{"fdsup://IBCentral/FAT Viewer?action=UPDATE&amp;creator=factset&amp;DOC_NAME=fat:reuters_qtrly_source_window.fat&amp;display_string=Audit&amp;DYN_ARGS=TRUE&amp;VAR:ID1=21079530&amp;VAR:RCODE=LTLL&amp;VAR:SDATE=20081299&amp;VAR:FREQ=DAILY&amp;VAR:RELITEM=&amp;VAR:CURRENCY=&amp;VAR:CURRSOURCE=EXSHARE&amp;","VAR:NATFREQ=QUARTERLY&amp;VAR:RFIELD=FINALIZED&amp;VAR:DB_TYPE=&amp;VAR:UNITS=M&amp;window=popup&amp;width=450&amp;height=300&amp;START_MAXIMIZED=FALSE"}</definedName>
    <definedName name="_1742__FDSAUDITLINK__" hidden="1">{"fdsup://IBCentral/FAT Viewer?action=UPDATE&amp;creator=factset&amp;DOC_NAME=fat:reuters_qtrly_source_window.fat&amp;display_string=Audit&amp;DYN_ARGS=TRUE&amp;VAR:ID1=21079530&amp;VAR:RCODE=LTCL&amp;VAR:SDATE=20081299&amp;VAR:FREQ=DAILY&amp;VAR:RELITEM=&amp;VAR:CURRENCY=&amp;VAR:CURRSOURCE=EXSHARE&amp;","VAR:NATFREQ=QUARTERLY&amp;VAR:RFIELD=FINALIZED&amp;VAR:DB_TYPE=&amp;VAR:UNITS=M&amp;window=popup&amp;width=450&amp;height=300&amp;START_MAXIMIZED=FALSE"}</definedName>
    <definedName name="_1743__FDSAUDITLINK__" hidden="1">{"fdsup://IBCentral/FAT Viewer?action=UPDATE&amp;creator=factset&amp;DOC_NAME=fat:reuters_qtrly_source_window.fat&amp;display_string=Audit&amp;DYN_ARGS=TRUE&amp;VAR:ID1=21079530&amp;VAR:RCODE=ATCA&amp;VAR:SDATE=20081299&amp;VAR:FREQ=DAILY&amp;VAR:RELITEM=&amp;VAR:CURRENCY=&amp;VAR:CURRSOURCE=EXSHARE&amp;","VAR:NATFREQ=QUARTERLY&amp;VAR:RFIELD=FINALIZED&amp;VAR:DB_TYPE=&amp;VAR:UNITS=M&amp;window=popup&amp;width=450&amp;height=300&amp;START_MAXIMIZED=FALSE"}</definedName>
    <definedName name="_1744__FDSAUDITLINK__" hidden="1">{"fdsup://IBCentral/FAT Viewer?action=UPDATE&amp;creator=factset&amp;DOC_NAME=fat:reuters_qtrly_source_window.fat&amp;display_string=Audit&amp;DYN_ARGS=TRUE&amp;VAR:ID1=21079530&amp;VAR:RCODE=ATOT&amp;VAR:SDATE=20081299&amp;VAR:FREQ=DAILY&amp;VAR:RELITEM=&amp;VAR:CURRENCY=&amp;VAR:CURRSOURCE=EXSHARE&amp;","VAR:NATFREQ=QUARTERLY&amp;VAR:RFIELD=FINALIZED&amp;VAR:DB_TYPE=&amp;VAR:UNITS=M&amp;window=popup&amp;width=450&amp;height=300&amp;START_MAXIMIZED=FALSE"}</definedName>
    <definedName name="_1745__FDSAUDITLINK__" hidden="1">{"fdsup://IBCentral/FAT Viewer?action=UPDATE&amp;creator=factset&amp;DOC_NAME=fat:reuters_qtrly_source_window.fat&amp;display_string=Audit&amp;DYN_ARGS=TRUE&amp;VAR:ID1=96949010&amp;VAR:RCODE=LTLL&amp;VAR:SDATE=20081299&amp;VAR:FREQ=DAILY&amp;VAR:RELITEM=&amp;VAR:CURRENCY=&amp;VAR:CURRSOURCE=EXSHARE&amp;","VAR:NATFREQ=QUARTERLY&amp;VAR:RFIELD=FINALIZED&amp;VAR:DB_TYPE=&amp;VAR:UNITS=M&amp;window=popup&amp;width=450&amp;height=300&amp;START_MAXIMIZED=FALSE"}</definedName>
    <definedName name="_1746__FDSAUDITLINK__" hidden="1">{"fdsup://IBCentral/FAT Viewer?action=UPDATE&amp;creator=factset&amp;DOC_NAME=fat:reuters_qtrly_source_window.fat&amp;display_string=Audit&amp;DYN_ARGS=TRUE&amp;VAR:ID1=96949010&amp;VAR:RCODE=LTCL&amp;VAR:SDATE=20081299&amp;VAR:FREQ=DAILY&amp;VAR:RELITEM=&amp;VAR:CURRENCY=&amp;VAR:CURRSOURCE=EXSHARE&amp;","VAR:NATFREQ=QUARTERLY&amp;VAR:RFIELD=FINALIZED&amp;VAR:DB_TYPE=&amp;VAR:UNITS=M&amp;window=popup&amp;width=450&amp;height=300&amp;START_MAXIMIZED=FALSE"}</definedName>
    <definedName name="_1747__FDSAUDITLINK__" hidden="1">{"fdsup://IBCentral/FAT Viewer?action=UPDATE&amp;creator=factset&amp;DOC_NAME=fat:reuters_qtrly_source_window.fat&amp;display_string=Audit&amp;DYN_ARGS=TRUE&amp;VAR:ID1=96949010&amp;VAR:RCODE=ATCA&amp;VAR:SDATE=20081299&amp;VAR:FREQ=DAILY&amp;VAR:RELITEM=&amp;VAR:CURRENCY=&amp;VAR:CURRSOURCE=EXSHARE&amp;","VAR:NATFREQ=QUARTERLY&amp;VAR:RFIELD=FINALIZED&amp;VAR:DB_TYPE=&amp;VAR:UNITS=M&amp;window=popup&amp;width=450&amp;height=300&amp;START_MAXIMIZED=FALSE"}</definedName>
    <definedName name="_1748__FDSAUDITLINK__" hidden="1">{"fdsup://IBCentral/FAT Viewer?action=UPDATE&amp;creator=factset&amp;DOC_NAME=fat:reuters_qtrly_source_window.fat&amp;display_string=Audit&amp;DYN_ARGS=TRUE&amp;VAR:ID1=96949010&amp;VAR:RCODE=ATOT&amp;VAR:SDATE=20081299&amp;VAR:FREQ=DAILY&amp;VAR:RELITEM=&amp;VAR:CURRENCY=&amp;VAR:CURRSOURCE=EXSHARE&amp;","VAR:NATFREQ=QUARTERLY&amp;VAR:RFIELD=FINALIZED&amp;VAR:DB_TYPE=&amp;VAR:UNITS=M&amp;window=popup&amp;width=450&amp;height=300&amp;START_MAXIMIZED=FALSE"}</definedName>
    <definedName name="_1749__FDSAUDITLINK__" hidden="1">{"fdsup://IBCentral/FAT Viewer?action=UPDATE&amp;creator=factset&amp;DOC_NAME=fat:reuters_qtrly_source_window.fat&amp;display_string=Audit&amp;DYN_ARGS=TRUE&amp;VAR:ID1=15643110&amp;VAR:RCODE=LTLL&amp;VAR:SDATE=20081299&amp;VAR:FREQ=DAILY&amp;VAR:RELITEM=&amp;VAR:CURRENCY=&amp;VAR:CURRSOURCE=EXSHARE&amp;","VAR:NATFREQ=QUARTERLY&amp;VAR:RFIELD=FINALIZED&amp;VAR:DB_TYPE=&amp;VAR:UNITS=M&amp;window=popup&amp;width=450&amp;height=300&amp;START_MAXIMIZED=FALSE"}</definedName>
    <definedName name="_175__FDSAUDITLINK__" hidden="1">{"fdsup://Directions/FactSet Auditing Viewer?action=AUDIT_VALUE&amp;DB=129&amp;ID1=24237010&amp;VALUEID=02999&amp;SDATE=201001&amp;PERIODTYPE=QTR_STD&amp;window=popup_no_bar&amp;width=385&amp;height=120&amp;START_MAXIMIZED=FALSE&amp;creator=factset&amp;display_string=Audit"}</definedName>
    <definedName name="_1750__FDSAUDITLINK__" hidden="1">{"fdsup://IBCentral/FAT Viewer?action=UPDATE&amp;creator=factset&amp;DOC_NAME=fat:reuters_qtrly_source_window.fat&amp;display_string=Audit&amp;DYN_ARGS=TRUE&amp;VAR:ID1=15643110&amp;VAR:RCODE=LTCL&amp;VAR:SDATE=20081299&amp;VAR:FREQ=DAILY&amp;VAR:RELITEM=&amp;VAR:CURRENCY=&amp;VAR:CURRSOURCE=EXSHARE&amp;","VAR:NATFREQ=QUARTERLY&amp;VAR:RFIELD=FINALIZED&amp;VAR:DB_TYPE=&amp;VAR:UNITS=M&amp;window=popup&amp;width=450&amp;height=300&amp;START_MAXIMIZED=FALSE"}</definedName>
    <definedName name="_1751__FDSAUDITLINK__" hidden="1">{"fdsup://IBCentral/FAT Viewer?action=UPDATE&amp;creator=factset&amp;DOC_NAME=fat:reuters_qtrly_source_window.fat&amp;display_string=Audit&amp;DYN_ARGS=TRUE&amp;VAR:ID1=15643110&amp;VAR:RCODE=ATCA&amp;VAR:SDATE=20081299&amp;VAR:FREQ=DAILY&amp;VAR:RELITEM=&amp;VAR:CURRENCY=&amp;VAR:CURRSOURCE=EXSHARE&amp;","VAR:NATFREQ=QUARTERLY&amp;VAR:RFIELD=FINALIZED&amp;VAR:DB_TYPE=&amp;VAR:UNITS=M&amp;window=popup&amp;width=450&amp;height=300&amp;START_MAXIMIZED=FALSE"}</definedName>
    <definedName name="_1752__FDSAUDITLINK__" hidden="1">{"fdsup://IBCentral/FAT Viewer?action=UPDATE&amp;creator=factset&amp;DOC_NAME=fat:reuters_qtrly_source_window.fat&amp;display_string=Audit&amp;DYN_ARGS=TRUE&amp;VAR:ID1=15643110&amp;VAR:RCODE=ATOT&amp;VAR:SDATE=20081299&amp;VAR:FREQ=DAILY&amp;VAR:RELITEM=&amp;VAR:CURRENCY=&amp;VAR:CURRSOURCE=EXSHARE&amp;","VAR:NATFREQ=QUARTERLY&amp;VAR:RFIELD=FINALIZED&amp;VAR:DB_TYPE=&amp;VAR:UNITS=M&amp;window=popup&amp;width=450&amp;height=300&amp;START_MAXIMIZED=FALSE"}</definedName>
    <definedName name="_1753__FDSAUDITLINK__" hidden="1">{"fdsup://IBCentral/FAT Viewer?action=UPDATE&amp;creator=factset&amp;DOC_NAME=fat:reuters_qtrly_source_window.fat&amp;display_string=Audit&amp;DYN_ARGS=TRUE&amp;VAR:ID1=15352710&amp;VAR:RCODE=LTLL&amp;VAR:SDATE=20081299&amp;VAR:FREQ=DAILY&amp;VAR:RELITEM=&amp;VAR:CURRENCY=&amp;VAR:CURRSOURCE=EXSHARE&amp;","VAR:NATFREQ=QUARTERLY&amp;VAR:RFIELD=FINALIZED&amp;VAR:DB_TYPE=&amp;VAR:UNITS=M&amp;window=popup&amp;width=450&amp;height=300&amp;START_MAXIMIZED=FALSE"}</definedName>
    <definedName name="_1754__FDSAUDITLINK__" hidden="1">{"fdsup://IBCentral/FAT Viewer?action=UPDATE&amp;creator=factset&amp;DOC_NAME=fat:reuters_qtrly_source_window.fat&amp;display_string=Audit&amp;DYN_ARGS=TRUE&amp;VAR:ID1=15352710&amp;VAR:RCODE=LTCL&amp;VAR:SDATE=20081299&amp;VAR:FREQ=DAILY&amp;VAR:RELITEM=&amp;VAR:CURRENCY=&amp;VAR:CURRSOURCE=EXSHARE&amp;","VAR:NATFREQ=QUARTERLY&amp;VAR:RFIELD=FINALIZED&amp;VAR:DB_TYPE=&amp;VAR:UNITS=M&amp;window=popup&amp;width=450&amp;height=300&amp;START_MAXIMIZED=FALSE"}</definedName>
    <definedName name="_1755__FDSAUDITLINK__" hidden="1">{"fdsup://IBCentral/FAT Viewer?action=UPDATE&amp;creator=factset&amp;DOC_NAME=fat:reuters_qtrly_source_window.fat&amp;display_string=Audit&amp;DYN_ARGS=TRUE&amp;VAR:ID1=15352710&amp;VAR:RCODE=ATCA&amp;VAR:SDATE=20081299&amp;VAR:FREQ=DAILY&amp;VAR:RELITEM=&amp;VAR:CURRENCY=&amp;VAR:CURRSOURCE=EXSHARE&amp;","VAR:NATFREQ=QUARTERLY&amp;VAR:RFIELD=FINALIZED&amp;VAR:DB_TYPE=&amp;VAR:UNITS=M&amp;window=popup&amp;width=450&amp;height=300&amp;START_MAXIMIZED=FALSE"}</definedName>
    <definedName name="_1756__FDSAUDITLINK__" hidden="1">{"fdsup://IBCentral/FAT Viewer?action=UPDATE&amp;creator=factset&amp;DOC_NAME=fat:reuters_qtrly_source_window.fat&amp;display_string=Audit&amp;DYN_ARGS=TRUE&amp;VAR:ID1=15352710&amp;VAR:RCODE=ATOT&amp;VAR:SDATE=20081299&amp;VAR:FREQ=DAILY&amp;VAR:RELITEM=&amp;VAR:CURRENCY=&amp;VAR:CURRSOURCE=EXSHARE&amp;","VAR:NATFREQ=QUARTERLY&amp;VAR:RFIELD=FINALIZED&amp;VAR:DB_TYPE=&amp;VAR:UNITS=M&amp;window=popup&amp;width=450&amp;height=300&amp;START_MAXIMIZED=FALSE"}</definedName>
    <definedName name="_1757__FDSAUDITLINK__" hidden="1">{"fdsup://IBCentral/FAT Viewer?action=UPDATE&amp;creator=factset&amp;DOC_NAME=fat:reuters_qtrly_source_window.fat&amp;display_string=Audit&amp;DYN_ARGS=TRUE&amp;VAR:ID1=13134730&amp;VAR:RCODE=LTLL&amp;VAR:SDATE=20081299&amp;VAR:FREQ=DAILY&amp;VAR:RELITEM=&amp;VAR:CURRENCY=&amp;VAR:CURRSOURCE=EXSHARE&amp;","VAR:NATFREQ=QUARTERLY&amp;VAR:RFIELD=FINALIZED&amp;VAR:DB_TYPE=&amp;VAR:UNITS=M&amp;window=popup&amp;width=450&amp;height=300&amp;START_MAXIMIZED=FALSE"}</definedName>
    <definedName name="_1758__FDSAUDITLINK__" hidden="1">{"fdsup://IBCentral/FAT Viewer?action=UPDATE&amp;creator=factset&amp;DOC_NAME=fat:reuters_qtrly_source_window.fat&amp;display_string=Audit&amp;DYN_ARGS=TRUE&amp;VAR:ID1=13134730&amp;VAR:RCODE=LTCL&amp;VAR:SDATE=20081299&amp;VAR:FREQ=DAILY&amp;VAR:RELITEM=&amp;VAR:CURRENCY=&amp;VAR:CURRSOURCE=EXSHARE&amp;","VAR:NATFREQ=QUARTERLY&amp;VAR:RFIELD=FINALIZED&amp;VAR:DB_TYPE=&amp;VAR:UNITS=M&amp;window=popup&amp;width=450&amp;height=300&amp;START_MAXIMIZED=FALSE"}</definedName>
    <definedName name="_1759__FDSAUDITLINK__" hidden="1">{"fdsup://IBCentral/FAT Viewer?action=UPDATE&amp;creator=factset&amp;DOC_NAME=fat:reuters_qtrly_source_window.fat&amp;display_string=Audit&amp;DYN_ARGS=TRUE&amp;VAR:ID1=13134730&amp;VAR:RCODE=ATCA&amp;VAR:SDATE=20081299&amp;VAR:FREQ=DAILY&amp;VAR:RELITEM=&amp;VAR:CURRENCY=&amp;VAR:CURRSOURCE=EXSHARE&amp;","VAR:NATFREQ=QUARTERLY&amp;VAR:RFIELD=FINALIZED&amp;VAR:DB_TYPE=&amp;VAR:UNITS=M&amp;window=popup&amp;width=450&amp;height=300&amp;START_MAXIMIZED=FALSE"}</definedName>
    <definedName name="_176__FDSAUDITLINK__" hidden="1">{"fdsup://Directions/FactSet Auditing Viewer?action=AUDIT_VALUE&amp;DB=129&amp;ID1=24419910&amp;VALUEID=02999&amp;SDATE=201002&amp;PERIODTYPE=QTR_STD&amp;window=popup_no_bar&amp;width=385&amp;height=120&amp;START_MAXIMIZED=FALSE&amp;creator=factset&amp;display_string=Audit"}</definedName>
    <definedName name="_1760__FDSAUDITLINK__" hidden="1">{"fdsup://IBCentral/FAT Viewer?action=UPDATE&amp;creator=factset&amp;DOC_NAME=fat:reuters_qtrly_source_window.fat&amp;display_string=Audit&amp;DYN_ARGS=TRUE&amp;VAR:ID1=13134730&amp;VAR:RCODE=ATOT&amp;VAR:SDATE=20081299&amp;VAR:FREQ=DAILY&amp;VAR:RELITEM=&amp;VAR:CURRENCY=&amp;VAR:CURRSOURCE=EXSHARE&amp;","VAR:NATFREQ=QUARTERLY&amp;VAR:RFIELD=FINALIZED&amp;VAR:DB_TYPE=&amp;VAR:UNITS=M&amp;window=popup&amp;width=450&amp;height=300&amp;START_MAXIMIZED=FALSE"}</definedName>
    <definedName name="_1761__FDSAUDITLINK__" hidden="1">{"fdsup://IBCentral/FAT Viewer?action=UPDATE&amp;creator=factset&amp;DOC_NAME=fat:reuters_qtrly_source_window.fat&amp;display_string=Audit&amp;DYN_ARGS=TRUE&amp;VAR:ID1=05774110&amp;VAR:RCODE=LTLL&amp;VAR:SDATE=20081299&amp;VAR:FREQ=DAILY&amp;VAR:RELITEM=&amp;VAR:CURRENCY=&amp;VAR:CURRSOURCE=EXSHARE&amp;","VAR:NATFREQ=QUARTERLY&amp;VAR:RFIELD=FINALIZED&amp;VAR:DB_TYPE=&amp;VAR:UNITS=M&amp;window=popup&amp;width=450&amp;height=300&amp;START_MAXIMIZED=FALSE"}</definedName>
    <definedName name="_1762__FDSAUDITLINK__" hidden="1">{"fdsup://IBCentral/FAT Viewer?action=UPDATE&amp;creator=factset&amp;DOC_NAME=fat:reuters_qtrly_source_window.fat&amp;display_string=Audit&amp;DYN_ARGS=TRUE&amp;VAR:ID1=05774110&amp;VAR:RCODE=LTCL&amp;VAR:SDATE=20081299&amp;VAR:FREQ=DAILY&amp;VAR:RELITEM=&amp;VAR:CURRENCY=&amp;VAR:CURRSOURCE=EXSHARE&amp;","VAR:NATFREQ=QUARTERLY&amp;VAR:RFIELD=FINALIZED&amp;VAR:DB_TYPE=&amp;VAR:UNITS=M&amp;window=popup&amp;width=450&amp;height=300&amp;START_MAXIMIZED=FALSE"}</definedName>
    <definedName name="_1763__FDSAUDITLINK__" hidden="1">{"fdsup://IBCentral/FAT Viewer?action=UPDATE&amp;creator=factset&amp;DOC_NAME=fat:reuters_qtrly_source_window.fat&amp;display_string=Audit&amp;DYN_ARGS=TRUE&amp;VAR:ID1=05774110&amp;VAR:RCODE=ATCA&amp;VAR:SDATE=20081299&amp;VAR:FREQ=DAILY&amp;VAR:RELITEM=&amp;VAR:CURRENCY=&amp;VAR:CURRSOURCE=EXSHARE&amp;","VAR:NATFREQ=QUARTERLY&amp;VAR:RFIELD=FINALIZED&amp;VAR:DB_TYPE=&amp;VAR:UNITS=M&amp;window=popup&amp;width=450&amp;height=300&amp;START_MAXIMIZED=FALSE"}</definedName>
    <definedName name="_1764__FDSAUDITLINK__" hidden="1">{"fdsup://IBCentral/FAT Viewer?action=UPDATE&amp;creator=factset&amp;DOC_NAME=fat:reuters_qtrly_source_window.fat&amp;display_string=Audit&amp;DYN_ARGS=TRUE&amp;VAR:ID1=05774110&amp;VAR:RCODE=ATOT&amp;VAR:SDATE=20081299&amp;VAR:FREQ=DAILY&amp;VAR:RELITEM=&amp;VAR:CURRENCY=&amp;VAR:CURRSOURCE=EXSHARE&amp;","VAR:NATFREQ=QUARTERLY&amp;VAR:RFIELD=FINALIZED&amp;VAR:DB_TYPE=&amp;VAR:UNITS=M&amp;window=popup&amp;width=450&amp;height=300&amp;START_MAXIMIZED=FALSE"}</definedName>
    <definedName name="_1765__FDSAUDITLINK__" hidden="1">{"fdsup://IBCentral/FAT Viewer?action=UPDATE&amp;creator=factset&amp;DOC_NAME=fat:reuters_qtrly_source_window.fat&amp;display_string=Audit&amp;DYN_ARGS=TRUE&amp;VAR:ID1=02052010&amp;VAR:RCODE=LTLL&amp;VAR:SDATE=20081299&amp;VAR:FREQ=DAILY&amp;VAR:RELITEM=&amp;VAR:CURRENCY=&amp;VAR:CURRSOURCE=EXSHARE&amp;","VAR:NATFREQ=QUARTERLY&amp;VAR:RFIELD=FINALIZED&amp;VAR:DB_TYPE=&amp;VAR:UNITS=M&amp;window=popup&amp;width=450&amp;height=300&amp;START_MAXIMIZED=FALSE"}</definedName>
    <definedName name="_1766__FDSAUDITLINK__" hidden="1">{"fdsup://IBCentral/FAT Viewer?action=UPDATE&amp;creator=factset&amp;DOC_NAME=fat:reuters_qtrly_source_window.fat&amp;display_string=Audit&amp;DYN_ARGS=TRUE&amp;VAR:ID1=02052010&amp;VAR:RCODE=LTCL&amp;VAR:SDATE=20081299&amp;VAR:FREQ=DAILY&amp;VAR:RELITEM=&amp;VAR:CURRENCY=&amp;VAR:CURRSOURCE=EXSHARE&amp;","VAR:NATFREQ=QUARTERLY&amp;VAR:RFIELD=FINALIZED&amp;VAR:DB_TYPE=&amp;VAR:UNITS=M&amp;window=popup&amp;width=450&amp;height=300&amp;START_MAXIMIZED=FALSE"}</definedName>
    <definedName name="_1767__FDSAUDITLINK__" hidden="1">{"fdsup://IBCentral/FAT Viewer?action=UPDATE&amp;creator=factset&amp;DOC_NAME=fat:reuters_qtrly_source_window.fat&amp;display_string=Audit&amp;DYN_ARGS=TRUE&amp;VAR:ID1=02052010&amp;VAR:RCODE=ATCA&amp;VAR:SDATE=20081299&amp;VAR:FREQ=DAILY&amp;VAR:RELITEM=&amp;VAR:CURRENCY=&amp;VAR:CURRSOURCE=EXSHARE&amp;","VAR:NATFREQ=QUARTERLY&amp;VAR:RFIELD=FINALIZED&amp;VAR:DB_TYPE=&amp;VAR:UNITS=M&amp;window=popup&amp;width=450&amp;height=300&amp;START_MAXIMIZED=FALSE"}</definedName>
    <definedName name="_1768__FDSAUDITLINK__" hidden="1">{"fdsup://IBCentral/FAT Viewer?action=UPDATE&amp;creator=factset&amp;DOC_NAME=fat:reuters_qtrly_source_window.fat&amp;display_string=Audit&amp;DYN_ARGS=TRUE&amp;VAR:ID1=02052010&amp;VAR:RCODE=ATOT&amp;VAR:SDATE=20081299&amp;VAR:FREQ=DAILY&amp;VAR:RELITEM=&amp;VAR:CURRENCY=&amp;VAR:CURRSOURCE=EXSHARE&amp;","VAR:NATFREQ=QUARTERLY&amp;VAR:RFIELD=FINALIZED&amp;VAR:DB_TYPE=&amp;VAR:UNITS=M&amp;window=popup&amp;width=450&amp;height=300&amp;START_MAXIMIZED=FALSE"}</definedName>
    <definedName name="_1769__FDSAUDITLINK__" hidden="1">{"fdsup://IBCentral/FAT Viewer?action=UPDATE&amp;creator=factset&amp;DOC_NAME=fat:reuters_qtrly_source_window.fat&amp;display_string=Audit&amp;DYN_ARGS=TRUE&amp;VAR:ID1=92829810&amp;VAR:RCODE=LTLL&amp;VAR:SDATE=20081299&amp;VAR:FREQ=DAILY&amp;VAR:RELITEM=&amp;VAR:CURRENCY=&amp;VAR:CURRSOURCE=EXSHARE&amp;","VAR:NATFREQ=QUARTERLY&amp;VAR:RFIELD=FINALIZED&amp;VAR:DB_TYPE=&amp;VAR:UNITS=M&amp;window=popup&amp;width=450&amp;height=300&amp;START_MAXIMIZED=FALSE"}</definedName>
    <definedName name="_177__FDSAUDITLINK__" hidden="1">{"fdsup://Directions/FactSet Auditing Viewer?action=AUDIT_VALUE&amp;DB=129&amp;ID1=24702R10&amp;VALUEID=02999&amp;SDATE=201001&amp;PERIODTYPE=QTR_STD&amp;window=popup_no_bar&amp;width=385&amp;height=120&amp;START_MAXIMIZED=FALSE&amp;creator=factset&amp;display_string=Audit"}</definedName>
    <definedName name="_1770__FDSAUDITLINK__" hidden="1">{"fdsup://IBCentral/FAT Viewer?action=UPDATE&amp;creator=factset&amp;DOC_NAME=fat:reuters_qtrly_source_window.fat&amp;display_string=Audit&amp;DYN_ARGS=TRUE&amp;VAR:ID1=92829810&amp;VAR:RCODE=LTCL&amp;VAR:SDATE=20081299&amp;VAR:FREQ=DAILY&amp;VAR:RELITEM=&amp;VAR:CURRENCY=&amp;VAR:CURRSOURCE=EXSHARE&amp;","VAR:NATFREQ=QUARTERLY&amp;VAR:RFIELD=FINALIZED&amp;VAR:DB_TYPE=&amp;VAR:UNITS=M&amp;window=popup&amp;width=450&amp;height=300&amp;START_MAXIMIZED=FALSE"}</definedName>
    <definedName name="_1771__FDSAUDITLINK__" hidden="1">{"fdsup://IBCentral/FAT Viewer?action=UPDATE&amp;creator=factset&amp;DOC_NAME=fat:reuters_qtrly_source_window.fat&amp;display_string=Audit&amp;DYN_ARGS=TRUE&amp;VAR:ID1=92829810&amp;VAR:RCODE=ATCA&amp;VAR:SDATE=20081299&amp;VAR:FREQ=DAILY&amp;VAR:RELITEM=&amp;VAR:CURRENCY=&amp;VAR:CURRSOURCE=EXSHARE&amp;","VAR:NATFREQ=QUARTERLY&amp;VAR:RFIELD=FINALIZED&amp;VAR:DB_TYPE=&amp;VAR:UNITS=M&amp;window=popup&amp;width=450&amp;height=300&amp;START_MAXIMIZED=FALSE"}</definedName>
    <definedName name="_1772__FDSAUDITLINK__" hidden="1">{"fdsup://IBCentral/FAT Viewer?action=UPDATE&amp;creator=factset&amp;DOC_NAME=fat:reuters_qtrly_source_window.fat&amp;display_string=Audit&amp;DYN_ARGS=TRUE&amp;VAR:ID1=92829810&amp;VAR:RCODE=ATOT&amp;VAR:SDATE=20081299&amp;VAR:FREQ=DAILY&amp;VAR:RELITEM=&amp;VAR:CURRENCY=&amp;VAR:CURRSOURCE=EXSHARE&amp;","VAR:NATFREQ=QUARTERLY&amp;VAR:RFIELD=FINALIZED&amp;VAR:DB_TYPE=&amp;VAR:UNITS=M&amp;window=popup&amp;width=450&amp;height=300&amp;START_MAXIMIZED=FALSE"}</definedName>
    <definedName name="_1773__FDSAUDITLINK__" hidden="1">{"fdsup://IBCentral/FAT Viewer?action=UPDATE&amp;creator=factset&amp;DOC_NAME=fat:reuters_qtrly_source_window.fat&amp;display_string=Audit&amp;DYN_ARGS=TRUE&amp;VAR:ID1=91819410&amp;VAR:RCODE=LTLL&amp;VAR:SDATE=20081299&amp;VAR:FREQ=DAILY&amp;VAR:RELITEM=&amp;VAR:CURRENCY=&amp;VAR:CURRSOURCE=EXSHARE&amp;","VAR:NATFREQ=QUARTERLY&amp;VAR:RFIELD=FINALIZED&amp;VAR:DB_TYPE=&amp;VAR:UNITS=M&amp;window=popup&amp;width=450&amp;height=300&amp;START_MAXIMIZED=FALSE"}</definedName>
    <definedName name="_1774__FDSAUDITLINK__" hidden="1">{"fdsup://IBCentral/FAT Viewer?action=UPDATE&amp;creator=factset&amp;DOC_NAME=fat:reuters_qtrly_source_window.fat&amp;display_string=Audit&amp;DYN_ARGS=TRUE&amp;VAR:ID1=91819410&amp;VAR:RCODE=LTCL&amp;VAR:SDATE=20081299&amp;VAR:FREQ=DAILY&amp;VAR:RELITEM=&amp;VAR:CURRENCY=&amp;VAR:CURRSOURCE=EXSHARE&amp;","VAR:NATFREQ=QUARTERLY&amp;VAR:RFIELD=FINALIZED&amp;VAR:DB_TYPE=&amp;VAR:UNITS=M&amp;window=popup&amp;width=450&amp;height=300&amp;START_MAXIMIZED=FALSE"}</definedName>
    <definedName name="_1775__FDSAUDITLINK__" hidden="1">{"fdsup://IBCentral/FAT Viewer?action=UPDATE&amp;creator=factset&amp;DOC_NAME=fat:reuters_qtrly_source_window.fat&amp;display_string=Audit&amp;DYN_ARGS=TRUE&amp;VAR:ID1=91819410&amp;VAR:RCODE=ATCA&amp;VAR:SDATE=20081299&amp;VAR:FREQ=DAILY&amp;VAR:RELITEM=&amp;VAR:CURRENCY=&amp;VAR:CURRSOURCE=EXSHARE&amp;","VAR:NATFREQ=QUARTERLY&amp;VAR:RFIELD=FINALIZED&amp;VAR:DB_TYPE=&amp;VAR:UNITS=M&amp;window=popup&amp;width=450&amp;height=300&amp;START_MAXIMIZED=FALSE"}</definedName>
    <definedName name="_1776__FDSAUDITLINK__" hidden="1">{"fdsup://IBCentral/FAT Viewer?action=UPDATE&amp;creator=factset&amp;DOC_NAME=fat:reuters_qtrly_source_window.fat&amp;display_string=Audit&amp;DYN_ARGS=TRUE&amp;VAR:ID1=91819410&amp;VAR:RCODE=ATOT&amp;VAR:SDATE=20081299&amp;VAR:FREQ=DAILY&amp;VAR:RELITEM=&amp;VAR:CURRENCY=&amp;VAR:CURRSOURCE=EXSHARE&amp;","VAR:NATFREQ=QUARTERLY&amp;VAR:RFIELD=FINALIZED&amp;VAR:DB_TYPE=&amp;VAR:UNITS=M&amp;window=popup&amp;width=450&amp;height=300&amp;START_MAXIMIZED=FALSE"}</definedName>
    <definedName name="_1777__FDSAUDITLINK__" hidden="1">{"fdsup://IBCentral/FAT Viewer?action=UPDATE&amp;creator=factset&amp;DOC_NAME=fat:reuters_qtrly_source_window.fat&amp;display_string=Audit&amp;DYN_ARGS=TRUE&amp;VAR:ID1=90921410&amp;VAR:RCODE=LTLL&amp;VAR:SDATE=20081299&amp;VAR:FREQ=DAILY&amp;VAR:RELITEM=&amp;VAR:CURRENCY=&amp;VAR:CURRSOURCE=EXSHARE&amp;","VAR:NATFREQ=QUARTERLY&amp;VAR:RFIELD=FINALIZED&amp;VAR:DB_TYPE=&amp;VAR:UNITS=M&amp;window=popup&amp;width=450&amp;height=300&amp;START_MAXIMIZED=FALSE"}</definedName>
    <definedName name="_1778__FDSAUDITLINK__" hidden="1">{"fdsup://IBCentral/FAT Viewer?action=UPDATE&amp;creator=factset&amp;DOC_NAME=fat:reuters_qtrly_source_window.fat&amp;display_string=Audit&amp;DYN_ARGS=TRUE&amp;VAR:ID1=90921410&amp;VAR:RCODE=LTCL&amp;VAR:SDATE=20081299&amp;VAR:FREQ=DAILY&amp;VAR:RELITEM=&amp;VAR:CURRENCY=&amp;VAR:CURRSOURCE=EXSHARE&amp;","VAR:NATFREQ=QUARTERLY&amp;VAR:RFIELD=FINALIZED&amp;VAR:DB_TYPE=&amp;VAR:UNITS=M&amp;window=popup&amp;width=450&amp;height=300&amp;START_MAXIMIZED=FALSE"}</definedName>
    <definedName name="_1779__FDSAUDITLINK__" hidden="1">{"fdsup://IBCentral/FAT Viewer?action=UPDATE&amp;creator=factset&amp;DOC_NAME=fat:reuters_qtrly_source_window.fat&amp;display_string=Audit&amp;DYN_ARGS=TRUE&amp;VAR:ID1=90921410&amp;VAR:RCODE=ATCA&amp;VAR:SDATE=20081299&amp;VAR:FREQ=DAILY&amp;VAR:RELITEM=&amp;VAR:CURRENCY=&amp;VAR:CURRSOURCE=EXSHARE&amp;","VAR:NATFREQ=QUARTERLY&amp;VAR:RFIELD=FINALIZED&amp;VAR:DB_TYPE=&amp;VAR:UNITS=M&amp;window=popup&amp;width=450&amp;height=300&amp;START_MAXIMIZED=FALSE"}</definedName>
    <definedName name="_178__FDSAUDITLINK__" hidden="1">{"fdsup://Directions/FactSet Auditing Viewer?action=AUDIT_VALUE&amp;DB=129&amp;ID1=24736170&amp;VALUEID=02999&amp;SDATE=201001&amp;PERIODTYPE=QTR_STD&amp;window=popup_no_bar&amp;width=385&amp;height=120&amp;START_MAXIMIZED=FALSE&amp;creator=factset&amp;display_string=Audit"}</definedName>
    <definedName name="_1780__FDSAUDITLINK__" hidden="1">{"fdsup://IBCentral/FAT Viewer?action=UPDATE&amp;creator=factset&amp;DOC_NAME=fat:reuters_qtrly_source_window.fat&amp;display_string=Audit&amp;DYN_ARGS=TRUE&amp;VAR:ID1=90921410&amp;VAR:RCODE=ATOT&amp;VAR:SDATE=20081299&amp;VAR:FREQ=DAILY&amp;VAR:RELITEM=&amp;VAR:CURRENCY=&amp;VAR:CURRSOURCE=EXSHARE&amp;","VAR:NATFREQ=QUARTERLY&amp;VAR:RFIELD=FINALIZED&amp;VAR:DB_TYPE=&amp;VAR:UNITS=M&amp;window=popup&amp;width=450&amp;height=300&amp;START_MAXIMIZED=FALSE"}</definedName>
    <definedName name="_1781__FDSAUDITLINK__" hidden="1">{"fdsup://IBCentral/FAT Viewer?action=UPDATE&amp;creator=factset&amp;DOC_NAME=fat:reuters_qtrly_source_window.fat&amp;display_string=Audit&amp;DYN_ARGS=TRUE&amp;VAR:ID1=90249410&amp;VAR:RCODE=LTLL&amp;VAR:SDATE=20081299&amp;VAR:FREQ=DAILY&amp;VAR:RELITEM=&amp;VAR:CURRENCY=&amp;VAR:CURRSOURCE=EXSHARE&amp;","VAR:NATFREQ=QUARTERLY&amp;VAR:RFIELD=FINALIZED&amp;VAR:DB_TYPE=&amp;VAR:UNITS=M&amp;window=popup&amp;width=450&amp;height=300&amp;START_MAXIMIZED=FALSE"}</definedName>
    <definedName name="_1782__FDSAUDITLINK__" hidden="1">{"fdsup://IBCentral/FAT Viewer?action=UPDATE&amp;creator=factset&amp;DOC_NAME=fat:reuters_qtrly_source_window.fat&amp;display_string=Audit&amp;DYN_ARGS=TRUE&amp;VAR:ID1=90249410&amp;VAR:RCODE=LTCL&amp;VAR:SDATE=20081299&amp;VAR:FREQ=DAILY&amp;VAR:RELITEM=&amp;VAR:CURRENCY=&amp;VAR:CURRSOURCE=EXSHARE&amp;","VAR:NATFREQ=QUARTERLY&amp;VAR:RFIELD=FINALIZED&amp;VAR:DB_TYPE=&amp;VAR:UNITS=M&amp;window=popup&amp;width=450&amp;height=300&amp;START_MAXIMIZED=FALSE"}</definedName>
    <definedName name="_1783__FDSAUDITLINK__" hidden="1">{"fdsup://IBCentral/FAT Viewer?action=UPDATE&amp;creator=factset&amp;DOC_NAME=fat:reuters_qtrly_source_window.fat&amp;display_string=Audit&amp;DYN_ARGS=TRUE&amp;VAR:ID1=90249410&amp;VAR:RCODE=ATCA&amp;VAR:SDATE=20081299&amp;VAR:FREQ=DAILY&amp;VAR:RELITEM=&amp;VAR:CURRENCY=&amp;VAR:CURRSOURCE=EXSHARE&amp;","VAR:NATFREQ=QUARTERLY&amp;VAR:RFIELD=FINALIZED&amp;VAR:DB_TYPE=&amp;VAR:UNITS=M&amp;window=popup&amp;width=450&amp;height=300&amp;START_MAXIMIZED=FALSE"}</definedName>
    <definedName name="_1784__FDSAUDITLINK__" hidden="1">{"fdsup://IBCentral/FAT Viewer?action=UPDATE&amp;creator=factset&amp;DOC_NAME=fat:reuters_qtrly_source_window.fat&amp;display_string=Audit&amp;DYN_ARGS=TRUE&amp;VAR:ID1=90249410&amp;VAR:RCODE=ATOT&amp;VAR:SDATE=20081299&amp;VAR:FREQ=DAILY&amp;VAR:RELITEM=&amp;VAR:CURRENCY=&amp;VAR:CURRSOURCE=EXSHARE&amp;","VAR:NATFREQ=QUARTERLY&amp;VAR:RFIELD=FINALIZED&amp;VAR:DB_TYPE=&amp;VAR:UNITS=M&amp;window=popup&amp;width=450&amp;height=300&amp;START_MAXIMIZED=FALSE"}</definedName>
    <definedName name="_1785__FDSAUDITLINK__" hidden="1">{"fdsup://IBCentral/FAT Viewer?action=UPDATE&amp;creator=factset&amp;DOC_NAME=fat:reuters_qtrly_source_window.fat&amp;display_string=Audit&amp;DYN_ARGS=TRUE&amp;VAR:ID1=88034910&amp;VAR:RCODE=LTLL&amp;VAR:SDATE=20081299&amp;VAR:FREQ=DAILY&amp;VAR:RELITEM=&amp;VAR:CURRENCY=&amp;VAR:CURRSOURCE=EXSHARE&amp;","VAR:NATFREQ=QUARTERLY&amp;VAR:RFIELD=FINALIZED&amp;VAR:DB_TYPE=&amp;VAR:UNITS=M&amp;window=popup&amp;width=450&amp;height=300&amp;START_MAXIMIZED=FALSE"}</definedName>
    <definedName name="_1786__FDSAUDITLINK__" hidden="1">{"fdsup://IBCentral/FAT Viewer?action=UPDATE&amp;creator=factset&amp;DOC_NAME=fat:reuters_qtrly_source_window.fat&amp;display_string=Audit&amp;DYN_ARGS=TRUE&amp;VAR:ID1=88034910&amp;VAR:RCODE=LTCL&amp;VAR:SDATE=20081299&amp;VAR:FREQ=DAILY&amp;VAR:RELITEM=&amp;VAR:CURRENCY=&amp;VAR:CURRSOURCE=EXSHARE&amp;","VAR:NATFREQ=QUARTERLY&amp;VAR:RFIELD=FINALIZED&amp;VAR:DB_TYPE=&amp;VAR:UNITS=M&amp;window=popup&amp;width=450&amp;height=300&amp;START_MAXIMIZED=FALSE"}</definedName>
    <definedName name="_1787__FDSAUDITLINK__" hidden="1">{"fdsup://IBCentral/FAT Viewer?action=UPDATE&amp;creator=factset&amp;DOC_NAME=fat:reuters_qtrly_source_window.fat&amp;display_string=Audit&amp;DYN_ARGS=TRUE&amp;VAR:ID1=88034910&amp;VAR:RCODE=ATCA&amp;VAR:SDATE=20081299&amp;VAR:FREQ=DAILY&amp;VAR:RELITEM=&amp;VAR:CURRENCY=&amp;VAR:CURRSOURCE=EXSHARE&amp;","VAR:NATFREQ=QUARTERLY&amp;VAR:RFIELD=FINALIZED&amp;VAR:DB_TYPE=&amp;VAR:UNITS=M&amp;window=popup&amp;width=450&amp;height=300&amp;START_MAXIMIZED=FALSE"}</definedName>
    <definedName name="_1788__FDSAUDITLINK__" hidden="1">{"fdsup://IBCentral/FAT Viewer?action=UPDATE&amp;creator=factset&amp;DOC_NAME=fat:reuters_qtrly_source_window.fat&amp;display_string=Audit&amp;DYN_ARGS=TRUE&amp;VAR:ID1=88034910&amp;VAR:RCODE=ATOT&amp;VAR:SDATE=20081299&amp;VAR:FREQ=DAILY&amp;VAR:RELITEM=&amp;VAR:CURRENCY=&amp;VAR:CURRSOURCE=EXSHARE&amp;","VAR:NATFREQ=QUARTERLY&amp;VAR:RFIELD=FINALIZED&amp;VAR:DB_TYPE=&amp;VAR:UNITS=M&amp;window=popup&amp;width=450&amp;height=300&amp;START_MAXIMIZED=FALSE"}</definedName>
    <definedName name="_1789__FDSAUDITLINK__" hidden="1">{"fdsup://IBCentral/FAT Viewer?action=UPDATE&amp;creator=factset&amp;DOC_NAME=fat:reuters_qtrly_source_window.fat&amp;display_string=Audit&amp;DYN_ARGS=TRUE&amp;VAR:ID1=86693340&amp;VAR:RCODE=LTLL&amp;VAR:SDATE=20081299&amp;VAR:FREQ=DAILY&amp;VAR:RELITEM=&amp;VAR:CURRENCY=&amp;VAR:CURRSOURCE=EXSHARE&amp;","VAR:NATFREQ=QUARTERLY&amp;VAR:RFIELD=FINALIZED&amp;VAR:DB_TYPE=&amp;VAR:UNITS=M&amp;window=popup&amp;width=450&amp;height=300&amp;START_MAXIMIZED=FALSE"}</definedName>
    <definedName name="_179__FDSAUDITLINK__" hidden="1">{"fdsup://Directions/FactSet Auditing Viewer?action=AUDIT_VALUE&amp;DB=129&amp;ID1=24784L10&amp;VALUEID=02999&amp;SDATE=201001&amp;PERIODTYPE=QTR_STD&amp;window=popup_no_bar&amp;width=385&amp;height=120&amp;START_MAXIMIZED=FALSE&amp;creator=factset&amp;display_string=Audit"}</definedName>
    <definedName name="_1790__FDSAUDITLINK__" hidden="1">{"fdsup://IBCentral/FAT Viewer?action=UPDATE&amp;creator=factset&amp;DOC_NAME=fat:reuters_qtrly_source_window.fat&amp;display_string=Audit&amp;DYN_ARGS=TRUE&amp;VAR:ID1=86693340&amp;VAR:RCODE=LTCL&amp;VAR:SDATE=20081299&amp;VAR:FREQ=DAILY&amp;VAR:RELITEM=&amp;VAR:CURRENCY=&amp;VAR:CURRSOURCE=EXSHARE&amp;","VAR:NATFREQ=QUARTERLY&amp;VAR:RFIELD=FINALIZED&amp;VAR:DB_TYPE=&amp;VAR:UNITS=M&amp;window=popup&amp;width=450&amp;height=300&amp;START_MAXIMIZED=FALSE"}</definedName>
    <definedName name="_1791__FDSAUDITLINK__" hidden="1">{"fdsup://IBCentral/FAT Viewer?action=UPDATE&amp;creator=factset&amp;DOC_NAME=fat:reuters_qtrly_source_window.fat&amp;display_string=Audit&amp;DYN_ARGS=TRUE&amp;VAR:ID1=86693340&amp;VAR:RCODE=ATCA&amp;VAR:SDATE=20081299&amp;VAR:FREQ=DAILY&amp;VAR:RELITEM=&amp;VAR:CURRENCY=&amp;VAR:CURRSOURCE=EXSHARE&amp;","VAR:NATFREQ=QUARTERLY&amp;VAR:RFIELD=FINALIZED&amp;VAR:DB_TYPE=&amp;VAR:UNITS=M&amp;window=popup&amp;width=450&amp;height=300&amp;START_MAXIMIZED=FALSE"}</definedName>
    <definedName name="_1792__FDSAUDITLINK__" hidden="1">{"fdsup://IBCentral/FAT Viewer?action=UPDATE&amp;creator=factset&amp;DOC_NAME=fat:reuters_qtrly_source_window.fat&amp;display_string=Audit&amp;DYN_ARGS=TRUE&amp;VAR:ID1=86693340&amp;VAR:RCODE=ATOT&amp;VAR:SDATE=20081299&amp;VAR:FREQ=DAILY&amp;VAR:RELITEM=&amp;VAR:CURRENCY=&amp;VAR:CURRSOURCE=EXSHARE&amp;","VAR:NATFREQ=QUARTERLY&amp;VAR:RFIELD=FINALIZED&amp;VAR:DB_TYPE=&amp;VAR:UNITS=M&amp;window=popup&amp;width=450&amp;height=300&amp;START_MAXIMIZED=FALSE"}</definedName>
    <definedName name="_1793__FDSAUDITLINK__" hidden="1">{"fdsup://IBCentral/FAT Viewer?action=UPDATE&amp;creator=factset&amp;DOC_NAME=fat:reuters_qtrly_source_window.fat&amp;display_string=Audit&amp;DYN_ARGS=TRUE&amp;VAR:ID1=86183P10&amp;VAR:RCODE=LTLL&amp;VAR:SDATE=20081299&amp;VAR:FREQ=DAILY&amp;VAR:RELITEM=&amp;VAR:CURRENCY=&amp;VAR:CURRSOURCE=EXSHARE&amp;","VAR:NATFREQ=QUARTERLY&amp;VAR:RFIELD=FINALIZED&amp;VAR:DB_TYPE=&amp;VAR:UNITS=M&amp;window=popup&amp;width=450&amp;height=300&amp;START_MAXIMIZED=FALSE"}</definedName>
    <definedName name="_1794__FDSAUDITLINK__" hidden="1">{"fdsup://IBCentral/FAT Viewer?action=UPDATE&amp;creator=factset&amp;DOC_NAME=fat:reuters_qtrly_source_window.fat&amp;display_string=Audit&amp;DYN_ARGS=TRUE&amp;VAR:ID1=86183P10&amp;VAR:RCODE=LTCL&amp;VAR:SDATE=20081299&amp;VAR:FREQ=DAILY&amp;VAR:RELITEM=&amp;VAR:CURRENCY=&amp;VAR:CURRSOURCE=EXSHARE&amp;","VAR:NATFREQ=QUARTERLY&amp;VAR:RFIELD=FINALIZED&amp;VAR:DB_TYPE=&amp;VAR:UNITS=M&amp;window=popup&amp;width=450&amp;height=300&amp;START_MAXIMIZED=FALSE"}</definedName>
    <definedName name="_1795__FDSAUDITLINK__" hidden="1">{"fdsup://IBCentral/FAT Viewer?action=UPDATE&amp;creator=factset&amp;DOC_NAME=fat:reuters_qtrly_source_window.fat&amp;display_string=Audit&amp;DYN_ARGS=TRUE&amp;VAR:ID1=86183P10&amp;VAR:RCODE=ATCA&amp;VAR:SDATE=20081299&amp;VAR:FREQ=DAILY&amp;VAR:RELITEM=&amp;VAR:CURRENCY=&amp;VAR:CURRSOURCE=EXSHARE&amp;","VAR:NATFREQ=QUARTERLY&amp;VAR:RFIELD=FINALIZED&amp;VAR:DB_TYPE=&amp;VAR:UNITS=M&amp;window=popup&amp;width=450&amp;height=300&amp;START_MAXIMIZED=FALSE"}</definedName>
    <definedName name="_1796__FDSAUDITLINK__" hidden="1">{"fdsup://IBCentral/FAT Viewer?action=UPDATE&amp;creator=factset&amp;DOC_NAME=fat:reuters_qtrly_source_window.fat&amp;display_string=Audit&amp;DYN_ARGS=TRUE&amp;VAR:ID1=86183P10&amp;VAR:RCODE=ATOT&amp;VAR:SDATE=20081299&amp;VAR:FREQ=DAILY&amp;VAR:RELITEM=&amp;VAR:CURRENCY=&amp;VAR:CURRSOURCE=EXSHARE&amp;","VAR:NATFREQ=QUARTERLY&amp;VAR:RFIELD=FINALIZED&amp;VAR:DB_TYPE=&amp;VAR:UNITS=M&amp;window=popup&amp;width=450&amp;height=300&amp;START_MAXIMIZED=FALSE"}</definedName>
    <definedName name="_1797__FDSAUDITLINK__" hidden="1">{"fdsup://IBCentral/FAT Viewer?action=UPDATE&amp;creator=factset&amp;DOC_NAME=fat:reuters_qtrly_source_window.fat&amp;display_string=Audit&amp;DYN_ARGS=TRUE&amp;VAR:ID1=83437650&amp;VAR:RCODE=LTLL&amp;VAR:SDATE=20081299&amp;VAR:FREQ=DAILY&amp;VAR:RELITEM=&amp;VAR:CURRENCY=&amp;VAR:CURRSOURCE=EXSHARE&amp;","VAR:NATFREQ=QUARTERLY&amp;VAR:RFIELD=FINALIZED&amp;VAR:DB_TYPE=&amp;VAR:UNITS=M&amp;window=popup&amp;width=450&amp;height=300&amp;START_MAXIMIZED=FALSE"}</definedName>
    <definedName name="_1798__FDSAUDITLINK__" hidden="1">{"fdsup://IBCentral/FAT Viewer?action=UPDATE&amp;creator=factset&amp;DOC_NAME=fat:reuters_qtrly_source_window.fat&amp;display_string=Audit&amp;DYN_ARGS=TRUE&amp;VAR:ID1=83437650&amp;VAR:RCODE=LTCL&amp;VAR:SDATE=20081299&amp;VAR:FREQ=DAILY&amp;VAR:RELITEM=&amp;VAR:CURRENCY=&amp;VAR:CURRSOURCE=EXSHARE&amp;","VAR:NATFREQ=QUARTERLY&amp;VAR:RFIELD=FINALIZED&amp;VAR:DB_TYPE=&amp;VAR:UNITS=M&amp;window=popup&amp;width=450&amp;height=300&amp;START_MAXIMIZED=FALSE"}</definedName>
    <definedName name="_1799__FDSAUDITLINK__" hidden="1">{"fdsup://IBCentral/FAT Viewer?action=UPDATE&amp;creator=factset&amp;DOC_NAME=fat:reuters_qtrly_source_window.fat&amp;display_string=Audit&amp;DYN_ARGS=TRUE&amp;VAR:ID1=83437650&amp;VAR:RCODE=ATCA&amp;VAR:SDATE=20081299&amp;VAR:FREQ=DAILY&amp;VAR:RELITEM=&amp;VAR:CURRENCY=&amp;VAR:CURRSOURCE=EXSHARE&amp;","VAR:NATFREQ=QUARTERLY&amp;VAR:RFIELD=FINALIZED&amp;VAR:DB_TYPE=&amp;VAR:UNITS=M&amp;window=popup&amp;width=450&amp;height=300&amp;START_MAXIMIZED=FALSE"}</definedName>
    <definedName name="_17IQ_CURRENCY_GAIN_INS" hidden="1">"c238"</definedName>
    <definedName name="_18__FDSAUDITLINK__" hidden="1">{"fdsup://Directions/FactSet Auditing Viewer?action=AUDIT_VALUE&amp;DB=129&amp;ID1=00790310&amp;VALUEID=02999&amp;SDATE=201001&amp;PERIODTYPE=QTR_STD&amp;window=popup_no_bar&amp;width=385&amp;height=120&amp;START_MAXIMIZED=FALSE&amp;creator=factset&amp;display_string=Audit"}</definedName>
    <definedName name="_180__FDSAUDITLINK__" hidden="1">{"fdsup://Directions/FactSet Auditing Viewer?action=AUDIT_VALUE&amp;DB=129&amp;ID1=24801910&amp;VALUEID=02999&amp;SDATE=201001&amp;PERIODTYPE=QTR_STD&amp;window=popup_no_bar&amp;width=385&amp;height=120&amp;START_MAXIMIZED=FALSE&amp;creator=factset&amp;display_string=Audit"}</definedName>
    <definedName name="_1800__FDSAUDITLINK__" hidden="1">{"fdsup://IBCentral/FAT Viewer?action=UPDATE&amp;creator=factset&amp;DOC_NAME=fat:reuters_qtrly_source_window.fat&amp;display_string=Audit&amp;DYN_ARGS=TRUE&amp;VAR:ID1=83437650&amp;VAR:RCODE=ATOT&amp;VAR:SDATE=20081299&amp;VAR:FREQ=DAILY&amp;VAR:RELITEM=&amp;VAR:CURRENCY=&amp;VAR:CURRSOURCE=EXSHARE&amp;","VAR:NATFREQ=QUARTERLY&amp;VAR:RFIELD=FINALIZED&amp;VAR:DB_TYPE=&amp;VAR:UNITS=M&amp;window=popup&amp;width=450&amp;height=300&amp;START_MAXIMIZED=FALSE"}</definedName>
    <definedName name="_1801__FDSAUDITLINK__" hidden="1">{"fdsup://IBCentral/FAT Viewer?action=UPDATE&amp;creator=factset&amp;DOC_NAME=fat:reuters_qtrly_source_window.fat&amp;display_string=Audit&amp;DYN_ARGS=TRUE&amp;VAR:ID1=G8224510&amp;VAR:RCODE=LTLL&amp;VAR:SDATE=20081199&amp;VAR:FREQ=DAILY&amp;VAR:RELITEM=&amp;VAR:CURRENCY=&amp;VAR:CURRSOURCE=EXSHARE&amp;","VAR:NATFREQ=QUARTERLY&amp;VAR:RFIELD=FINALIZED&amp;VAR:DB_TYPE=&amp;VAR:UNITS=M&amp;window=popup&amp;width=450&amp;height=300&amp;START_MAXIMIZED=FALSE"}</definedName>
    <definedName name="_1802__FDSAUDITLINK__" hidden="1">{"fdsup://IBCentral/FAT Viewer?action=UPDATE&amp;creator=factset&amp;DOC_NAME=fat:reuters_qtrly_source_window.fat&amp;display_string=Audit&amp;DYN_ARGS=TRUE&amp;VAR:ID1=G8224510&amp;VAR:RCODE=LTCL&amp;VAR:SDATE=20081199&amp;VAR:FREQ=DAILY&amp;VAR:RELITEM=&amp;VAR:CURRENCY=&amp;VAR:CURRSOURCE=EXSHARE&amp;","VAR:NATFREQ=QUARTERLY&amp;VAR:RFIELD=FINALIZED&amp;VAR:DB_TYPE=&amp;VAR:UNITS=M&amp;window=popup&amp;width=450&amp;height=300&amp;START_MAXIMIZED=FALSE"}</definedName>
    <definedName name="_1803__FDSAUDITLINK__" hidden="1">{"fdsup://IBCentral/FAT Viewer?action=UPDATE&amp;creator=factset&amp;DOC_NAME=fat:reuters_qtrly_source_window.fat&amp;display_string=Audit&amp;DYN_ARGS=TRUE&amp;VAR:ID1=G8224510&amp;VAR:RCODE=ATCA&amp;VAR:SDATE=20081199&amp;VAR:FREQ=DAILY&amp;VAR:RELITEM=&amp;VAR:CURRENCY=&amp;VAR:CURRSOURCE=EXSHARE&amp;","VAR:NATFREQ=QUARTERLY&amp;VAR:RFIELD=FINALIZED&amp;VAR:DB_TYPE=&amp;VAR:UNITS=M&amp;window=popup&amp;width=450&amp;height=300&amp;START_MAXIMIZED=FALSE"}</definedName>
    <definedName name="_1804__FDSAUDITLINK__" hidden="1">{"fdsup://IBCentral/FAT Viewer?action=UPDATE&amp;creator=factset&amp;DOC_NAME=fat:reuters_qtrly_source_window.fat&amp;display_string=Audit&amp;DYN_ARGS=TRUE&amp;VAR:ID1=G8224510&amp;VAR:RCODE=ATOT&amp;VAR:SDATE=20081199&amp;VAR:FREQ=DAILY&amp;VAR:RELITEM=&amp;VAR:CURRENCY=&amp;VAR:CURRSOURCE=EXSHARE&amp;","VAR:NATFREQ=QUARTERLY&amp;VAR:RFIELD=FINALIZED&amp;VAR:DB_TYPE=&amp;VAR:UNITS=M&amp;window=popup&amp;width=450&amp;height=300&amp;START_MAXIMIZED=FALSE"}</definedName>
    <definedName name="_1805__FDSAUDITLINK__" hidden="1">{"fdsup://IBCentral/FAT Viewer?action=UPDATE&amp;creator=factset&amp;DOC_NAME=fat:reuters_qtrly_source_window.fat&amp;display_string=Audit&amp;DYN_ARGS=TRUE&amp;VAR:ID1=79377W10&amp;VAR:RCODE=LTLL&amp;VAR:SDATE=20081099&amp;VAR:FREQ=DAILY&amp;VAR:RELITEM=&amp;VAR:CURRENCY=&amp;VAR:CURRSOURCE=EXSHARE&amp;","VAR:NATFREQ=QUARTERLY&amp;VAR:RFIELD=FINALIZED&amp;VAR:DB_TYPE=&amp;VAR:UNITS=M&amp;window=popup&amp;width=450&amp;height=300&amp;START_MAXIMIZED=FALSE"}</definedName>
    <definedName name="_1806__FDSAUDITLINK__" hidden="1">{"fdsup://IBCentral/FAT Viewer?action=UPDATE&amp;creator=factset&amp;DOC_NAME=fat:reuters_qtrly_source_window.fat&amp;display_string=Audit&amp;DYN_ARGS=TRUE&amp;VAR:ID1=79377W10&amp;VAR:RCODE=LTCL&amp;VAR:SDATE=20081099&amp;VAR:FREQ=DAILY&amp;VAR:RELITEM=&amp;VAR:CURRENCY=&amp;VAR:CURRSOURCE=EXSHARE&amp;","VAR:NATFREQ=QUARTERLY&amp;VAR:RFIELD=FINALIZED&amp;VAR:DB_TYPE=&amp;VAR:UNITS=M&amp;window=popup&amp;width=450&amp;height=300&amp;START_MAXIMIZED=FALSE"}</definedName>
    <definedName name="_1807__FDSAUDITLINK__" hidden="1">{"fdsup://IBCentral/FAT Viewer?action=UPDATE&amp;creator=factset&amp;DOC_NAME=fat:reuters_qtrly_source_window.fat&amp;display_string=Audit&amp;DYN_ARGS=TRUE&amp;VAR:ID1=79377W10&amp;VAR:RCODE=ATCA&amp;VAR:SDATE=20081099&amp;VAR:FREQ=DAILY&amp;VAR:RELITEM=&amp;VAR:CURRENCY=&amp;VAR:CURRSOURCE=EXSHARE&amp;","VAR:NATFREQ=QUARTERLY&amp;VAR:RFIELD=FINALIZED&amp;VAR:DB_TYPE=&amp;VAR:UNITS=M&amp;window=popup&amp;width=450&amp;height=300&amp;START_MAXIMIZED=FALSE"}</definedName>
    <definedName name="_1808__FDSAUDITLINK__" hidden="1">{"fdsup://IBCentral/FAT Viewer?action=UPDATE&amp;creator=factset&amp;DOC_NAME=fat:reuters_qtrly_source_window.fat&amp;display_string=Audit&amp;DYN_ARGS=TRUE&amp;VAR:ID1=79377W10&amp;VAR:RCODE=ATOT&amp;VAR:SDATE=20081099&amp;VAR:FREQ=DAILY&amp;VAR:RELITEM=&amp;VAR:CURRENCY=&amp;VAR:CURRSOURCE=EXSHARE&amp;","VAR:NATFREQ=QUARTERLY&amp;VAR:RFIELD=FINALIZED&amp;VAR:DB_TYPE=&amp;VAR:UNITS=M&amp;window=popup&amp;width=450&amp;height=300&amp;START_MAXIMIZED=FALSE"}</definedName>
    <definedName name="_1809__FDSAUDITLINK__" hidden="1">{"fdsup://IBCentral/FAT Viewer?action=UPDATE&amp;creator=factset&amp;DOC_NAME=fat:reuters_qtrly_source_window.fat&amp;display_string=Audit&amp;DYN_ARGS=TRUE&amp;VAR:ID1=74936120&amp;VAR:RCODE=LTLL&amp;VAR:SDATE=20081299&amp;VAR:FREQ=DAILY&amp;VAR:RELITEM=&amp;VAR:CURRENCY=&amp;VAR:CURRSOURCE=EXSHARE&amp;","VAR:NATFREQ=QUARTERLY&amp;VAR:RFIELD=FINALIZED&amp;VAR:DB_TYPE=&amp;VAR:UNITS=M&amp;window=popup&amp;width=450&amp;height=300&amp;START_MAXIMIZED=FALSE"}</definedName>
    <definedName name="_181__FDSAUDITLINK__" hidden="1">{"fdsup://Directions/FactSet Auditing Viewer?action=AUDIT_VALUE&amp;DB=129&amp;ID1=24791620&amp;VALUEID=02999&amp;SDATE=201001&amp;PERIODTYPE=QTR_STD&amp;window=popup_no_bar&amp;width=385&amp;height=120&amp;START_MAXIMIZED=FALSE&amp;creator=factset&amp;display_string=Audit"}</definedName>
    <definedName name="_1810__FDSAUDITLINK__" hidden="1">{"fdsup://IBCentral/FAT Viewer?action=UPDATE&amp;creator=factset&amp;DOC_NAME=fat:reuters_qtrly_source_window.fat&amp;display_string=Audit&amp;DYN_ARGS=TRUE&amp;VAR:ID1=74936120&amp;VAR:RCODE=LTCL&amp;VAR:SDATE=20081299&amp;VAR:FREQ=DAILY&amp;VAR:RELITEM=&amp;VAR:CURRENCY=&amp;VAR:CURRSOURCE=EXSHARE&amp;","VAR:NATFREQ=QUARTERLY&amp;VAR:RFIELD=FINALIZED&amp;VAR:DB_TYPE=&amp;VAR:UNITS=M&amp;window=popup&amp;width=450&amp;height=300&amp;START_MAXIMIZED=FALSE"}</definedName>
    <definedName name="_1811__FDSAUDITLINK__" hidden="1">{"fdsup://IBCentral/FAT Viewer?action=UPDATE&amp;creator=factset&amp;DOC_NAME=fat:reuters_qtrly_source_window.fat&amp;display_string=Audit&amp;DYN_ARGS=TRUE&amp;VAR:ID1=74936120&amp;VAR:RCODE=ATCA&amp;VAR:SDATE=20081299&amp;VAR:FREQ=DAILY&amp;VAR:RELITEM=&amp;VAR:CURRENCY=&amp;VAR:CURRSOURCE=EXSHARE&amp;","VAR:NATFREQ=QUARTERLY&amp;VAR:RFIELD=FINALIZED&amp;VAR:DB_TYPE=&amp;VAR:UNITS=M&amp;window=popup&amp;width=450&amp;height=300&amp;START_MAXIMIZED=FALSE"}</definedName>
    <definedName name="_1812__FDSAUDITLINK__" hidden="1">{"fdsup://IBCentral/FAT Viewer?action=UPDATE&amp;creator=factset&amp;DOC_NAME=fat:reuters_qtrly_source_window.fat&amp;display_string=Audit&amp;DYN_ARGS=TRUE&amp;VAR:ID1=74936120&amp;VAR:RCODE=ATOT&amp;VAR:SDATE=20081299&amp;VAR:FREQ=DAILY&amp;VAR:RELITEM=&amp;VAR:CURRENCY=&amp;VAR:CURRSOURCE=EXSHARE&amp;","VAR:NATFREQ=QUARTERLY&amp;VAR:RFIELD=FINALIZED&amp;VAR:DB_TYPE=&amp;VAR:UNITS=M&amp;window=popup&amp;width=450&amp;height=300&amp;START_MAXIMIZED=FALSE"}</definedName>
    <definedName name="_1813__FDSAUDITLINK__" hidden="1">{"fdsup://IBCentral/FAT Viewer?action=UPDATE&amp;creator=factset&amp;DOC_NAME=fat:reuters_qtrly_source_window.fat&amp;display_string=Audit&amp;DYN_ARGS=TRUE&amp;VAR:ID1=74439H10&amp;VAR:RCODE=LTLL&amp;VAR:SDATE=20081299&amp;VAR:FREQ=DAILY&amp;VAR:RELITEM=&amp;VAR:CURRENCY=&amp;VAR:CURRSOURCE=EXSHARE&amp;","VAR:NATFREQ=QUARTERLY&amp;VAR:RFIELD=FINALIZED&amp;VAR:DB_TYPE=&amp;VAR:UNITS=M&amp;window=popup&amp;width=450&amp;height=300&amp;START_MAXIMIZED=FALSE"}</definedName>
    <definedName name="_1814__FDSAUDITLINK__" hidden="1">{"fdsup://IBCentral/FAT Viewer?action=UPDATE&amp;creator=factset&amp;DOC_NAME=fat:reuters_qtrly_source_window.fat&amp;display_string=Audit&amp;DYN_ARGS=TRUE&amp;VAR:ID1=74439H10&amp;VAR:RCODE=LTCL&amp;VAR:SDATE=20081299&amp;VAR:FREQ=DAILY&amp;VAR:RELITEM=&amp;VAR:CURRENCY=&amp;VAR:CURRSOURCE=EXSHARE&amp;","VAR:NATFREQ=QUARTERLY&amp;VAR:RFIELD=FINALIZED&amp;VAR:DB_TYPE=&amp;VAR:UNITS=M&amp;window=popup&amp;width=450&amp;height=300&amp;START_MAXIMIZED=FALSE"}</definedName>
    <definedName name="_1815__FDSAUDITLINK__" hidden="1">{"fdsup://IBCentral/FAT Viewer?action=UPDATE&amp;creator=factset&amp;DOC_NAME=fat:reuters_qtrly_source_window.fat&amp;display_string=Audit&amp;DYN_ARGS=TRUE&amp;VAR:ID1=74439H10&amp;VAR:RCODE=ATCA&amp;VAR:SDATE=20081299&amp;VAR:FREQ=DAILY&amp;VAR:RELITEM=&amp;VAR:CURRENCY=&amp;VAR:CURRSOURCE=EXSHARE&amp;","VAR:NATFREQ=QUARTERLY&amp;VAR:RFIELD=FINALIZED&amp;VAR:DB_TYPE=&amp;VAR:UNITS=M&amp;window=popup&amp;width=450&amp;height=300&amp;START_MAXIMIZED=FALSE"}</definedName>
    <definedName name="_1816__FDSAUDITLINK__" hidden="1">{"fdsup://IBCentral/FAT Viewer?action=UPDATE&amp;creator=factset&amp;DOC_NAME=fat:reuters_qtrly_source_window.fat&amp;display_string=Audit&amp;DYN_ARGS=TRUE&amp;VAR:ID1=74439H10&amp;VAR:RCODE=ATOT&amp;VAR:SDATE=20081299&amp;VAR:FREQ=DAILY&amp;VAR:RELITEM=&amp;VAR:CURRENCY=&amp;VAR:CURRSOURCE=EXSHARE&amp;","VAR:NATFREQ=QUARTERLY&amp;VAR:RFIELD=FINALIZED&amp;VAR:DB_TYPE=&amp;VAR:UNITS=M&amp;window=popup&amp;width=450&amp;height=300&amp;START_MAXIMIZED=FALSE"}</definedName>
    <definedName name="_1817__FDSAUDITLINK__" hidden="1">{"fdsup://IBCentral/FAT Viewer?action=UPDATE&amp;creator=factset&amp;DOC_NAME=fat:reuters_qtrly_source_window.fat&amp;display_string=Audit&amp;DYN_ARGS=TRUE&amp;VAR:ID1=69336T10&amp;VAR:RCODE=LTLL&amp;VAR:SDATE=20081299&amp;VAR:FREQ=DAILY&amp;VAR:RELITEM=&amp;VAR:CURRENCY=&amp;VAR:CURRSOURCE=EXSHARE&amp;","VAR:NATFREQ=QUARTERLY&amp;VAR:RFIELD=FINALIZED&amp;VAR:DB_TYPE=&amp;VAR:UNITS=M&amp;window=popup&amp;width=450&amp;height=300&amp;START_MAXIMIZED=FALSE"}</definedName>
    <definedName name="_1818__FDSAUDITLINK__" hidden="1">{"fdsup://IBCentral/FAT Viewer?action=UPDATE&amp;creator=factset&amp;DOC_NAME=fat:reuters_qtrly_source_window.fat&amp;display_string=Audit&amp;DYN_ARGS=TRUE&amp;VAR:ID1=69336T10&amp;VAR:RCODE=LTCL&amp;VAR:SDATE=20081299&amp;VAR:FREQ=DAILY&amp;VAR:RELITEM=&amp;VAR:CURRENCY=&amp;VAR:CURRSOURCE=EXSHARE&amp;","VAR:NATFREQ=QUARTERLY&amp;VAR:RFIELD=FINALIZED&amp;VAR:DB_TYPE=&amp;VAR:UNITS=M&amp;window=popup&amp;width=450&amp;height=300&amp;START_MAXIMIZED=FALSE"}</definedName>
    <definedName name="_1819__FDSAUDITLINK__" hidden="1">{"fdsup://IBCentral/FAT Viewer?action=UPDATE&amp;creator=factset&amp;DOC_NAME=fat:reuters_qtrly_source_window.fat&amp;display_string=Audit&amp;DYN_ARGS=TRUE&amp;VAR:ID1=69336T10&amp;VAR:RCODE=ATCA&amp;VAR:SDATE=20081299&amp;VAR:FREQ=DAILY&amp;VAR:RELITEM=&amp;VAR:CURRENCY=&amp;VAR:CURRSOURCE=EXSHARE&amp;","VAR:NATFREQ=QUARTERLY&amp;VAR:RFIELD=FINALIZED&amp;VAR:DB_TYPE=&amp;VAR:UNITS=M&amp;window=popup&amp;width=450&amp;height=300&amp;START_MAXIMIZED=FALSE"}</definedName>
    <definedName name="_182__FDSAUDITLINK__" hidden="1">{"fdsup://Directions/FactSet Auditing Viewer?action=AUDIT_VALUE&amp;DB=129&amp;ID1=24869P10&amp;VALUEID=02999&amp;SDATE=201001&amp;PERIODTYPE=QTR_STD&amp;window=popup_no_bar&amp;width=385&amp;height=120&amp;START_MAXIMIZED=FALSE&amp;creator=factset&amp;display_string=Audit"}</definedName>
    <definedName name="_1820__FDSAUDITLINK__" hidden="1">{"fdsup://IBCentral/FAT Viewer?action=UPDATE&amp;creator=factset&amp;DOC_NAME=fat:reuters_qtrly_source_window.fat&amp;display_string=Audit&amp;DYN_ARGS=TRUE&amp;VAR:ID1=69336T10&amp;VAR:RCODE=ATOT&amp;VAR:SDATE=20081299&amp;VAR:FREQ=DAILY&amp;VAR:RELITEM=&amp;VAR:CURRENCY=&amp;VAR:CURRSOURCE=EXSHARE&amp;","VAR:NATFREQ=QUARTERLY&amp;VAR:RFIELD=FINALIZED&amp;VAR:DB_TYPE=&amp;VAR:UNITS=M&amp;window=popup&amp;width=450&amp;height=300&amp;START_MAXIMIZED=FALSE"}</definedName>
    <definedName name="_1821__FDSAUDITLINK__" hidden="1">{"fdsup://IBCentral/FAT Viewer?action=UPDATE&amp;creator=factset&amp;DOC_NAME=fat:reuters_qtrly_source_window.fat&amp;display_string=Audit&amp;DYN_ARGS=TRUE&amp;VAR:ID1=28885310&amp;VAR:RCODE=LTLL&amp;VAR:SDATE=20081099&amp;VAR:FREQ=DAILY&amp;VAR:RELITEM=&amp;VAR:CURRENCY=&amp;VAR:CURRSOURCE=EXSHARE&amp;","VAR:NATFREQ=QUARTERLY&amp;VAR:RFIELD=FINALIZED&amp;VAR:DB_TYPE=&amp;VAR:UNITS=M&amp;window=popup&amp;width=450&amp;height=300&amp;START_MAXIMIZED=FALSE"}</definedName>
    <definedName name="_1822__FDSAUDITLINK__" hidden="1">{"fdsup://IBCentral/FAT Viewer?action=UPDATE&amp;creator=factset&amp;DOC_NAME=fat:reuters_qtrly_source_window.fat&amp;display_string=Audit&amp;DYN_ARGS=TRUE&amp;VAR:ID1=28885310&amp;VAR:RCODE=LTCL&amp;VAR:SDATE=20081099&amp;VAR:FREQ=DAILY&amp;VAR:RELITEM=&amp;VAR:CURRENCY=&amp;VAR:CURRSOURCE=EXSHARE&amp;","VAR:NATFREQ=QUARTERLY&amp;VAR:RFIELD=FINALIZED&amp;VAR:DB_TYPE=&amp;VAR:UNITS=M&amp;window=popup&amp;width=450&amp;height=300&amp;START_MAXIMIZED=FALSE"}</definedName>
    <definedName name="_1823__FDSAUDITLINK__" hidden="1">{"fdsup://IBCentral/FAT Viewer?action=UPDATE&amp;creator=factset&amp;DOC_NAME=fat:reuters_qtrly_source_window.fat&amp;display_string=Audit&amp;DYN_ARGS=TRUE&amp;VAR:ID1=28885310&amp;VAR:RCODE=ATCA&amp;VAR:SDATE=20081099&amp;VAR:FREQ=DAILY&amp;VAR:RELITEM=&amp;VAR:CURRENCY=&amp;VAR:CURRSOURCE=EXSHARE&amp;","VAR:NATFREQ=QUARTERLY&amp;VAR:RFIELD=FINALIZED&amp;VAR:DB_TYPE=&amp;VAR:UNITS=M&amp;window=popup&amp;width=450&amp;height=300&amp;START_MAXIMIZED=FALSE"}</definedName>
    <definedName name="_1824__FDSAUDITLINK__" hidden="1">{"fdsup://IBCentral/FAT Viewer?action=UPDATE&amp;creator=factset&amp;DOC_NAME=fat:reuters_qtrly_source_window.fat&amp;display_string=Audit&amp;DYN_ARGS=TRUE&amp;VAR:ID1=28885310&amp;VAR:RCODE=ATOT&amp;VAR:SDATE=20081099&amp;VAR:FREQ=DAILY&amp;VAR:RELITEM=&amp;VAR:CURRENCY=&amp;VAR:CURRSOURCE=EXSHARE&amp;","VAR:NATFREQ=QUARTERLY&amp;VAR:RFIELD=FINALIZED&amp;VAR:DB_TYPE=&amp;VAR:UNITS=M&amp;window=popup&amp;width=450&amp;height=300&amp;START_MAXIMIZED=FALSE"}</definedName>
    <definedName name="_1825__FDSAUDITLINK__" hidden="1">{"fdsup://IBCentral/FAT Viewer?action=UPDATE&amp;creator=factset&amp;DOC_NAME=fat:reuters_qtrly_source_window.fat&amp;display_string=Audit&amp;DYN_ARGS=TRUE&amp;VAR:ID1=70959W10&amp;VAR:RCODE=LTLL&amp;VAR:SDATE=20081299&amp;VAR:FREQ=DAILY&amp;VAR:RELITEM=&amp;VAR:CURRENCY=&amp;VAR:CURRSOURCE=EXSHARE&amp;","VAR:NATFREQ=QUARTERLY&amp;VAR:RFIELD=FINALIZED&amp;VAR:DB_TYPE=&amp;VAR:UNITS=M&amp;window=popup&amp;width=450&amp;height=300&amp;START_MAXIMIZED=FALSE"}</definedName>
    <definedName name="_1826__FDSAUDITLINK__" hidden="1">{"fdsup://IBCentral/FAT Viewer?action=UPDATE&amp;creator=factset&amp;DOC_NAME=fat:reuters_qtrly_source_window.fat&amp;display_string=Audit&amp;DYN_ARGS=TRUE&amp;VAR:ID1=70959W10&amp;VAR:RCODE=LTCL&amp;VAR:SDATE=20081299&amp;VAR:FREQ=DAILY&amp;VAR:RELITEM=&amp;VAR:CURRENCY=&amp;VAR:CURRSOURCE=EXSHARE&amp;","VAR:NATFREQ=QUARTERLY&amp;VAR:RFIELD=FINALIZED&amp;VAR:DB_TYPE=&amp;VAR:UNITS=M&amp;window=popup&amp;width=450&amp;height=300&amp;START_MAXIMIZED=FALSE"}</definedName>
    <definedName name="_1827__FDSAUDITLINK__" hidden="1">{"fdsup://IBCentral/FAT Viewer?action=UPDATE&amp;creator=factset&amp;DOC_NAME=fat:reuters_qtrly_source_window.fat&amp;display_string=Audit&amp;DYN_ARGS=TRUE&amp;VAR:ID1=70959W10&amp;VAR:RCODE=ATCA&amp;VAR:SDATE=20081299&amp;VAR:FREQ=DAILY&amp;VAR:RELITEM=&amp;VAR:CURRENCY=&amp;VAR:CURRSOURCE=EXSHARE&amp;","VAR:NATFREQ=QUARTERLY&amp;VAR:RFIELD=FINALIZED&amp;VAR:DB_TYPE=&amp;VAR:UNITS=M&amp;window=popup&amp;width=450&amp;height=300&amp;START_MAXIMIZED=FALSE"}</definedName>
    <definedName name="_1828__FDSAUDITLINK__" hidden="1">{"fdsup://IBCentral/FAT Viewer?action=UPDATE&amp;creator=factset&amp;DOC_NAME=fat:reuters_qtrly_source_window.fat&amp;display_string=Audit&amp;DYN_ARGS=TRUE&amp;VAR:ID1=70959W10&amp;VAR:RCODE=ATOT&amp;VAR:SDATE=20081299&amp;VAR:FREQ=DAILY&amp;VAR:RELITEM=&amp;VAR:CURRENCY=&amp;VAR:CURRSOURCE=EXSHARE&amp;","VAR:NATFREQ=QUARTERLY&amp;VAR:RFIELD=FINALIZED&amp;VAR:DB_TYPE=&amp;VAR:UNITS=M&amp;window=popup&amp;width=450&amp;height=300&amp;START_MAXIMIZED=FALSE"}</definedName>
    <definedName name="_1829__FDSAUDITLINK__" hidden="1">{"fdsup://IBCentral/FAT Viewer?action=UPDATE&amp;creator=factset&amp;DOC_NAME=fat:reuters_qtrly_source_window.fat&amp;display_string=Audit&amp;DYN_ARGS=TRUE&amp;VAR:ID1=70108110&amp;VAR:RCODE=LTLL&amp;VAR:SDATE=20081299&amp;VAR:FREQ=DAILY&amp;VAR:RELITEM=&amp;VAR:CURRENCY=&amp;VAR:CURRSOURCE=EXSHARE&amp;","VAR:NATFREQ=QUARTERLY&amp;VAR:RFIELD=FINALIZED&amp;VAR:DB_TYPE=&amp;VAR:UNITS=M&amp;window=popup&amp;width=450&amp;height=300&amp;START_MAXIMIZED=FALSE"}</definedName>
    <definedName name="_183__FDSAUDITLINK__" hidden="1">{"fdsup://Directions/FactSet Auditing Viewer?action=AUDIT_VALUE&amp;DB=129&amp;ID1=24903010&amp;VALUEID=02999&amp;SDATE=201001&amp;PERIODTYPE=QTR_STD&amp;window=popup_no_bar&amp;width=385&amp;height=120&amp;START_MAXIMIZED=FALSE&amp;creator=factset&amp;display_string=Audit"}</definedName>
    <definedName name="_1830__FDSAUDITLINK__" hidden="1">{"fdsup://IBCentral/FAT Viewer?action=UPDATE&amp;creator=factset&amp;DOC_NAME=fat:reuters_qtrly_source_window.fat&amp;display_string=Audit&amp;DYN_ARGS=TRUE&amp;VAR:ID1=70108110&amp;VAR:RCODE=LTCL&amp;VAR:SDATE=20081299&amp;VAR:FREQ=DAILY&amp;VAR:RELITEM=&amp;VAR:CURRENCY=&amp;VAR:CURRSOURCE=EXSHARE&amp;","VAR:NATFREQ=QUARTERLY&amp;VAR:RFIELD=FINALIZED&amp;VAR:DB_TYPE=&amp;VAR:UNITS=M&amp;window=popup&amp;width=450&amp;height=300&amp;START_MAXIMIZED=FALSE"}</definedName>
    <definedName name="_1831__FDSAUDITLINK__" hidden="1">{"fdsup://IBCentral/FAT Viewer?action=UPDATE&amp;creator=factset&amp;DOC_NAME=fat:reuters_qtrly_source_window.fat&amp;display_string=Audit&amp;DYN_ARGS=TRUE&amp;VAR:ID1=70108110&amp;VAR:RCODE=ATCA&amp;VAR:SDATE=20081299&amp;VAR:FREQ=DAILY&amp;VAR:RELITEM=&amp;VAR:CURRENCY=&amp;VAR:CURRSOURCE=EXSHARE&amp;","VAR:NATFREQ=QUARTERLY&amp;VAR:RFIELD=FINALIZED&amp;VAR:DB_TYPE=&amp;VAR:UNITS=M&amp;window=popup&amp;width=450&amp;height=300&amp;START_MAXIMIZED=FALSE"}</definedName>
    <definedName name="_1832__FDSAUDITLINK__" hidden="1">{"fdsup://IBCentral/FAT Viewer?action=UPDATE&amp;creator=factset&amp;DOC_NAME=fat:reuters_qtrly_source_window.fat&amp;display_string=Audit&amp;DYN_ARGS=TRUE&amp;VAR:ID1=70108110&amp;VAR:RCODE=ATOT&amp;VAR:SDATE=20081299&amp;VAR:FREQ=DAILY&amp;VAR:RELITEM=&amp;VAR:CURRENCY=&amp;VAR:CURRSOURCE=EXSHARE&amp;","VAR:NATFREQ=QUARTERLY&amp;VAR:RFIELD=FINALIZED&amp;VAR:DB_TYPE=&amp;VAR:UNITS=M&amp;window=popup&amp;width=450&amp;height=300&amp;START_MAXIMIZED=FALSE"}</definedName>
    <definedName name="_1833__FDSAUDITLINK__" hidden="1">{"fdsup://IBCentral/FAT Viewer?action=UPDATE&amp;creator=factset&amp;DOC_NAME=fat:reuters_qtrly_source_window.fat&amp;display_string=Audit&amp;DYN_ARGS=TRUE&amp;VAR:ID1=69076840&amp;VAR:RCODE=LTLL&amp;VAR:SDATE=20081299&amp;VAR:FREQ=DAILY&amp;VAR:RELITEM=&amp;VAR:CURRENCY=&amp;VAR:CURRSOURCE=EXSHARE&amp;","VAR:NATFREQ=QUARTERLY&amp;VAR:RFIELD=FINALIZED&amp;VAR:DB_TYPE=&amp;VAR:UNITS=M&amp;window=popup&amp;width=450&amp;height=300&amp;START_MAXIMIZED=FALSE"}</definedName>
    <definedName name="_1834__FDSAUDITLINK__" hidden="1">{"fdsup://IBCentral/FAT Viewer?action=UPDATE&amp;creator=factset&amp;DOC_NAME=fat:reuters_qtrly_source_window.fat&amp;display_string=Audit&amp;DYN_ARGS=TRUE&amp;VAR:ID1=69076840&amp;VAR:RCODE=LTCL&amp;VAR:SDATE=20081299&amp;VAR:FREQ=DAILY&amp;VAR:RELITEM=&amp;VAR:CURRENCY=&amp;VAR:CURRSOURCE=EXSHARE&amp;","VAR:NATFREQ=QUARTERLY&amp;VAR:RFIELD=FINALIZED&amp;VAR:DB_TYPE=&amp;VAR:UNITS=M&amp;window=popup&amp;width=450&amp;height=300&amp;START_MAXIMIZED=FALSE"}</definedName>
    <definedName name="_1835__FDSAUDITLINK__" hidden="1">{"fdsup://IBCentral/FAT Viewer?action=UPDATE&amp;creator=factset&amp;DOC_NAME=fat:reuters_qtrly_source_window.fat&amp;display_string=Audit&amp;DYN_ARGS=TRUE&amp;VAR:ID1=69076840&amp;VAR:RCODE=ATCA&amp;VAR:SDATE=20081299&amp;VAR:FREQ=DAILY&amp;VAR:RELITEM=&amp;VAR:CURRENCY=&amp;VAR:CURRSOURCE=EXSHARE&amp;","VAR:NATFREQ=QUARTERLY&amp;VAR:RFIELD=FINALIZED&amp;VAR:DB_TYPE=&amp;VAR:UNITS=M&amp;window=popup&amp;width=450&amp;height=300&amp;START_MAXIMIZED=FALSE"}</definedName>
    <definedName name="_1836__FDSAUDITLINK__" hidden="1">{"fdsup://IBCentral/FAT Viewer?action=UPDATE&amp;creator=factset&amp;DOC_NAME=fat:reuters_qtrly_source_window.fat&amp;display_string=Audit&amp;DYN_ARGS=TRUE&amp;VAR:ID1=69076840&amp;VAR:RCODE=ATOT&amp;VAR:SDATE=20081299&amp;VAR:FREQ=DAILY&amp;VAR:RELITEM=&amp;VAR:CURRENCY=&amp;VAR:CURRSOURCE=EXSHARE&amp;","VAR:NATFREQ=QUARTERLY&amp;VAR:RFIELD=FINALIZED&amp;VAR:DB_TYPE=&amp;VAR:UNITS=M&amp;window=popup&amp;width=450&amp;height=300&amp;START_MAXIMIZED=FALSE"}</definedName>
    <definedName name="_1837__FDSAUDITLINK__" hidden="1">{"fdsup://IBCentral/FAT Viewer?action=UPDATE&amp;creator=factset&amp;DOC_NAME=fat:reuters_qtrly_source_window.fat&amp;display_string=Audit&amp;DYN_ARGS=TRUE&amp;VAR:ID1=67020Y10&amp;VAR:RCODE=LTLL&amp;VAR:SDATE=20081299&amp;VAR:FREQ=DAILY&amp;VAR:RELITEM=&amp;VAR:CURRENCY=&amp;VAR:CURRSOURCE=EXSHARE&amp;","VAR:NATFREQ=QUARTERLY&amp;VAR:RFIELD=FINALIZED&amp;VAR:DB_TYPE=&amp;VAR:UNITS=M&amp;window=popup&amp;width=450&amp;height=300&amp;START_MAXIMIZED=FALSE"}</definedName>
    <definedName name="_1838__FDSAUDITLINK__" hidden="1">{"fdsup://IBCentral/FAT Viewer?action=UPDATE&amp;creator=factset&amp;DOC_NAME=fat:reuters_qtrly_source_window.fat&amp;display_string=Audit&amp;DYN_ARGS=TRUE&amp;VAR:ID1=67020Y10&amp;VAR:RCODE=LTCL&amp;VAR:SDATE=20081299&amp;VAR:FREQ=DAILY&amp;VAR:RELITEM=&amp;VAR:CURRENCY=&amp;VAR:CURRSOURCE=EXSHARE&amp;","VAR:NATFREQ=QUARTERLY&amp;VAR:RFIELD=FINALIZED&amp;VAR:DB_TYPE=&amp;VAR:UNITS=M&amp;window=popup&amp;width=450&amp;height=300&amp;START_MAXIMIZED=FALSE"}</definedName>
    <definedName name="_1839__FDSAUDITLINK__" hidden="1">{"fdsup://IBCentral/FAT Viewer?action=UPDATE&amp;creator=factset&amp;DOC_NAME=fat:reuters_qtrly_source_window.fat&amp;display_string=Audit&amp;DYN_ARGS=TRUE&amp;VAR:ID1=67020Y10&amp;VAR:RCODE=ATCA&amp;VAR:SDATE=20081299&amp;VAR:FREQ=DAILY&amp;VAR:RELITEM=&amp;VAR:CURRENCY=&amp;VAR:CURRSOURCE=EXSHARE&amp;","VAR:NATFREQ=QUARTERLY&amp;VAR:RFIELD=FINALIZED&amp;VAR:DB_TYPE=&amp;VAR:UNITS=M&amp;window=popup&amp;width=450&amp;height=300&amp;START_MAXIMIZED=FALSE"}</definedName>
    <definedName name="_184__FDSAUDITLINK__" hidden="1">{"fdsup://Directions/FactSet Auditing Viewer?action=AUDIT_VALUE&amp;DB=129&amp;ID1=25065D10&amp;VALUEID=02999&amp;SDATE=201002&amp;PERIODTYPE=QTR_STD&amp;window=popup_no_bar&amp;width=385&amp;height=120&amp;START_MAXIMIZED=FALSE&amp;creator=factset&amp;display_string=Audit"}</definedName>
    <definedName name="_1840__FDSAUDITLINK__" hidden="1">{"fdsup://IBCentral/FAT Viewer?action=UPDATE&amp;creator=factset&amp;DOC_NAME=fat:reuters_qtrly_source_window.fat&amp;display_string=Audit&amp;DYN_ARGS=TRUE&amp;VAR:ID1=67020Y10&amp;VAR:RCODE=ATOT&amp;VAR:SDATE=20081299&amp;VAR:FREQ=DAILY&amp;VAR:RELITEM=&amp;VAR:CURRENCY=&amp;VAR:CURRSOURCE=EXSHARE&amp;","VAR:NATFREQ=QUARTERLY&amp;VAR:RFIELD=FINALIZED&amp;VAR:DB_TYPE=&amp;VAR:UNITS=M&amp;window=popup&amp;width=450&amp;height=300&amp;START_MAXIMIZED=FALSE"}</definedName>
    <definedName name="_1841__FDSAUDITLINK__" hidden="1">{"fdsup://IBCentral/FAT Viewer?action=UPDATE&amp;creator=factset&amp;DOC_NAME=fat:reuters_qtrly_source_window.fat&amp;display_string=Audit&amp;DYN_ARGS=TRUE&amp;VAR:ID1=65411N10&amp;VAR:RCODE=LTLL&amp;VAR:SDATE=20081299&amp;VAR:FREQ=DAILY&amp;VAR:RELITEM=&amp;VAR:CURRENCY=&amp;VAR:CURRSOURCE=EXSHARE&amp;","VAR:NATFREQ=QUARTERLY&amp;VAR:RFIELD=FINALIZED&amp;VAR:DB_TYPE=&amp;VAR:UNITS=M&amp;window=popup&amp;width=450&amp;height=300&amp;START_MAXIMIZED=FALSE"}</definedName>
    <definedName name="_1842__FDSAUDITLINK__" hidden="1">{"fdsup://IBCentral/FAT Viewer?action=UPDATE&amp;creator=factset&amp;DOC_NAME=fat:reuters_qtrly_source_window.fat&amp;display_string=Audit&amp;DYN_ARGS=TRUE&amp;VAR:ID1=65411N10&amp;VAR:RCODE=LTCL&amp;VAR:SDATE=20081299&amp;VAR:FREQ=DAILY&amp;VAR:RELITEM=&amp;VAR:CURRENCY=&amp;VAR:CURRSOURCE=EXSHARE&amp;","VAR:NATFREQ=QUARTERLY&amp;VAR:RFIELD=FINALIZED&amp;VAR:DB_TYPE=&amp;VAR:UNITS=M&amp;window=popup&amp;width=450&amp;height=300&amp;START_MAXIMIZED=FALSE"}</definedName>
    <definedName name="_1843__FDSAUDITLINK__" hidden="1">{"fdsup://IBCentral/FAT Viewer?action=UPDATE&amp;creator=factset&amp;DOC_NAME=fat:reuters_qtrly_source_window.fat&amp;display_string=Audit&amp;DYN_ARGS=TRUE&amp;VAR:ID1=65411N10&amp;VAR:RCODE=ATCA&amp;VAR:SDATE=20081299&amp;VAR:FREQ=DAILY&amp;VAR:RELITEM=&amp;VAR:CURRENCY=&amp;VAR:CURRSOURCE=EXSHARE&amp;","VAR:NATFREQ=QUARTERLY&amp;VAR:RFIELD=FINALIZED&amp;VAR:DB_TYPE=&amp;VAR:UNITS=M&amp;window=popup&amp;width=450&amp;height=300&amp;START_MAXIMIZED=FALSE"}</definedName>
    <definedName name="_1844__FDSAUDITLINK__" hidden="1">{"fdsup://IBCentral/FAT Viewer?action=UPDATE&amp;creator=factset&amp;DOC_NAME=fat:reuters_qtrly_source_window.fat&amp;display_string=Audit&amp;DYN_ARGS=TRUE&amp;VAR:ID1=65411N10&amp;VAR:RCODE=ATOT&amp;VAR:SDATE=20081299&amp;VAR:FREQ=DAILY&amp;VAR:RELITEM=&amp;VAR:CURRENCY=&amp;VAR:CURRSOURCE=EXSHARE&amp;","VAR:NATFREQ=QUARTERLY&amp;VAR:RFIELD=FINALIZED&amp;VAR:DB_TYPE=&amp;VAR:UNITS=M&amp;window=popup&amp;width=450&amp;height=300&amp;START_MAXIMIZED=FALSE"}</definedName>
    <definedName name="_1845__FDSAUDITLINK__" hidden="1">{"fdsup://IBCentral/FAT Viewer?action=UPDATE&amp;creator=factset&amp;DOC_NAME=fat:reuters_qtrly_source_window.fat&amp;display_string=Audit&amp;DYN_ARGS=TRUE&amp;VAR:ID1=64007910&amp;VAR:RCODE=LTLL&amp;VAR:SDATE=20081299&amp;VAR:FREQ=DAILY&amp;VAR:RELITEM=&amp;VAR:CURRENCY=&amp;VAR:CURRSOURCE=EXSHARE&amp;","VAR:NATFREQ=QUARTERLY&amp;VAR:RFIELD=FINALIZED&amp;VAR:DB_TYPE=&amp;VAR:UNITS=M&amp;window=popup&amp;width=450&amp;height=300&amp;START_MAXIMIZED=FALSE"}</definedName>
    <definedName name="_1846__FDSAUDITLINK__" hidden="1">{"fdsup://IBCentral/FAT Viewer?action=UPDATE&amp;creator=factset&amp;DOC_NAME=fat:reuters_qtrly_source_window.fat&amp;display_string=Audit&amp;DYN_ARGS=TRUE&amp;VAR:ID1=64007910&amp;VAR:RCODE=LTCL&amp;VAR:SDATE=20081299&amp;VAR:FREQ=DAILY&amp;VAR:RELITEM=&amp;VAR:CURRENCY=&amp;VAR:CURRSOURCE=EXSHARE&amp;","VAR:NATFREQ=QUARTERLY&amp;VAR:RFIELD=FINALIZED&amp;VAR:DB_TYPE=&amp;VAR:UNITS=M&amp;window=popup&amp;width=450&amp;height=300&amp;START_MAXIMIZED=FALSE"}</definedName>
    <definedName name="_1847__FDSAUDITLINK__" hidden="1">{"fdsup://IBCentral/FAT Viewer?action=UPDATE&amp;creator=factset&amp;DOC_NAME=fat:reuters_qtrly_source_window.fat&amp;display_string=Audit&amp;DYN_ARGS=TRUE&amp;VAR:ID1=64007910&amp;VAR:RCODE=ATCA&amp;VAR:SDATE=20081299&amp;VAR:FREQ=DAILY&amp;VAR:RELITEM=&amp;VAR:CURRENCY=&amp;VAR:CURRSOURCE=EXSHARE&amp;","VAR:NATFREQ=QUARTERLY&amp;VAR:RFIELD=FINALIZED&amp;VAR:DB_TYPE=&amp;VAR:UNITS=M&amp;window=popup&amp;width=450&amp;height=300&amp;START_MAXIMIZED=FALSE"}</definedName>
    <definedName name="_1848__FDSAUDITLINK__" hidden="1">{"fdsup://IBCentral/FAT Viewer?action=UPDATE&amp;creator=factset&amp;DOC_NAME=fat:reuters_qtrly_source_window.fat&amp;display_string=Audit&amp;DYN_ARGS=TRUE&amp;VAR:ID1=64007910&amp;VAR:RCODE=ATOT&amp;VAR:SDATE=20081299&amp;VAR:FREQ=DAILY&amp;VAR:RELITEM=&amp;VAR:CURRENCY=&amp;VAR:CURRSOURCE=EXSHARE&amp;","VAR:NATFREQ=QUARTERLY&amp;VAR:RFIELD=FINALIZED&amp;VAR:DB_TYPE=&amp;VAR:UNITS=M&amp;window=popup&amp;width=450&amp;height=300&amp;START_MAXIMIZED=FALSE"}</definedName>
    <definedName name="_1849__FDSAUDITLINK__" hidden="1">{"fdsup://IBCentral/FAT Viewer?action=UPDATE&amp;creator=factset&amp;DOC_NAME=fat:reuters_qtrly_source_window.fat&amp;display_string=Audit&amp;DYN_ARGS=TRUE&amp;VAR:ID1=63530910&amp;VAR:RCODE=LTLL&amp;VAR:SDATE=20081299&amp;VAR:FREQ=DAILY&amp;VAR:RELITEM=&amp;VAR:CURRENCY=&amp;VAR:CURRSOURCE=EXSHARE&amp;","VAR:NATFREQ=QUARTERLY&amp;VAR:RFIELD=FINALIZED&amp;VAR:DB_TYPE=&amp;VAR:UNITS=M&amp;window=popup&amp;width=450&amp;height=300&amp;START_MAXIMIZED=FALSE"}</definedName>
    <definedName name="_185__FDSAUDITLINK__" hidden="1">{"fdsup://Directions/FactSet Auditing Viewer?action=AUDIT_VALUE&amp;DB=129&amp;ID1=25179M10&amp;VALUEID=02999&amp;SDATE=201001&amp;PERIODTYPE=QTR_STD&amp;window=popup_no_bar&amp;width=385&amp;height=120&amp;START_MAXIMIZED=FALSE&amp;creator=factset&amp;display_string=Audit"}</definedName>
    <definedName name="_1850__FDSAUDITLINK__" hidden="1">{"fdsup://IBCentral/FAT Viewer?action=UPDATE&amp;creator=factset&amp;DOC_NAME=fat:reuters_qtrly_source_window.fat&amp;display_string=Audit&amp;DYN_ARGS=TRUE&amp;VAR:ID1=63530910&amp;VAR:RCODE=LTCL&amp;VAR:SDATE=20081299&amp;VAR:FREQ=DAILY&amp;VAR:RELITEM=&amp;VAR:CURRENCY=&amp;VAR:CURRSOURCE=EXSHARE&amp;","VAR:NATFREQ=QUARTERLY&amp;VAR:RFIELD=FINALIZED&amp;VAR:DB_TYPE=&amp;VAR:UNITS=M&amp;window=popup&amp;width=450&amp;height=300&amp;START_MAXIMIZED=FALSE"}</definedName>
    <definedName name="_1851__FDSAUDITLINK__" hidden="1">{"fdsup://IBCentral/FAT Viewer?action=UPDATE&amp;creator=factset&amp;DOC_NAME=fat:reuters_qtrly_source_window.fat&amp;display_string=Audit&amp;DYN_ARGS=TRUE&amp;VAR:ID1=63530910&amp;VAR:RCODE=ATCA&amp;VAR:SDATE=20081299&amp;VAR:FREQ=DAILY&amp;VAR:RELITEM=&amp;VAR:CURRENCY=&amp;VAR:CURRSOURCE=EXSHARE&amp;","VAR:NATFREQ=QUARTERLY&amp;VAR:RFIELD=FINALIZED&amp;VAR:DB_TYPE=&amp;VAR:UNITS=M&amp;window=popup&amp;width=450&amp;height=300&amp;START_MAXIMIZED=FALSE"}</definedName>
    <definedName name="_1852__FDSAUDITLINK__" hidden="1">{"fdsup://IBCentral/FAT Viewer?action=UPDATE&amp;creator=factset&amp;DOC_NAME=fat:reuters_qtrly_source_window.fat&amp;display_string=Audit&amp;DYN_ARGS=TRUE&amp;VAR:ID1=63530910&amp;VAR:RCODE=ATOT&amp;VAR:SDATE=20081299&amp;VAR:FREQ=DAILY&amp;VAR:RELITEM=&amp;VAR:CURRENCY=&amp;VAR:CURRSOURCE=EXSHARE&amp;","VAR:NATFREQ=QUARTERLY&amp;VAR:RFIELD=FINALIZED&amp;VAR:DB_TYPE=&amp;VAR:UNITS=M&amp;window=popup&amp;width=450&amp;height=300&amp;START_MAXIMIZED=FALSE"}</definedName>
    <definedName name="_1853__FDSAUDITLINK__" hidden="1">{"fdsup://IBCentral/FAT Viewer?action=UPDATE&amp;creator=factset&amp;DOC_NAME=fat:reuters_qtrly_source_window.fat&amp;display_string=Audit&amp;DYN_ARGS=TRUE&amp;VAR:ID1=62853010&amp;VAR:RCODE=LTLL&amp;VAR:SDATE=20081299&amp;VAR:FREQ=DAILY&amp;VAR:RELITEM=&amp;VAR:CURRENCY=&amp;VAR:CURRSOURCE=EXSHARE&amp;","VAR:NATFREQ=QUARTERLY&amp;VAR:RFIELD=FINALIZED&amp;VAR:DB_TYPE=&amp;VAR:UNITS=M&amp;window=popup&amp;width=450&amp;height=300&amp;START_MAXIMIZED=FALSE"}</definedName>
    <definedName name="_1854__FDSAUDITLINK__" hidden="1">{"fdsup://IBCentral/FAT Viewer?action=UPDATE&amp;creator=factset&amp;DOC_NAME=fat:reuters_qtrly_source_window.fat&amp;display_string=Audit&amp;DYN_ARGS=TRUE&amp;VAR:ID1=62853010&amp;VAR:RCODE=LTCL&amp;VAR:SDATE=20081299&amp;VAR:FREQ=DAILY&amp;VAR:RELITEM=&amp;VAR:CURRENCY=&amp;VAR:CURRSOURCE=EXSHARE&amp;","VAR:NATFREQ=QUARTERLY&amp;VAR:RFIELD=FINALIZED&amp;VAR:DB_TYPE=&amp;VAR:UNITS=M&amp;window=popup&amp;width=450&amp;height=300&amp;START_MAXIMIZED=FALSE"}</definedName>
    <definedName name="_1855__FDSAUDITLINK__" hidden="1">{"fdsup://IBCentral/FAT Viewer?action=UPDATE&amp;creator=factset&amp;DOC_NAME=fat:reuters_qtrly_source_window.fat&amp;display_string=Audit&amp;DYN_ARGS=TRUE&amp;VAR:ID1=62853010&amp;VAR:RCODE=ATCA&amp;VAR:SDATE=20081299&amp;VAR:FREQ=DAILY&amp;VAR:RELITEM=&amp;VAR:CURRENCY=&amp;VAR:CURRSOURCE=EXSHARE&amp;","VAR:NATFREQ=QUARTERLY&amp;VAR:RFIELD=FINALIZED&amp;VAR:DB_TYPE=&amp;VAR:UNITS=M&amp;window=popup&amp;width=450&amp;height=300&amp;START_MAXIMIZED=FALSE"}</definedName>
    <definedName name="_1856__FDSAUDITLINK__" hidden="1">{"fdsup://IBCentral/FAT Viewer?action=UPDATE&amp;creator=factset&amp;DOC_NAME=fat:reuters_qtrly_source_window.fat&amp;display_string=Audit&amp;DYN_ARGS=TRUE&amp;VAR:ID1=62853010&amp;VAR:RCODE=ATOT&amp;VAR:SDATE=20081299&amp;VAR:FREQ=DAILY&amp;VAR:RELITEM=&amp;VAR:CURRENCY=&amp;VAR:CURRSOURCE=EXSHARE&amp;","VAR:NATFREQ=QUARTERLY&amp;VAR:RFIELD=FINALIZED&amp;VAR:DB_TYPE=&amp;VAR:UNITS=M&amp;window=popup&amp;width=450&amp;height=300&amp;START_MAXIMIZED=FALSE"}</definedName>
    <definedName name="_1857__FDSAUDITLINK__" hidden="1">{"fdsup://IBCentral/FAT Viewer?action=UPDATE&amp;creator=factset&amp;DOC_NAME=fat:reuters_qtrly_source_window.fat&amp;display_string=Audit&amp;DYN_ARGS=TRUE&amp;VAR:ID1=58805610&amp;VAR:RCODE=LTLL&amp;VAR:SDATE=20081299&amp;VAR:FREQ=DAILY&amp;VAR:RELITEM=&amp;VAR:CURRENCY=&amp;VAR:CURRSOURCE=EXSHARE&amp;","VAR:NATFREQ=QUARTERLY&amp;VAR:RFIELD=FINALIZED&amp;VAR:DB_TYPE=&amp;VAR:UNITS=M&amp;window=popup&amp;width=450&amp;height=300&amp;START_MAXIMIZED=FALSE"}</definedName>
    <definedName name="_1858__FDSAUDITLINK__" hidden="1">{"fdsup://IBCentral/FAT Viewer?action=UPDATE&amp;creator=factset&amp;DOC_NAME=fat:reuters_qtrly_source_window.fat&amp;display_string=Audit&amp;DYN_ARGS=TRUE&amp;VAR:ID1=58805610&amp;VAR:RCODE=LTCL&amp;VAR:SDATE=20081299&amp;VAR:FREQ=DAILY&amp;VAR:RELITEM=&amp;VAR:CURRENCY=&amp;VAR:CURRSOURCE=EXSHARE&amp;","VAR:NATFREQ=QUARTERLY&amp;VAR:RFIELD=FINALIZED&amp;VAR:DB_TYPE=&amp;VAR:UNITS=M&amp;window=popup&amp;width=450&amp;height=300&amp;START_MAXIMIZED=FALSE"}</definedName>
    <definedName name="_1859__FDSAUDITLINK__" hidden="1">{"fdsup://IBCentral/FAT Viewer?action=UPDATE&amp;creator=factset&amp;DOC_NAME=fat:reuters_qtrly_source_window.fat&amp;display_string=Audit&amp;DYN_ARGS=TRUE&amp;VAR:ID1=58805610&amp;VAR:RCODE=ATCA&amp;VAR:SDATE=20081299&amp;VAR:FREQ=DAILY&amp;VAR:RELITEM=&amp;VAR:CURRENCY=&amp;VAR:CURRSOURCE=EXSHARE&amp;","VAR:NATFREQ=QUARTERLY&amp;VAR:RFIELD=FINALIZED&amp;VAR:DB_TYPE=&amp;VAR:UNITS=M&amp;window=popup&amp;width=450&amp;height=300&amp;START_MAXIMIZED=FALSE"}</definedName>
    <definedName name="_186__FDSAUDITLINK__" hidden="1">{"fdsup://Directions/FactSet Auditing Viewer?action=AUDIT_VALUE&amp;DB=129&amp;ID1=25271C10&amp;VALUEID=02999&amp;SDATE=201001&amp;PERIODTYPE=QTR_STD&amp;window=popup_no_bar&amp;width=385&amp;height=120&amp;START_MAXIMIZED=FALSE&amp;creator=factset&amp;display_string=Audit"}</definedName>
    <definedName name="_1860__FDSAUDITLINK__" hidden="1">{"fdsup://IBCentral/FAT Viewer?action=UPDATE&amp;creator=factset&amp;DOC_NAME=fat:reuters_qtrly_source_window.fat&amp;display_string=Audit&amp;DYN_ARGS=TRUE&amp;VAR:ID1=58805610&amp;VAR:RCODE=ATOT&amp;VAR:SDATE=20081299&amp;VAR:FREQ=DAILY&amp;VAR:RELITEM=&amp;VAR:CURRENCY=&amp;VAR:CURRSOURCE=EXSHARE&amp;","VAR:NATFREQ=QUARTERLY&amp;VAR:RFIELD=FINALIZED&amp;VAR:DB_TYPE=&amp;VAR:UNITS=M&amp;window=popup&amp;width=450&amp;height=300&amp;START_MAXIMIZED=FALSE"}</definedName>
    <definedName name="_1861__FDSAUDITLINK__" hidden="1">{"fdsup://IBCentral/FAT Viewer?action=UPDATE&amp;creator=factset&amp;DOC_NAME=fat:reuters_qtrly_source_window.fat&amp;display_string=Audit&amp;DYN_ARGS=TRUE&amp;VAR:ID1=57620610&amp;VAR:RCODE=LTLL&amp;VAR:SDATE=20081299&amp;VAR:FREQ=DAILY&amp;VAR:RELITEM=&amp;VAR:CURRENCY=&amp;VAR:CURRSOURCE=EXSHARE&amp;","VAR:NATFREQ=QUARTERLY&amp;VAR:RFIELD=FINALIZED&amp;VAR:DB_TYPE=&amp;VAR:UNITS=M&amp;window=popup&amp;width=450&amp;height=300&amp;START_MAXIMIZED=FALSE"}</definedName>
    <definedName name="_1862__FDSAUDITLINK__" hidden="1">{"fdsup://IBCentral/FAT Viewer?action=UPDATE&amp;creator=factset&amp;DOC_NAME=fat:reuters_qtrly_source_window.fat&amp;display_string=Audit&amp;DYN_ARGS=TRUE&amp;VAR:ID1=57620610&amp;VAR:RCODE=LTCL&amp;VAR:SDATE=20081299&amp;VAR:FREQ=DAILY&amp;VAR:RELITEM=&amp;VAR:CURRENCY=&amp;VAR:CURRSOURCE=EXSHARE&amp;","VAR:NATFREQ=QUARTERLY&amp;VAR:RFIELD=FINALIZED&amp;VAR:DB_TYPE=&amp;VAR:UNITS=M&amp;window=popup&amp;width=450&amp;height=300&amp;START_MAXIMIZED=FALSE"}</definedName>
    <definedName name="_1863__FDSAUDITLINK__" hidden="1">{"fdsup://IBCentral/FAT Viewer?action=UPDATE&amp;creator=factset&amp;DOC_NAME=fat:reuters_qtrly_source_window.fat&amp;display_string=Audit&amp;DYN_ARGS=TRUE&amp;VAR:ID1=57620610&amp;VAR:RCODE=ATCA&amp;VAR:SDATE=20081299&amp;VAR:FREQ=DAILY&amp;VAR:RELITEM=&amp;VAR:CURRENCY=&amp;VAR:CURRSOURCE=EXSHARE&amp;","VAR:NATFREQ=QUARTERLY&amp;VAR:RFIELD=FINALIZED&amp;VAR:DB_TYPE=&amp;VAR:UNITS=M&amp;window=popup&amp;width=450&amp;height=300&amp;START_MAXIMIZED=FALSE"}</definedName>
    <definedName name="_1864__FDSAUDITLINK__" hidden="1">{"fdsup://IBCentral/FAT Viewer?action=UPDATE&amp;creator=factset&amp;DOC_NAME=fat:reuters_qtrly_source_window.fat&amp;display_string=Audit&amp;DYN_ARGS=TRUE&amp;VAR:ID1=57620610&amp;VAR:RCODE=ATOT&amp;VAR:SDATE=20081299&amp;VAR:FREQ=DAILY&amp;VAR:RELITEM=&amp;VAR:CURRENCY=&amp;VAR:CURRSOURCE=EXSHARE&amp;","VAR:NATFREQ=QUARTERLY&amp;VAR:RFIELD=FINALIZED&amp;VAR:DB_TYPE=&amp;VAR:UNITS=M&amp;window=popup&amp;width=450&amp;height=300&amp;START_MAXIMIZED=FALSE"}</definedName>
    <definedName name="_1865__FDSAUDITLINK__" hidden="1">{"fdsup://IBCentral/FAT Viewer?action=UPDATE&amp;creator=factset&amp;DOC_NAME=fat:reuters_qtrly_source_window.fat&amp;display_string=Audit&amp;DYN_ARGS=TRUE&amp;VAR:ID1=50060P10&amp;VAR:RCODE=LTLL&amp;VAR:SDATE=20081299&amp;VAR:FREQ=DAILY&amp;VAR:RELITEM=&amp;VAR:CURRENCY=&amp;VAR:CURRSOURCE=EXSHARE&amp;","VAR:NATFREQ=QUARTERLY&amp;VAR:RFIELD=FINALIZED&amp;VAR:DB_TYPE=&amp;VAR:UNITS=M&amp;window=popup&amp;width=450&amp;height=300&amp;START_MAXIMIZED=FALSE"}</definedName>
    <definedName name="_1866__FDSAUDITLINK__" hidden="1">{"fdsup://IBCentral/FAT Viewer?action=UPDATE&amp;creator=factset&amp;DOC_NAME=fat:reuters_qtrly_source_window.fat&amp;display_string=Audit&amp;DYN_ARGS=TRUE&amp;VAR:ID1=50060P10&amp;VAR:RCODE=LTCL&amp;VAR:SDATE=20081299&amp;VAR:FREQ=DAILY&amp;VAR:RELITEM=&amp;VAR:CURRENCY=&amp;VAR:CURRSOURCE=EXSHARE&amp;","VAR:NATFREQ=QUARTERLY&amp;VAR:RFIELD=FINALIZED&amp;VAR:DB_TYPE=&amp;VAR:UNITS=M&amp;window=popup&amp;width=450&amp;height=300&amp;START_MAXIMIZED=FALSE"}</definedName>
    <definedName name="_1867__FDSAUDITLINK__" hidden="1">{"fdsup://IBCentral/FAT Viewer?action=UPDATE&amp;creator=factset&amp;DOC_NAME=fat:reuters_qtrly_source_window.fat&amp;display_string=Audit&amp;DYN_ARGS=TRUE&amp;VAR:ID1=50060P10&amp;VAR:RCODE=ATCA&amp;VAR:SDATE=20081299&amp;VAR:FREQ=DAILY&amp;VAR:RELITEM=&amp;VAR:CURRENCY=&amp;VAR:CURRSOURCE=EXSHARE&amp;","VAR:NATFREQ=QUARTERLY&amp;VAR:RFIELD=FINALIZED&amp;VAR:DB_TYPE=&amp;VAR:UNITS=M&amp;window=popup&amp;width=450&amp;height=300&amp;START_MAXIMIZED=FALSE"}</definedName>
    <definedName name="_1868__FDSAUDITLINK__" hidden="1">{"fdsup://IBCentral/FAT Viewer?action=UPDATE&amp;creator=factset&amp;DOC_NAME=fat:reuters_qtrly_source_window.fat&amp;display_string=Audit&amp;DYN_ARGS=TRUE&amp;VAR:ID1=50060P10&amp;VAR:RCODE=ATOT&amp;VAR:SDATE=20081299&amp;VAR:FREQ=DAILY&amp;VAR:RELITEM=&amp;VAR:CURRENCY=&amp;VAR:CURRSOURCE=EXSHARE&amp;","VAR:NATFREQ=QUARTERLY&amp;VAR:RFIELD=FINALIZED&amp;VAR:DB_TYPE=&amp;VAR:UNITS=M&amp;window=popup&amp;width=450&amp;height=300&amp;START_MAXIMIZED=FALSE"}</definedName>
    <definedName name="_1869__FDSAUDITLINK__" hidden="1">{"fdsup://IBCentral/FAT Viewer?action=UPDATE&amp;creator=factset&amp;DOC_NAME=fat:reuters_qtrly_source_window.fat&amp;display_string=Audit&amp;DYN_ARGS=TRUE&amp;VAR:ID1=46612K10&amp;VAR:RCODE=LTLL&amp;VAR:SDATE=20081299&amp;VAR:FREQ=DAILY&amp;VAR:RELITEM=&amp;VAR:CURRENCY=&amp;VAR:CURRSOURCE=EXSHARE&amp;","VAR:NATFREQ=QUARTERLY&amp;VAR:RFIELD=FINALIZED&amp;VAR:DB_TYPE=&amp;VAR:UNITS=M&amp;window=popup&amp;width=450&amp;height=300&amp;START_MAXIMIZED=FALSE"}</definedName>
    <definedName name="_187__FDSAUDITLINK__" hidden="1">{"fdsup://Directions/FactSet Auditing Viewer?action=AUDIT_VALUE&amp;DB=129&amp;ID1=25389M87&amp;VALUEID=02999&amp;SDATE=201001&amp;PERIODTYPE=QTR_STD&amp;window=popup_no_bar&amp;width=385&amp;height=120&amp;START_MAXIMIZED=FALSE&amp;creator=factset&amp;display_string=Audit"}</definedName>
    <definedName name="_1870__FDSAUDITLINK__" hidden="1">{"fdsup://IBCentral/FAT Viewer?action=UPDATE&amp;creator=factset&amp;DOC_NAME=fat:reuters_qtrly_source_window.fat&amp;display_string=Audit&amp;DYN_ARGS=TRUE&amp;VAR:ID1=46612K10&amp;VAR:RCODE=LTCL&amp;VAR:SDATE=20081299&amp;VAR:FREQ=DAILY&amp;VAR:RELITEM=&amp;VAR:CURRENCY=&amp;VAR:CURRSOURCE=EXSHARE&amp;","VAR:NATFREQ=QUARTERLY&amp;VAR:RFIELD=FINALIZED&amp;VAR:DB_TYPE=&amp;VAR:UNITS=M&amp;window=popup&amp;width=450&amp;height=300&amp;START_MAXIMIZED=FALSE"}</definedName>
    <definedName name="_1871__FDSAUDITLINK__" hidden="1">{"fdsup://IBCentral/FAT Viewer?action=UPDATE&amp;creator=factset&amp;DOC_NAME=fat:reuters_qtrly_source_window.fat&amp;display_string=Audit&amp;DYN_ARGS=TRUE&amp;VAR:ID1=46612K10&amp;VAR:RCODE=ATCA&amp;VAR:SDATE=20081299&amp;VAR:FREQ=DAILY&amp;VAR:RELITEM=&amp;VAR:CURRENCY=&amp;VAR:CURRSOURCE=EXSHARE&amp;","VAR:NATFREQ=QUARTERLY&amp;VAR:RFIELD=FINALIZED&amp;VAR:DB_TYPE=&amp;VAR:UNITS=M&amp;window=popup&amp;width=450&amp;height=300&amp;START_MAXIMIZED=FALSE"}</definedName>
    <definedName name="_1872__FDSAUDITLINK__" hidden="1">{"fdsup://IBCentral/FAT Viewer?action=UPDATE&amp;creator=factset&amp;DOC_NAME=fat:reuters_qtrly_source_window.fat&amp;display_string=Audit&amp;DYN_ARGS=TRUE&amp;VAR:ID1=46612K10&amp;VAR:RCODE=ATOT&amp;VAR:SDATE=20081299&amp;VAR:FREQ=DAILY&amp;VAR:RELITEM=&amp;VAR:CURRENCY=&amp;VAR:CURRSOURCE=EXSHARE&amp;","VAR:NATFREQ=QUARTERLY&amp;VAR:RFIELD=FINALIZED&amp;VAR:DB_TYPE=&amp;VAR:UNITS=M&amp;window=popup&amp;width=450&amp;height=300&amp;START_MAXIMIZED=FALSE"}</definedName>
    <definedName name="_1873__FDSAUDITLINK__" hidden="1">{"fdsup://IBCentral/FAT Viewer?action=UPDATE&amp;creator=factset&amp;DOC_NAME=fat:reuters_qtrly_source_window.fat&amp;display_string=Audit&amp;DYN_ARGS=TRUE&amp;VAR:ID1=47110910&amp;VAR:RCODE=LTLL&amp;VAR:SDATE=20081299&amp;VAR:FREQ=DAILY&amp;VAR:RELITEM=&amp;VAR:CURRENCY=&amp;VAR:CURRSOURCE=EXSHARE&amp;","VAR:NATFREQ=QUARTERLY&amp;VAR:RFIELD=FINALIZED&amp;VAR:DB_TYPE=&amp;VAR:UNITS=M&amp;window=popup&amp;width=450&amp;height=300&amp;START_MAXIMIZED=FALSE"}</definedName>
    <definedName name="_1874__FDSAUDITLINK__" hidden="1">{"fdsup://IBCentral/FAT Viewer?action=UPDATE&amp;creator=factset&amp;DOC_NAME=fat:reuters_qtrly_source_window.fat&amp;display_string=Audit&amp;DYN_ARGS=TRUE&amp;VAR:ID1=47110910&amp;VAR:RCODE=LTCL&amp;VAR:SDATE=20081299&amp;VAR:FREQ=DAILY&amp;VAR:RELITEM=&amp;VAR:CURRENCY=&amp;VAR:CURRSOURCE=EXSHARE&amp;","VAR:NATFREQ=QUARTERLY&amp;VAR:RFIELD=FINALIZED&amp;VAR:DB_TYPE=&amp;VAR:UNITS=M&amp;window=popup&amp;width=450&amp;height=300&amp;START_MAXIMIZED=FALSE"}</definedName>
    <definedName name="_1875__FDSAUDITLINK__" hidden="1">{"fdsup://IBCentral/FAT Viewer?action=UPDATE&amp;creator=factset&amp;DOC_NAME=fat:reuters_qtrly_source_window.fat&amp;display_string=Audit&amp;DYN_ARGS=TRUE&amp;VAR:ID1=47110910&amp;VAR:RCODE=ATCA&amp;VAR:SDATE=20081299&amp;VAR:FREQ=DAILY&amp;VAR:RELITEM=&amp;VAR:CURRENCY=&amp;VAR:CURRSOURCE=EXSHARE&amp;","VAR:NATFREQ=QUARTERLY&amp;VAR:RFIELD=FINALIZED&amp;VAR:DB_TYPE=&amp;VAR:UNITS=M&amp;window=popup&amp;width=450&amp;height=300&amp;START_MAXIMIZED=FALSE"}</definedName>
    <definedName name="_1876__FDSAUDITLINK__" hidden="1">{"fdsup://IBCentral/FAT Viewer?action=UPDATE&amp;creator=factset&amp;DOC_NAME=fat:reuters_qtrly_source_window.fat&amp;display_string=Audit&amp;DYN_ARGS=TRUE&amp;VAR:ID1=47110910&amp;VAR:RCODE=ATOT&amp;VAR:SDATE=20081299&amp;VAR:FREQ=DAILY&amp;VAR:RELITEM=&amp;VAR:CURRENCY=&amp;VAR:CURRSOURCE=EXSHARE&amp;","VAR:NATFREQ=QUARTERLY&amp;VAR:RFIELD=FINALIZED&amp;VAR:DB_TYPE=&amp;VAR:UNITS=M&amp;window=popup&amp;width=450&amp;height=300&amp;START_MAXIMIZED=FALSE"}</definedName>
    <definedName name="_1877__FDSAUDITLINK__" hidden="1">{"fdsup://IBCentral/FAT Viewer?action=UPDATE&amp;creator=factset&amp;DOC_NAME=fat:reuters_qtrly_source_window.fat&amp;display_string=Audit&amp;DYN_ARGS=TRUE&amp;VAR:ID1=46574110&amp;VAR:RCODE=LTLL&amp;VAR:SDATE=20081299&amp;VAR:FREQ=DAILY&amp;VAR:RELITEM=&amp;VAR:CURRENCY=&amp;VAR:CURRSOURCE=EXSHARE&amp;","VAR:NATFREQ=QUARTERLY&amp;VAR:RFIELD=FINALIZED&amp;VAR:DB_TYPE=&amp;VAR:UNITS=M&amp;window=popup&amp;width=450&amp;height=300&amp;START_MAXIMIZED=FALSE"}</definedName>
    <definedName name="_1878__FDSAUDITLINK__" hidden="1">{"fdsup://IBCentral/FAT Viewer?action=UPDATE&amp;creator=factset&amp;DOC_NAME=fat:reuters_qtrly_source_window.fat&amp;display_string=Audit&amp;DYN_ARGS=TRUE&amp;VAR:ID1=46574110&amp;VAR:RCODE=LTCL&amp;VAR:SDATE=20081299&amp;VAR:FREQ=DAILY&amp;VAR:RELITEM=&amp;VAR:CURRENCY=&amp;VAR:CURRSOURCE=EXSHARE&amp;","VAR:NATFREQ=QUARTERLY&amp;VAR:RFIELD=FINALIZED&amp;VAR:DB_TYPE=&amp;VAR:UNITS=M&amp;window=popup&amp;width=450&amp;height=300&amp;START_MAXIMIZED=FALSE"}</definedName>
    <definedName name="_1879__FDSAUDITLINK__" hidden="1">{"fdsup://IBCentral/FAT Viewer?action=UPDATE&amp;creator=factset&amp;DOC_NAME=fat:reuters_qtrly_source_window.fat&amp;display_string=Audit&amp;DYN_ARGS=TRUE&amp;VAR:ID1=46574110&amp;VAR:RCODE=ATCA&amp;VAR:SDATE=20081299&amp;VAR:FREQ=DAILY&amp;VAR:RELITEM=&amp;VAR:CURRENCY=&amp;VAR:CURRSOURCE=EXSHARE&amp;","VAR:NATFREQ=QUARTERLY&amp;VAR:RFIELD=FINALIZED&amp;VAR:DB_TYPE=&amp;VAR:UNITS=M&amp;window=popup&amp;width=450&amp;height=300&amp;START_MAXIMIZED=FALSE"}</definedName>
    <definedName name="_188__FDSAUDITLINK__" hidden="1">{"fdsup://Directions/FactSet Auditing Viewer?action=AUDIT_VALUE&amp;DB=129&amp;ID1=25406710&amp;VALUEID=02999&amp;SDATE=201001&amp;PERIODTYPE=QTR_STD&amp;window=popup_no_bar&amp;width=385&amp;height=120&amp;START_MAXIMIZED=FALSE&amp;creator=factset&amp;display_string=Audit"}</definedName>
    <definedName name="_1880__FDSAUDITLINK__" hidden="1">{"fdsup://IBCentral/FAT Viewer?action=UPDATE&amp;creator=factset&amp;DOC_NAME=fat:reuters_qtrly_source_window.fat&amp;display_string=Audit&amp;DYN_ARGS=TRUE&amp;VAR:ID1=46574110&amp;VAR:RCODE=ATOT&amp;VAR:SDATE=20081299&amp;VAR:FREQ=DAILY&amp;VAR:RELITEM=&amp;VAR:CURRENCY=&amp;VAR:CURRSOURCE=EXSHARE&amp;","VAR:NATFREQ=QUARTERLY&amp;VAR:RFIELD=FINALIZED&amp;VAR:DB_TYPE=&amp;VAR:UNITS=M&amp;window=popup&amp;width=450&amp;height=300&amp;START_MAXIMIZED=FALSE"}</definedName>
    <definedName name="_1881__FDSAUDITLINK__" hidden="1">{"fdsup://IBCentral/FAT Viewer?action=UPDATE&amp;creator=factset&amp;DOC_NAME=fat:reuters_qtrly_source_window.fat&amp;display_string=Audit&amp;DYN_ARGS=TRUE&amp;VAR:ID1=46284610&amp;VAR:RCODE=LTLL&amp;VAR:SDATE=20081299&amp;VAR:FREQ=DAILY&amp;VAR:RELITEM=&amp;VAR:CURRENCY=&amp;VAR:CURRSOURCE=EXSHARE&amp;","VAR:NATFREQ=QUARTERLY&amp;VAR:RFIELD=FINALIZED&amp;VAR:DB_TYPE=&amp;VAR:UNITS=M&amp;window=popup&amp;width=450&amp;height=300&amp;START_MAXIMIZED=FALSE"}</definedName>
    <definedName name="_1882__FDSAUDITLINK__" hidden="1">{"fdsup://IBCentral/FAT Viewer?action=UPDATE&amp;creator=factset&amp;DOC_NAME=fat:reuters_qtrly_source_window.fat&amp;display_string=Audit&amp;DYN_ARGS=TRUE&amp;VAR:ID1=46284610&amp;VAR:RCODE=LTCL&amp;VAR:SDATE=20081299&amp;VAR:FREQ=DAILY&amp;VAR:RELITEM=&amp;VAR:CURRENCY=&amp;VAR:CURRSOURCE=EXSHARE&amp;","VAR:NATFREQ=QUARTERLY&amp;VAR:RFIELD=FINALIZED&amp;VAR:DB_TYPE=&amp;VAR:UNITS=M&amp;window=popup&amp;width=450&amp;height=300&amp;START_MAXIMIZED=FALSE"}</definedName>
    <definedName name="_1883__FDSAUDITLINK__" hidden="1">{"fdsup://IBCentral/FAT Viewer?action=UPDATE&amp;creator=factset&amp;DOC_NAME=fat:reuters_qtrly_source_window.fat&amp;display_string=Audit&amp;DYN_ARGS=TRUE&amp;VAR:ID1=46284610&amp;VAR:RCODE=ATCA&amp;VAR:SDATE=20081299&amp;VAR:FREQ=DAILY&amp;VAR:RELITEM=&amp;VAR:CURRENCY=&amp;VAR:CURRSOURCE=EXSHARE&amp;","VAR:NATFREQ=QUARTERLY&amp;VAR:RFIELD=FINALIZED&amp;VAR:DB_TYPE=&amp;VAR:UNITS=M&amp;window=popup&amp;width=450&amp;height=300&amp;START_MAXIMIZED=FALSE"}</definedName>
    <definedName name="_1884__FDSAUDITLINK__" hidden="1">{"fdsup://IBCentral/FAT Viewer?action=UPDATE&amp;creator=factset&amp;DOC_NAME=fat:reuters_qtrly_source_window.fat&amp;display_string=Audit&amp;DYN_ARGS=TRUE&amp;VAR:ID1=46284610&amp;VAR:RCODE=ATOT&amp;VAR:SDATE=20081299&amp;VAR:FREQ=DAILY&amp;VAR:RELITEM=&amp;VAR:CURRENCY=&amp;VAR:CURRSOURCE=EXSHARE&amp;","VAR:NATFREQ=QUARTERLY&amp;VAR:RFIELD=FINALIZED&amp;VAR:DB_TYPE=&amp;VAR:UNITS=M&amp;window=popup&amp;width=450&amp;height=300&amp;START_MAXIMIZED=FALSE"}</definedName>
    <definedName name="_1885__FDSAUDITLINK__" hidden="1">{"fdsup://IBCentral/FAT Viewer?action=UPDATE&amp;creator=factset&amp;DOC_NAME=fat:reuters_qtrly_source_window.fat&amp;display_string=Audit&amp;DYN_ARGS=TRUE&amp;VAR:ID1=46204410&amp;VAR:RCODE=LTLL&amp;VAR:SDATE=20081299&amp;VAR:FREQ=DAILY&amp;VAR:RELITEM=&amp;VAR:CURRENCY=&amp;VAR:CURRSOURCE=EXSHARE&amp;","VAR:NATFREQ=QUARTERLY&amp;VAR:RFIELD=FINALIZED&amp;VAR:DB_TYPE=&amp;VAR:UNITS=M&amp;window=popup&amp;width=450&amp;height=300&amp;START_MAXIMIZED=FALSE"}</definedName>
    <definedName name="_1886__FDSAUDITLINK__" hidden="1">{"fdsup://IBCentral/FAT Viewer?action=UPDATE&amp;creator=factset&amp;DOC_NAME=fat:reuters_qtrly_source_window.fat&amp;display_string=Audit&amp;DYN_ARGS=TRUE&amp;VAR:ID1=46204410&amp;VAR:RCODE=LTCL&amp;VAR:SDATE=20081299&amp;VAR:FREQ=DAILY&amp;VAR:RELITEM=&amp;VAR:CURRENCY=&amp;VAR:CURRSOURCE=EXSHARE&amp;","VAR:NATFREQ=QUARTERLY&amp;VAR:RFIELD=FINALIZED&amp;VAR:DB_TYPE=&amp;VAR:UNITS=M&amp;window=popup&amp;width=450&amp;height=300&amp;START_MAXIMIZED=FALSE"}</definedName>
    <definedName name="_1887__FDSAUDITLINK__" hidden="1">{"fdsup://IBCentral/FAT Viewer?action=UPDATE&amp;creator=factset&amp;DOC_NAME=fat:reuters_qtrly_source_window.fat&amp;display_string=Audit&amp;DYN_ARGS=TRUE&amp;VAR:ID1=46204410&amp;VAR:RCODE=ATCA&amp;VAR:SDATE=20081299&amp;VAR:FREQ=DAILY&amp;VAR:RELITEM=&amp;VAR:CURRENCY=&amp;VAR:CURRSOURCE=EXSHARE&amp;","VAR:NATFREQ=QUARTERLY&amp;VAR:RFIELD=FINALIZED&amp;VAR:DB_TYPE=&amp;VAR:UNITS=M&amp;window=popup&amp;width=450&amp;height=300&amp;START_MAXIMIZED=FALSE"}</definedName>
    <definedName name="_1888__FDSAUDITLINK__" hidden="1">{"fdsup://IBCentral/FAT Viewer?action=UPDATE&amp;creator=factset&amp;DOC_NAME=fat:reuters_qtrly_source_window.fat&amp;display_string=Audit&amp;DYN_ARGS=TRUE&amp;VAR:ID1=46204410&amp;VAR:RCODE=ATOT&amp;VAR:SDATE=20081299&amp;VAR:FREQ=DAILY&amp;VAR:RELITEM=&amp;VAR:CURRENCY=&amp;VAR:CURRSOURCE=EXSHARE&amp;","VAR:NATFREQ=QUARTERLY&amp;VAR:RFIELD=FINALIZED&amp;VAR:DB_TYPE=&amp;VAR:UNITS=M&amp;window=popup&amp;width=450&amp;height=300&amp;START_MAXIMIZED=FALSE"}</definedName>
    <definedName name="_1889__FDSAUDITLINK__" hidden="1">{"fdsup://IBCentral/FAT Viewer?action=UPDATE&amp;creator=factset&amp;DOC_NAME=fat:reuters_qtrly_source_window.fat&amp;display_string=Audit&amp;DYN_ARGS=TRUE&amp;VAR:ID1=46120310&amp;VAR:RCODE=LTLL&amp;VAR:SDATE=20081299&amp;VAR:FREQ=DAILY&amp;VAR:RELITEM=&amp;VAR:CURRENCY=&amp;VAR:CURRSOURCE=EXSHARE&amp;","VAR:NATFREQ=QUARTERLY&amp;VAR:RFIELD=FINALIZED&amp;VAR:DB_TYPE=&amp;VAR:UNITS=M&amp;window=popup&amp;width=450&amp;height=300&amp;START_MAXIMIZED=FALSE"}</definedName>
    <definedName name="_189__FDSAUDITLINK__" hidden="1">{"fdsup://Directions/FactSet Auditing Viewer?action=AUDIT_VALUE&amp;DB=129&amp;ID1=25490A10&amp;VALUEID=02999&amp;SDATE=201001&amp;PERIODTYPE=QTR_STD&amp;window=popup_no_bar&amp;width=385&amp;height=120&amp;START_MAXIMIZED=FALSE&amp;creator=factset&amp;display_string=Audit"}</definedName>
    <definedName name="_1890__FDSAUDITLINK__" hidden="1">{"fdsup://IBCentral/FAT Viewer?action=UPDATE&amp;creator=factset&amp;DOC_NAME=fat:reuters_qtrly_source_window.fat&amp;display_string=Audit&amp;DYN_ARGS=TRUE&amp;VAR:ID1=46120310&amp;VAR:RCODE=LTCL&amp;VAR:SDATE=20081299&amp;VAR:FREQ=DAILY&amp;VAR:RELITEM=&amp;VAR:CURRENCY=&amp;VAR:CURRSOURCE=EXSHARE&amp;","VAR:NATFREQ=QUARTERLY&amp;VAR:RFIELD=FINALIZED&amp;VAR:DB_TYPE=&amp;VAR:UNITS=M&amp;window=popup&amp;width=450&amp;height=300&amp;START_MAXIMIZED=FALSE"}</definedName>
    <definedName name="_1891__FDSAUDITLINK__" hidden="1">{"fdsup://IBCentral/FAT Viewer?action=UPDATE&amp;creator=factset&amp;DOC_NAME=fat:reuters_qtrly_source_window.fat&amp;display_string=Audit&amp;DYN_ARGS=TRUE&amp;VAR:ID1=46120310&amp;VAR:RCODE=ATCA&amp;VAR:SDATE=20081299&amp;VAR:FREQ=DAILY&amp;VAR:RELITEM=&amp;VAR:CURRENCY=&amp;VAR:CURRSOURCE=EXSHARE&amp;","VAR:NATFREQ=QUARTERLY&amp;VAR:RFIELD=FINALIZED&amp;VAR:DB_TYPE=&amp;VAR:UNITS=M&amp;window=popup&amp;width=450&amp;height=300&amp;START_MAXIMIZED=FALSE"}</definedName>
    <definedName name="_1892__FDSAUDITLINK__" hidden="1">{"fdsup://IBCentral/FAT Viewer?action=UPDATE&amp;creator=factset&amp;DOC_NAME=fat:reuters_qtrly_source_window.fat&amp;display_string=Audit&amp;DYN_ARGS=TRUE&amp;VAR:ID1=46120310&amp;VAR:RCODE=ATOT&amp;VAR:SDATE=20081299&amp;VAR:FREQ=DAILY&amp;VAR:RELITEM=&amp;VAR:CURRENCY=&amp;VAR:CURRSOURCE=EXSHARE&amp;","VAR:NATFREQ=QUARTERLY&amp;VAR:RFIELD=FINALIZED&amp;VAR:DB_TYPE=&amp;VAR:UNITS=M&amp;window=popup&amp;width=450&amp;height=300&amp;START_MAXIMIZED=FALSE"}</definedName>
    <definedName name="_1893__FDSAUDITLINK__" hidden="1">{"fdsup://IBCentral/FAT Viewer?action=UPDATE&amp;creator=factset&amp;DOC_NAME=fat:reuters_qtrly_source_window.fat&amp;display_string=Audit&amp;DYN_ARGS=TRUE&amp;VAR:ID1=45874310&amp;VAR:RCODE=LTLL&amp;VAR:SDATE=20081299&amp;VAR:FREQ=DAILY&amp;VAR:RELITEM=&amp;VAR:CURRENCY=&amp;VAR:CURRSOURCE=EXSHARE&amp;","VAR:NATFREQ=QUARTERLY&amp;VAR:RFIELD=FINALIZED&amp;VAR:DB_TYPE=&amp;VAR:UNITS=M&amp;window=popup&amp;width=450&amp;height=300&amp;START_MAXIMIZED=FALSE"}</definedName>
    <definedName name="_1894__FDSAUDITLINK__" hidden="1">{"fdsup://IBCentral/FAT Viewer?action=UPDATE&amp;creator=factset&amp;DOC_NAME=fat:reuters_qtrly_source_window.fat&amp;display_string=Audit&amp;DYN_ARGS=TRUE&amp;VAR:ID1=45874310&amp;VAR:RCODE=LTCL&amp;VAR:SDATE=20081299&amp;VAR:FREQ=DAILY&amp;VAR:RELITEM=&amp;VAR:CURRENCY=&amp;VAR:CURRSOURCE=EXSHARE&amp;","VAR:NATFREQ=QUARTERLY&amp;VAR:RFIELD=FINALIZED&amp;VAR:DB_TYPE=&amp;VAR:UNITS=M&amp;window=popup&amp;width=450&amp;height=300&amp;START_MAXIMIZED=FALSE"}</definedName>
    <definedName name="_1895__FDSAUDITLINK__" hidden="1">{"fdsup://IBCentral/FAT Viewer?action=UPDATE&amp;creator=factset&amp;DOC_NAME=fat:reuters_qtrly_source_window.fat&amp;display_string=Audit&amp;DYN_ARGS=TRUE&amp;VAR:ID1=45874310&amp;VAR:RCODE=ATCA&amp;VAR:SDATE=20081299&amp;VAR:FREQ=DAILY&amp;VAR:RELITEM=&amp;VAR:CURRENCY=&amp;VAR:CURRSOURCE=EXSHARE&amp;","VAR:NATFREQ=QUARTERLY&amp;VAR:RFIELD=FINALIZED&amp;VAR:DB_TYPE=&amp;VAR:UNITS=M&amp;window=popup&amp;width=450&amp;height=300&amp;START_MAXIMIZED=FALSE"}</definedName>
    <definedName name="_1896__FDSAUDITLINK__" hidden="1">{"fdsup://IBCentral/FAT Viewer?action=UPDATE&amp;creator=factset&amp;DOC_NAME=fat:reuters_qtrly_source_window.fat&amp;display_string=Audit&amp;DYN_ARGS=TRUE&amp;VAR:ID1=45874310&amp;VAR:RCODE=ATOT&amp;VAR:SDATE=20081299&amp;VAR:FREQ=DAILY&amp;VAR:RELITEM=&amp;VAR:CURRENCY=&amp;VAR:CURRSOURCE=EXSHARE&amp;","VAR:NATFREQ=QUARTERLY&amp;VAR:RFIELD=FINALIZED&amp;VAR:DB_TYPE=&amp;VAR:UNITS=M&amp;window=popup&amp;width=450&amp;height=300&amp;START_MAXIMIZED=FALSE"}</definedName>
    <definedName name="_1897__FDSAUDITLINK__" hidden="1">{"fdsup://IBCentral/FAT Viewer?action=UPDATE&amp;creator=factset&amp;DOC_NAME=fat:reuters_qtrly_source_window.fat&amp;display_string=Audit&amp;DYN_ARGS=TRUE&amp;VAR:ID1=45774N10&amp;VAR:RCODE=LTLL&amp;VAR:SDATE=20081299&amp;VAR:FREQ=DAILY&amp;VAR:RELITEM=&amp;VAR:CURRENCY=&amp;VAR:CURRSOURCE=EXSHARE&amp;","VAR:NATFREQ=QUARTERLY&amp;VAR:RFIELD=FINALIZED&amp;VAR:DB_TYPE=&amp;VAR:UNITS=M&amp;window=popup&amp;width=450&amp;height=300&amp;START_MAXIMIZED=FALSE"}</definedName>
    <definedName name="_1898__FDSAUDITLINK__" hidden="1">{"fdsup://IBCentral/FAT Viewer?action=UPDATE&amp;creator=factset&amp;DOC_NAME=fat:reuters_qtrly_source_window.fat&amp;display_string=Audit&amp;DYN_ARGS=TRUE&amp;VAR:ID1=45774N10&amp;VAR:RCODE=LTCL&amp;VAR:SDATE=20081299&amp;VAR:FREQ=DAILY&amp;VAR:RELITEM=&amp;VAR:CURRENCY=&amp;VAR:CURRSOURCE=EXSHARE&amp;","VAR:NATFREQ=QUARTERLY&amp;VAR:RFIELD=FINALIZED&amp;VAR:DB_TYPE=&amp;VAR:UNITS=M&amp;window=popup&amp;width=450&amp;height=300&amp;START_MAXIMIZED=FALSE"}</definedName>
    <definedName name="_1899__FDSAUDITLINK__" hidden="1">{"fdsup://IBCentral/FAT Viewer?action=UPDATE&amp;creator=factset&amp;DOC_NAME=fat:reuters_qtrly_source_window.fat&amp;display_string=Audit&amp;DYN_ARGS=TRUE&amp;VAR:ID1=45774N10&amp;VAR:RCODE=ATCA&amp;VAR:SDATE=20081299&amp;VAR:FREQ=DAILY&amp;VAR:RELITEM=&amp;VAR:CURRENCY=&amp;VAR:CURRSOURCE=EXSHARE&amp;","VAR:NATFREQ=QUARTERLY&amp;VAR:RFIELD=FINALIZED&amp;VAR:DB_TYPE=&amp;VAR:UNITS=M&amp;window=popup&amp;width=450&amp;height=300&amp;START_MAXIMIZED=FALSE"}</definedName>
    <definedName name="_18IQ_CURRENCY_GAIN_INS" hidden="1">"c238"</definedName>
    <definedName name="_19__FDSAUDITLINK__" hidden="1">{"fdsup://Directions/FactSet Auditing Viewer?action=AUDIT_VALUE&amp;DB=129&amp;ID1=00817Y10&amp;VALUEID=02999&amp;SDATE=201001&amp;PERIODTYPE=QTR_STD&amp;window=popup_no_bar&amp;width=385&amp;height=120&amp;START_MAXIMIZED=FALSE&amp;creator=factset&amp;display_string=Audit"}</definedName>
    <definedName name="_19_0__123Grap" hidden="1">#N/A</definedName>
    <definedName name="_190__FDSAUDITLINK__" hidden="1">{"fdsup://Directions/FactSet Auditing Viewer?action=AUDIT_VALUE&amp;DB=129&amp;ID1=25470F10&amp;VALUEID=02999&amp;SDATE=201001&amp;PERIODTYPE=QTR_STD&amp;window=popup_no_bar&amp;width=385&amp;height=120&amp;START_MAXIMIZED=FALSE&amp;creator=factset&amp;display_string=Audit"}</definedName>
    <definedName name="_1900__FDSAUDITLINK__" hidden="1">{"fdsup://IBCentral/FAT Viewer?action=UPDATE&amp;creator=factset&amp;DOC_NAME=fat:reuters_qtrly_source_window.fat&amp;display_string=Audit&amp;DYN_ARGS=TRUE&amp;VAR:ID1=45774N10&amp;VAR:RCODE=ATOT&amp;VAR:SDATE=20081299&amp;VAR:FREQ=DAILY&amp;VAR:RELITEM=&amp;VAR:CURRENCY=&amp;VAR:CURRSOURCE=EXSHARE&amp;","VAR:NATFREQ=QUARTERLY&amp;VAR:RFIELD=FINALIZED&amp;VAR:DB_TYPE=&amp;VAR:UNITS=M&amp;window=popup&amp;width=450&amp;height=300&amp;START_MAXIMIZED=FALSE"}</definedName>
    <definedName name="_1901__FDSAUDITLINK__" hidden="1">{"fdsup://IBCentral/FAT Viewer?action=UPDATE&amp;creator=factset&amp;DOC_NAME=fat:reuters_qtrly_source_window.fat&amp;display_string=Audit&amp;DYN_ARGS=TRUE&amp;VAR:ID1=45105510&amp;VAR:RCODE=LTLL&amp;VAR:SDATE=20081299&amp;VAR:FREQ=DAILY&amp;VAR:RELITEM=&amp;VAR:CURRENCY=&amp;VAR:CURRSOURCE=EXSHARE&amp;","VAR:NATFREQ=QUARTERLY&amp;VAR:RFIELD=FINALIZED&amp;VAR:DB_TYPE=&amp;VAR:UNITS=M&amp;window=popup&amp;width=450&amp;height=300&amp;START_MAXIMIZED=FALSE"}</definedName>
    <definedName name="_1902__FDSAUDITLINK__" hidden="1">{"fdsup://IBCentral/FAT Viewer?action=UPDATE&amp;creator=factset&amp;DOC_NAME=fat:reuters_qtrly_source_window.fat&amp;display_string=Audit&amp;DYN_ARGS=TRUE&amp;VAR:ID1=45105510&amp;VAR:RCODE=LTCL&amp;VAR:SDATE=20081299&amp;VAR:FREQ=DAILY&amp;VAR:RELITEM=&amp;VAR:CURRENCY=&amp;VAR:CURRSOURCE=EXSHARE&amp;","VAR:NATFREQ=QUARTERLY&amp;VAR:RFIELD=FINALIZED&amp;VAR:DB_TYPE=&amp;VAR:UNITS=M&amp;window=popup&amp;width=450&amp;height=300&amp;START_MAXIMIZED=FALSE"}</definedName>
    <definedName name="_1903__FDSAUDITLINK__" hidden="1">{"fdsup://IBCentral/FAT Viewer?action=UPDATE&amp;creator=factset&amp;DOC_NAME=fat:reuters_qtrly_source_window.fat&amp;display_string=Audit&amp;DYN_ARGS=TRUE&amp;VAR:ID1=45105510&amp;VAR:RCODE=ATCA&amp;VAR:SDATE=20081299&amp;VAR:FREQ=DAILY&amp;VAR:RELITEM=&amp;VAR:CURRENCY=&amp;VAR:CURRSOURCE=EXSHARE&amp;","VAR:NATFREQ=QUARTERLY&amp;VAR:RFIELD=FINALIZED&amp;VAR:DB_TYPE=&amp;VAR:UNITS=M&amp;window=popup&amp;width=450&amp;height=300&amp;START_MAXIMIZED=FALSE"}</definedName>
    <definedName name="_1904__FDSAUDITLINK__" hidden="1">{"fdsup://IBCentral/FAT Viewer?action=UPDATE&amp;creator=factset&amp;DOC_NAME=fat:reuters_qtrly_source_window.fat&amp;display_string=Audit&amp;DYN_ARGS=TRUE&amp;VAR:ID1=45105510&amp;VAR:RCODE=ATOT&amp;VAR:SDATE=20081299&amp;VAR:FREQ=DAILY&amp;VAR:RELITEM=&amp;VAR:CURRENCY=&amp;VAR:CURRSOURCE=EXSHARE&amp;","VAR:NATFREQ=QUARTERLY&amp;VAR:RFIELD=FINALIZED&amp;VAR:DB_TYPE=&amp;VAR:UNITS=M&amp;window=popup&amp;width=450&amp;height=300&amp;START_MAXIMIZED=FALSE"}</definedName>
    <definedName name="_1905__FDSAUDITLINK__" hidden="1">{"fdsup://IBCentral/FAT Viewer?action=UPDATE&amp;creator=factset&amp;DOC_NAME=fat:reuters_qtrly_source_window.fat&amp;display_string=Audit&amp;DYN_ARGS=TRUE&amp;VAR:ID1=42193310&amp;VAR:RCODE=LTLL&amp;VAR:SDATE=20081299&amp;VAR:FREQ=DAILY&amp;VAR:RELITEM=&amp;VAR:CURRENCY=&amp;VAR:CURRSOURCE=EXSHARE&amp;","VAR:NATFREQ=QUARTERLY&amp;VAR:RFIELD=FINALIZED&amp;VAR:DB_TYPE=&amp;VAR:UNITS=M&amp;window=popup&amp;width=450&amp;height=300&amp;START_MAXIMIZED=FALSE"}</definedName>
    <definedName name="_1906__FDSAUDITLINK__" hidden="1">{"fdsup://IBCentral/FAT Viewer?action=UPDATE&amp;creator=factset&amp;DOC_NAME=fat:reuters_qtrly_source_window.fat&amp;display_string=Audit&amp;DYN_ARGS=TRUE&amp;VAR:ID1=42193310&amp;VAR:RCODE=LTCL&amp;VAR:SDATE=20081299&amp;VAR:FREQ=DAILY&amp;VAR:RELITEM=&amp;VAR:CURRENCY=&amp;VAR:CURRSOURCE=EXSHARE&amp;","VAR:NATFREQ=QUARTERLY&amp;VAR:RFIELD=FINALIZED&amp;VAR:DB_TYPE=&amp;VAR:UNITS=M&amp;window=popup&amp;width=450&amp;height=300&amp;START_MAXIMIZED=FALSE"}</definedName>
    <definedName name="_1907__FDSAUDITLINK__" hidden="1">{"fdsup://IBCentral/FAT Viewer?action=UPDATE&amp;creator=factset&amp;DOC_NAME=fat:reuters_qtrly_source_window.fat&amp;display_string=Audit&amp;DYN_ARGS=TRUE&amp;VAR:ID1=42193310&amp;VAR:RCODE=ATCA&amp;VAR:SDATE=20081299&amp;VAR:FREQ=DAILY&amp;VAR:RELITEM=&amp;VAR:CURRENCY=&amp;VAR:CURRSOURCE=EXSHARE&amp;","VAR:NATFREQ=QUARTERLY&amp;VAR:RFIELD=FINALIZED&amp;VAR:DB_TYPE=&amp;VAR:UNITS=M&amp;window=popup&amp;width=450&amp;height=300&amp;START_MAXIMIZED=FALSE"}</definedName>
    <definedName name="_1908__FDSAUDITLINK__" hidden="1">{"fdsup://IBCentral/FAT Viewer?action=UPDATE&amp;creator=factset&amp;DOC_NAME=fat:reuters_qtrly_source_window.fat&amp;display_string=Audit&amp;DYN_ARGS=TRUE&amp;VAR:ID1=42193310&amp;VAR:RCODE=ATOT&amp;VAR:SDATE=20081299&amp;VAR:FREQ=DAILY&amp;VAR:RELITEM=&amp;VAR:CURRENCY=&amp;VAR:CURRSOURCE=EXSHARE&amp;","VAR:NATFREQ=QUARTERLY&amp;VAR:RFIELD=FINALIZED&amp;VAR:DB_TYPE=&amp;VAR:UNITS=M&amp;window=popup&amp;width=450&amp;height=300&amp;START_MAXIMIZED=FALSE"}</definedName>
    <definedName name="_1909__FDSAUDITLINK__" hidden="1">{"fdsup://IBCentral/FAT Viewer?action=UPDATE&amp;creator=factset&amp;DOC_NAME=fat:reuters_qtrly_source_window.fat&amp;display_string=Audit&amp;DYN_ARGS=TRUE&amp;VAR:ID1=42210P10&amp;VAR:RCODE=LTLL&amp;VAR:SDATE=20081299&amp;VAR:FREQ=DAILY&amp;VAR:RELITEM=&amp;VAR:CURRENCY=&amp;VAR:CURRSOURCE=EXSHARE&amp;","VAR:NATFREQ=QUARTERLY&amp;VAR:RFIELD=FINALIZED&amp;VAR:DB_TYPE=&amp;VAR:UNITS=M&amp;window=popup&amp;width=450&amp;height=300&amp;START_MAXIMIZED=FALSE"}</definedName>
    <definedName name="_191__FDSAUDITLINK__" hidden="1">{"fdsup://Directions/FactSet Auditing Viewer?action=AUDIT_VALUE&amp;DB=129&amp;ID1=25660310&amp;VALUEID=02999&amp;SDATE=201001&amp;PERIODTYPE=QTR_STD&amp;window=popup_no_bar&amp;width=385&amp;height=120&amp;START_MAXIMIZED=FALSE&amp;creator=factset&amp;display_string=Audit"}</definedName>
    <definedName name="_1910__FDSAUDITLINK__" hidden="1">{"fdsup://IBCentral/FAT Viewer?action=UPDATE&amp;creator=factset&amp;DOC_NAME=fat:reuters_qtrly_source_window.fat&amp;display_string=Audit&amp;DYN_ARGS=TRUE&amp;VAR:ID1=42210P10&amp;VAR:RCODE=LTCL&amp;VAR:SDATE=20081299&amp;VAR:FREQ=DAILY&amp;VAR:RELITEM=&amp;VAR:CURRENCY=&amp;VAR:CURRSOURCE=EXSHARE&amp;","VAR:NATFREQ=QUARTERLY&amp;VAR:RFIELD=FINALIZED&amp;VAR:DB_TYPE=&amp;VAR:UNITS=M&amp;window=popup&amp;width=450&amp;height=300&amp;START_MAXIMIZED=FALSE"}</definedName>
    <definedName name="_1911__FDSAUDITLINK__" hidden="1">{"fdsup://IBCentral/FAT Viewer?action=UPDATE&amp;creator=factset&amp;DOC_NAME=fat:reuters_qtrly_source_window.fat&amp;display_string=Audit&amp;DYN_ARGS=TRUE&amp;VAR:ID1=42210P10&amp;VAR:RCODE=ATCA&amp;VAR:SDATE=20081299&amp;VAR:FREQ=DAILY&amp;VAR:RELITEM=&amp;VAR:CURRENCY=&amp;VAR:CURRSOURCE=EXSHARE&amp;","VAR:NATFREQ=QUARTERLY&amp;VAR:RFIELD=FINALIZED&amp;VAR:DB_TYPE=&amp;VAR:UNITS=M&amp;window=popup&amp;width=450&amp;height=300&amp;START_MAXIMIZED=FALSE"}</definedName>
    <definedName name="_1912__FDSAUDITLINK__" hidden="1">{"fdsup://IBCentral/FAT Viewer?action=UPDATE&amp;creator=factset&amp;DOC_NAME=fat:reuters_qtrly_source_window.fat&amp;display_string=Audit&amp;DYN_ARGS=TRUE&amp;VAR:ID1=42210P10&amp;VAR:RCODE=ATOT&amp;VAR:SDATE=20081299&amp;VAR:FREQ=DAILY&amp;VAR:RELITEM=&amp;VAR:CURRENCY=&amp;VAR:CURRSOURCE=EXSHARE&amp;","VAR:NATFREQ=QUARTERLY&amp;VAR:RFIELD=FINALIZED&amp;VAR:DB_TYPE=&amp;VAR:UNITS=M&amp;window=popup&amp;width=450&amp;height=300&amp;START_MAXIMIZED=FALSE"}</definedName>
    <definedName name="_1913__FDSAUDITLINK__" hidden="1">{"fdsup://IBCentral/FAT Viewer?action=UPDATE&amp;creator=factset&amp;DOC_NAME=fat:reuters_qtrly_source_window.fat&amp;display_string=Audit&amp;DYN_ARGS=TRUE&amp;VAR:ID1=41034510&amp;VAR:RCODE=LTLL&amp;VAR:SDATE=20081299&amp;VAR:FREQ=DAILY&amp;VAR:RELITEM=&amp;VAR:CURRENCY=&amp;VAR:CURRSOURCE=EXSHARE&amp;","VAR:NATFREQ=QUARTERLY&amp;VAR:RFIELD=FINALIZED&amp;VAR:DB_TYPE=&amp;VAR:UNITS=M&amp;window=popup&amp;width=450&amp;height=300&amp;START_MAXIMIZED=FALSE"}</definedName>
    <definedName name="_1914__FDSAUDITLINK__" hidden="1">{"fdsup://IBCentral/FAT Viewer?action=UPDATE&amp;creator=factset&amp;DOC_NAME=fat:reuters_qtrly_source_window.fat&amp;display_string=Audit&amp;DYN_ARGS=TRUE&amp;VAR:ID1=41034510&amp;VAR:RCODE=LTCL&amp;VAR:SDATE=20081299&amp;VAR:FREQ=DAILY&amp;VAR:RELITEM=&amp;VAR:CURRENCY=&amp;VAR:CURRSOURCE=EXSHARE&amp;","VAR:NATFREQ=QUARTERLY&amp;VAR:RFIELD=FINALIZED&amp;VAR:DB_TYPE=&amp;VAR:UNITS=M&amp;window=popup&amp;width=450&amp;height=300&amp;START_MAXIMIZED=FALSE"}</definedName>
    <definedName name="_1915__FDSAUDITLINK__" hidden="1">{"fdsup://IBCentral/FAT Viewer?action=UPDATE&amp;creator=factset&amp;DOC_NAME=fat:reuters_qtrly_source_window.fat&amp;display_string=Audit&amp;DYN_ARGS=TRUE&amp;VAR:ID1=41034510&amp;VAR:RCODE=ATCA&amp;VAR:SDATE=20081299&amp;VAR:FREQ=DAILY&amp;VAR:RELITEM=&amp;VAR:CURRENCY=&amp;VAR:CURRSOURCE=EXSHARE&amp;","VAR:NATFREQ=QUARTERLY&amp;VAR:RFIELD=FINALIZED&amp;VAR:DB_TYPE=&amp;VAR:UNITS=M&amp;window=popup&amp;width=450&amp;height=300&amp;START_MAXIMIZED=FALSE"}</definedName>
    <definedName name="_1916__FDSAUDITLINK__" hidden="1">{"fdsup://IBCentral/FAT Viewer?action=UPDATE&amp;creator=factset&amp;DOC_NAME=fat:reuters_qtrly_source_window.fat&amp;display_string=Audit&amp;DYN_ARGS=TRUE&amp;VAR:ID1=41034510&amp;VAR:RCODE=ATOT&amp;VAR:SDATE=20081299&amp;VAR:FREQ=DAILY&amp;VAR:RELITEM=&amp;VAR:CURRENCY=&amp;VAR:CURRSOURCE=EXSHARE&amp;","VAR:NATFREQ=QUARTERLY&amp;VAR:RFIELD=FINALIZED&amp;VAR:DB_TYPE=&amp;VAR:UNITS=M&amp;window=popup&amp;width=450&amp;height=300&amp;START_MAXIMIZED=FALSE"}</definedName>
    <definedName name="_1917__FDSAUDITLINK__" hidden="1">{"fdsup://IBCentral/FAT Viewer?action=UPDATE&amp;creator=factset&amp;DOC_NAME=fat:reuters_qtrly_source_window.fat&amp;display_string=Audit&amp;DYN_ARGS=TRUE&amp;VAR:ID1=37245X20&amp;VAR:RCODE=LTLL&amp;VAR:SDATE=20081299&amp;VAR:FREQ=DAILY&amp;VAR:RELITEM=&amp;VAR:CURRENCY=&amp;VAR:CURRSOURCE=EXSHARE&amp;","VAR:NATFREQ=QUARTERLY&amp;VAR:RFIELD=FINALIZED&amp;VAR:DB_TYPE=&amp;VAR:UNITS=M&amp;window=popup&amp;width=450&amp;height=300&amp;START_MAXIMIZED=FALSE"}</definedName>
    <definedName name="_1918__FDSAUDITLINK__" hidden="1">{"fdsup://IBCentral/FAT Viewer?action=UPDATE&amp;creator=factset&amp;DOC_NAME=fat:reuters_qtrly_source_window.fat&amp;display_string=Audit&amp;DYN_ARGS=TRUE&amp;VAR:ID1=37245X20&amp;VAR:RCODE=LTCL&amp;VAR:SDATE=20081299&amp;VAR:FREQ=DAILY&amp;VAR:RELITEM=&amp;VAR:CURRENCY=&amp;VAR:CURRSOURCE=EXSHARE&amp;","VAR:NATFREQ=QUARTERLY&amp;VAR:RFIELD=FINALIZED&amp;VAR:DB_TYPE=&amp;VAR:UNITS=M&amp;window=popup&amp;width=450&amp;height=300&amp;START_MAXIMIZED=FALSE"}</definedName>
    <definedName name="_1919__FDSAUDITLINK__" hidden="1">{"fdsup://IBCentral/FAT Viewer?action=UPDATE&amp;creator=factset&amp;DOC_NAME=fat:reuters_qtrly_source_window.fat&amp;display_string=Audit&amp;DYN_ARGS=TRUE&amp;VAR:ID1=37245X20&amp;VAR:RCODE=ATCA&amp;VAR:SDATE=20081299&amp;VAR:FREQ=DAILY&amp;VAR:RELITEM=&amp;VAR:CURRENCY=&amp;VAR:CURRSOURCE=EXSHARE&amp;","VAR:NATFREQ=QUARTERLY&amp;VAR:RFIELD=FINALIZED&amp;VAR:DB_TYPE=&amp;VAR:UNITS=M&amp;window=popup&amp;width=450&amp;height=300&amp;START_MAXIMIZED=FALSE"}</definedName>
    <definedName name="_192__FDSAUDITLINK__" hidden="1">{"fdsup://Directions/FactSet Auditing Viewer?action=AUDIT_VALUE&amp;DB=129&amp;ID1=25667710&amp;VALUEID=02999&amp;SDATE=201001&amp;PERIODTYPE=QTR_STD&amp;window=popup_no_bar&amp;width=385&amp;height=120&amp;START_MAXIMIZED=FALSE&amp;creator=factset&amp;display_string=Audit"}</definedName>
    <definedName name="_1920__FDSAUDITLINK__" hidden="1">{"fdsup://IBCentral/FAT Viewer?action=UPDATE&amp;creator=factset&amp;DOC_NAME=fat:reuters_qtrly_source_window.fat&amp;display_string=Audit&amp;DYN_ARGS=TRUE&amp;VAR:ID1=37245X20&amp;VAR:RCODE=ATOT&amp;VAR:SDATE=20081299&amp;VAR:FREQ=DAILY&amp;VAR:RELITEM=&amp;VAR:CURRENCY=&amp;VAR:CURRSOURCE=EXSHARE&amp;","VAR:NATFREQ=QUARTERLY&amp;VAR:RFIELD=FINALIZED&amp;VAR:DB_TYPE=&amp;VAR:UNITS=M&amp;window=popup&amp;width=450&amp;height=300&amp;START_MAXIMIZED=FALSE"}</definedName>
    <definedName name="_1921__FDSAUDITLINK__" hidden="1">{"fdsup://IBCentral/FAT Viewer?action=UPDATE&amp;creator=factset&amp;DOC_NAME=fat:reuters_qtrly_source_window.fat&amp;display_string=Audit&amp;DYN_ARGS=TRUE&amp;VAR:ID1=37153210&amp;VAR:RCODE=LTLL&amp;VAR:SDATE=20081099&amp;VAR:FREQ=DAILY&amp;VAR:RELITEM=&amp;VAR:CURRENCY=&amp;VAR:CURRSOURCE=EXSHARE&amp;","VAR:NATFREQ=QUARTERLY&amp;VAR:RFIELD=FINALIZED&amp;VAR:DB_TYPE=&amp;VAR:UNITS=M&amp;window=popup&amp;width=450&amp;height=300&amp;START_MAXIMIZED=FALSE"}</definedName>
    <definedName name="_1922__FDSAUDITLINK__" hidden="1">{"fdsup://IBCentral/FAT Viewer?action=UPDATE&amp;creator=factset&amp;DOC_NAME=fat:reuters_qtrly_source_window.fat&amp;display_string=Audit&amp;DYN_ARGS=TRUE&amp;VAR:ID1=37153210&amp;VAR:RCODE=LTCL&amp;VAR:SDATE=20081099&amp;VAR:FREQ=DAILY&amp;VAR:RELITEM=&amp;VAR:CURRENCY=&amp;VAR:CURRSOURCE=EXSHARE&amp;","VAR:NATFREQ=QUARTERLY&amp;VAR:RFIELD=FINALIZED&amp;VAR:DB_TYPE=&amp;VAR:UNITS=M&amp;window=popup&amp;width=450&amp;height=300&amp;START_MAXIMIZED=FALSE"}</definedName>
    <definedName name="_1923__FDSAUDITLINK__" hidden="1">{"fdsup://IBCentral/FAT Viewer?action=UPDATE&amp;creator=factset&amp;DOC_NAME=fat:reuters_qtrly_source_window.fat&amp;display_string=Audit&amp;DYN_ARGS=TRUE&amp;VAR:ID1=37153210&amp;VAR:RCODE=ATCA&amp;VAR:SDATE=20081099&amp;VAR:FREQ=DAILY&amp;VAR:RELITEM=&amp;VAR:CURRENCY=&amp;VAR:CURRSOURCE=EXSHARE&amp;","VAR:NATFREQ=QUARTERLY&amp;VAR:RFIELD=FINALIZED&amp;VAR:DB_TYPE=&amp;VAR:UNITS=M&amp;window=popup&amp;width=450&amp;height=300&amp;START_MAXIMIZED=FALSE"}</definedName>
    <definedName name="_1924__FDSAUDITLINK__" hidden="1">{"fdsup://IBCentral/FAT Viewer?action=UPDATE&amp;creator=factset&amp;DOC_NAME=fat:reuters_qtrly_source_window.fat&amp;display_string=Audit&amp;DYN_ARGS=TRUE&amp;VAR:ID1=37153210&amp;VAR:RCODE=ATOT&amp;VAR:SDATE=20081099&amp;VAR:FREQ=DAILY&amp;VAR:RELITEM=&amp;VAR:CURRENCY=&amp;VAR:CURRSOURCE=EXSHARE&amp;","VAR:NATFREQ=QUARTERLY&amp;VAR:RFIELD=FINALIZED&amp;VAR:DB_TYPE=&amp;VAR:UNITS=M&amp;window=popup&amp;width=450&amp;height=300&amp;START_MAXIMIZED=FALSE"}</definedName>
    <definedName name="_1925__FDSAUDITLINK__" hidden="1">{"fdsup://IBCentral/FAT Viewer?action=UPDATE&amp;creator=factset&amp;DOC_NAME=fat:reuters_qtrly_source_window.fat&amp;display_string=Audit&amp;DYN_ARGS=TRUE&amp;VAR:ID1=33775620&amp;VAR:RCODE=LTLL&amp;VAR:SDATE=20081299&amp;VAR:FREQ=DAILY&amp;VAR:RELITEM=&amp;VAR:CURRENCY=&amp;VAR:CURRSOURCE=EXSHARE&amp;","VAR:NATFREQ=QUARTERLY&amp;VAR:RFIELD=FINALIZED&amp;VAR:DB_TYPE=&amp;VAR:UNITS=M&amp;window=popup&amp;width=450&amp;height=300&amp;START_MAXIMIZED=FALSE"}</definedName>
    <definedName name="_1926__FDSAUDITLINK__" hidden="1">{"fdsup://IBCentral/FAT Viewer?action=UPDATE&amp;creator=factset&amp;DOC_NAME=fat:reuters_qtrly_source_window.fat&amp;display_string=Audit&amp;DYN_ARGS=TRUE&amp;VAR:ID1=33775620&amp;VAR:RCODE=LTCL&amp;VAR:SDATE=20081299&amp;VAR:FREQ=DAILY&amp;VAR:RELITEM=&amp;VAR:CURRENCY=&amp;VAR:CURRSOURCE=EXSHARE&amp;","VAR:NATFREQ=QUARTERLY&amp;VAR:RFIELD=FINALIZED&amp;VAR:DB_TYPE=&amp;VAR:UNITS=M&amp;window=popup&amp;width=450&amp;height=300&amp;START_MAXIMIZED=FALSE"}</definedName>
    <definedName name="_1927__FDSAUDITLINK__" hidden="1">{"fdsup://IBCentral/FAT Viewer?action=UPDATE&amp;creator=factset&amp;DOC_NAME=fat:reuters_qtrly_source_window.fat&amp;display_string=Audit&amp;DYN_ARGS=TRUE&amp;VAR:ID1=33775620&amp;VAR:RCODE=ATCA&amp;VAR:SDATE=20081299&amp;VAR:FREQ=DAILY&amp;VAR:RELITEM=&amp;VAR:CURRENCY=&amp;VAR:CURRSOURCE=EXSHARE&amp;","VAR:NATFREQ=QUARTERLY&amp;VAR:RFIELD=FINALIZED&amp;VAR:DB_TYPE=&amp;VAR:UNITS=M&amp;window=popup&amp;width=450&amp;height=300&amp;START_MAXIMIZED=FALSE"}</definedName>
    <definedName name="_1928__FDSAUDITLINK__" hidden="1">{"fdsup://IBCentral/FAT Viewer?action=UPDATE&amp;creator=factset&amp;DOC_NAME=fat:reuters_qtrly_source_window.fat&amp;display_string=Audit&amp;DYN_ARGS=TRUE&amp;VAR:ID1=33775620&amp;VAR:RCODE=ATOT&amp;VAR:SDATE=20081299&amp;VAR:FREQ=DAILY&amp;VAR:RELITEM=&amp;VAR:CURRENCY=&amp;VAR:CURRSOURCE=EXSHARE&amp;","VAR:NATFREQ=QUARTERLY&amp;VAR:RFIELD=FINALIZED&amp;VAR:DB_TYPE=&amp;VAR:UNITS=M&amp;window=popup&amp;width=450&amp;height=300&amp;START_MAXIMIZED=FALSE"}</definedName>
    <definedName name="_1929__FDSAUDITLINK__" hidden="1">{"fdsup://IBCentral/FAT Viewer?action=UPDATE&amp;creator=factset&amp;DOC_NAME=fat:reuters_qtrly_source_window.fat&amp;display_string=Audit&amp;DYN_ARGS=TRUE&amp;VAR:ID1=31540510&amp;VAR:RCODE=LTLL&amp;VAR:SDATE=20081299&amp;VAR:FREQ=DAILY&amp;VAR:RELITEM=&amp;VAR:CURRENCY=&amp;VAR:CURRSOURCE=EXSHARE&amp;","VAR:NATFREQ=QUARTERLY&amp;VAR:RFIELD=FINALIZED&amp;VAR:DB_TYPE=&amp;VAR:UNITS=M&amp;window=popup&amp;width=450&amp;height=300&amp;START_MAXIMIZED=FALSE"}</definedName>
    <definedName name="_193__FDSAUDITLINK__" hidden="1">{"fdsup://Directions/FactSet Auditing Viewer?action=AUDIT_VALUE&amp;DB=129&amp;ID1=25674310&amp;VALUEID=02999&amp;SDATE=201001&amp;PERIODTYPE=QTR_STD&amp;window=popup_no_bar&amp;width=385&amp;height=120&amp;START_MAXIMIZED=FALSE&amp;creator=factset&amp;display_string=Audit"}</definedName>
    <definedName name="_1930__FDSAUDITLINK__" hidden="1">{"fdsup://IBCentral/FAT Viewer?action=UPDATE&amp;creator=factset&amp;DOC_NAME=fat:reuters_qtrly_source_window.fat&amp;display_string=Audit&amp;DYN_ARGS=TRUE&amp;VAR:ID1=31540510&amp;VAR:RCODE=LTCL&amp;VAR:SDATE=20081299&amp;VAR:FREQ=DAILY&amp;VAR:RELITEM=&amp;VAR:CURRENCY=&amp;VAR:CURRSOURCE=EXSHARE&amp;","VAR:NATFREQ=QUARTERLY&amp;VAR:RFIELD=FINALIZED&amp;VAR:DB_TYPE=&amp;VAR:UNITS=M&amp;window=popup&amp;width=450&amp;height=300&amp;START_MAXIMIZED=FALSE"}</definedName>
    <definedName name="_1931__FDSAUDITLINK__" hidden="1">{"fdsup://IBCentral/FAT Viewer?action=UPDATE&amp;creator=factset&amp;DOC_NAME=fat:reuters_qtrly_source_window.fat&amp;display_string=Audit&amp;DYN_ARGS=TRUE&amp;VAR:ID1=31540510&amp;VAR:RCODE=ATCA&amp;VAR:SDATE=20081299&amp;VAR:FREQ=DAILY&amp;VAR:RELITEM=&amp;VAR:CURRENCY=&amp;VAR:CURRSOURCE=EXSHARE&amp;","VAR:NATFREQ=QUARTERLY&amp;VAR:RFIELD=FINALIZED&amp;VAR:DB_TYPE=&amp;VAR:UNITS=M&amp;window=popup&amp;width=450&amp;height=300&amp;START_MAXIMIZED=FALSE"}</definedName>
    <definedName name="_1932__FDSAUDITLINK__" hidden="1">{"fdsup://IBCentral/FAT Viewer?action=UPDATE&amp;creator=factset&amp;DOC_NAME=fat:reuters_qtrly_source_window.fat&amp;display_string=Audit&amp;DYN_ARGS=TRUE&amp;VAR:ID1=31540510&amp;VAR:RCODE=ATOT&amp;VAR:SDATE=20081299&amp;VAR:FREQ=DAILY&amp;VAR:RELITEM=&amp;VAR:CURRENCY=&amp;VAR:CURRSOURCE=EXSHARE&amp;","VAR:NATFREQ=QUARTERLY&amp;VAR:RFIELD=FINALIZED&amp;VAR:DB_TYPE=&amp;VAR:UNITS=M&amp;window=popup&amp;width=450&amp;height=300&amp;START_MAXIMIZED=FALSE"}</definedName>
    <definedName name="_1933__FDSAUDITLINK__" hidden="1">{"fdsup://IBCentral/FAT Viewer?action=UPDATE&amp;creator=factset&amp;DOC_NAME=fat:reuters_qtrly_source_window.fat&amp;display_string=Audit&amp;DYN_ARGS=TRUE&amp;VAR:ID1=29873610&amp;VAR:RCODE=LTLL&amp;VAR:SDATE=20081299&amp;VAR:FREQ=DAILY&amp;VAR:RELITEM=&amp;VAR:CURRENCY=&amp;VAR:CURRSOURCE=EXSHARE&amp;","VAR:NATFREQ=QUARTERLY&amp;VAR:RFIELD=FINALIZED&amp;VAR:DB_TYPE=&amp;VAR:UNITS=M&amp;window=popup&amp;width=450&amp;height=300&amp;START_MAXIMIZED=FALSE"}</definedName>
    <definedName name="_1934__FDSAUDITLINK__" hidden="1">{"fdsup://IBCentral/FAT Viewer?action=UPDATE&amp;creator=factset&amp;DOC_NAME=fat:reuters_qtrly_source_window.fat&amp;display_string=Audit&amp;DYN_ARGS=TRUE&amp;VAR:ID1=29873610&amp;VAR:RCODE=LTCL&amp;VAR:SDATE=20081299&amp;VAR:FREQ=DAILY&amp;VAR:RELITEM=&amp;VAR:CURRENCY=&amp;VAR:CURRSOURCE=EXSHARE&amp;","VAR:NATFREQ=QUARTERLY&amp;VAR:RFIELD=FINALIZED&amp;VAR:DB_TYPE=&amp;VAR:UNITS=M&amp;window=popup&amp;width=450&amp;height=300&amp;START_MAXIMIZED=FALSE"}</definedName>
    <definedName name="_1935__FDSAUDITLINK__" hidden="1">{"fdsup://IBCentral/FAT Viewer?action=UPDATE&amp;creator=factset&amp;DOC_NAME=fat:reuters_qtrly_source_window.fat&amp;display_string=Audit&amp;DYN_ARGS=TRUE&amp;VAR:ID1=29873610&amp;VAR:RCODE=ATCA&amp;VAR:SDATE=20081299&amp;VAR:FREQ=DAILY&amp;VAR:RELITEM=&amp;VAR:CURRENCY=&amp;VAR:CURRSOURCE=EXSHARE&amp;","VAR:NATFREQ=QUARTERLY&amp;VAR:RFIELD=FINALIZED&amp;VAR:DB_TYPE=&amp;VAR:UNITS=M&amp;window=popup&amp;width=450&amp;height=300&amp;START_MAXIMIZED=FALSE"}</definedName>
    <definedName name="_1936__FDSAUDITLINK__" hidden="1">{"fdsup://IBCentral/FAT Viewer?action=UPDATE&amp;creator=factset&amp;DOC_NAME=fat:reuters_qtrly_source_window.fat&amp;display_string=Audit&amp;DYN_ARGS=TRUE&amp;VAR:ID1=29873610&amp;VAR:RCODE=ATOT&amp;VAR:SDATE=20081299&amp;VAR:FREQ=DAILY&amp;VAR:RELITEM=&amp;VAR:CURRENCY=&amp;VAR:CURRSOURCE=EXSHARE&amp;","VAR:NATFREQ=QUARTERLY&amp;VAR:RFIELD=FINALIZED&amp;VAR:DB_TYPE=&amp;VAR:UNITS=M&amp;window=popup&amp;width=450&amp;height=300&amp;START_MAXIMIZED=FALSE"}</definedName>
    <definedName name="_1937__FDSAUDITLINK__" hidden="1">{"fdsup://IBCentral/FAT Viewer?action=UPDATE&amp;creator=factset&amp;DOC_NAME=fat:reuters_qtrly_source_window.fat&amp;display_string=Audit&amp;DYN_ARGS=TRUE&amp;VAR:ID1=29275Y10&amp;VAR:RCODE=LTLL&amp;VAR:SDATE=20081299&amp;VAR:FREQ=DAILY&amp;VAR:RELITEM=&amp;VAR:CURRENCY=&amp;VAR:CURRSOURCE=EXSHARE&amp;","VAR:NATFREQ=QUARTERLY&amp;VAR:RFIELD=FINALIZED&amp;VAR:DB_TYPE=&amp;VAR:UNITS=M&amp;window=popup&amp;width=450&amp;height=300&amp;START_MAXIMIZED=FALSE"}</definedName>
    <definedName name="_1938__FDSAUDITLINK__" hidden="1">{"fdsup://IBCentral/FAT Viewer?action=UPDATE&amp;creator=factset&amp;DOC_NAME=fat:reuters_qtrly_source_window.fat&amp;display_string=Audit&amp;DYN_ARGS=TRUE&amp;VAR:ID1=29275Y10&amp;VAR:RCODE=LTCL&amp;VAR:SDATE=20081299&amp;VAR:FREQ=DAILY&amp;VAR:RELITEM=&amp;VAR:CURRENCY=&amp;VAR:CURRSOURCE=EXSHARE&amp;","VAR:NATFREQ=QUARTERLY&amp;VAR:RFIELD=FINALIZED&amp;VAR:DB_TYPE=&amp;VAR:UNITS=M&amp;window=popup&amp;width=450&amp;height=300&amp;START_MAXIMIZED=FALSE"}</definedName>
    <definedName name="_1939__FDSAUDITLINK__" hidden="1">{"fdsup://IBCentral/FAT Viewer?action=UPDATE&amp;creator=factset&amp;DOC_NAME=fat:reuters_qtrly_source_window.fat&amp;display_string=Audit&amp;DYN_ARGS=TRUE&amp;VAR:ID1=29275Y10&amp;VAR:RCODE=ATCA&amp;VAR:SDATE=20081299&amp;VAR:FREQ=DAILY&amp;VAR:RELITEM=&amp;VAR:CURRENCY=&amp;VAR:CURRSOURCE=EXSHARE&amp;","VAR:NATFREQ=QUARTERLY&amp;VAR:RFIELD=FINALIZED&amp;VAR:DB_TYPE=&amp;VAR:UNITS=M&amp;window=popup&amp;width=450&amp;height=300&amp;START_MAXIMIZED=FALSE"}</definedName>
    <definedName name="_194__FDSAUDITLINK__" hidden="1">{"fdsup://Directions/FactSet Auditing Viewer?action=AUDIT_VALUE&amp;DB=129&amp;ID1=B1T84Z&amp;VALUEID=02999&amp;SDATE=201001&amp;PERIODTYPE=QTR_STD&amp;window=popup_no_bar&amp;width=385&amp;height=120&amp;START_MAXIMIZED=FALSE&amp;creator=factset&amp;display_string=Audit"}</definedName>
    <definedName name="_1940__FDSAUDITLINK__" hidden="1">{"fdsup://IBCentral/FAT Viewer?action=UPDATE&amp;creator=factset&amp;DOC_NAME=fat:reuters_qtrly_source_window.fat&amp;display_string=Audit&amp;DYN_ARGS=TRUE&amp;VAR:ID1=29275Y10&amp;VAR:RCODE=ATOT&amp;VAR:SDATE=20081299&amp;VAR:FREQ=DAILY&amp;VAR:RELITEM=&amp;VAR:CURRENCY=&amp;VAR:CURRSOURCE=EXSHARE&amp;","VAR:NATFREQ=QUARTERLY&amp;VAR:RFIELD=FINALIZED&amp;VAR:DB_TYPE=&amp;VAR:UNITS=M&amp;window=popup&amp;width=450&amp;height=300&amp;START_MAXIMIZED=FALSE"}</definedName>
    <definedName name="_1941__FDSAUDITLINK__" hidden="1">{"fdsup://IBCentral/FAT Viewer?action=UPDATE&amp;creator=factset&amp;DOC_NAME=fat:reuters_qtrly_source_window.fat&amp;display_string=Audit&amp;DYN_ARGS=TRUE&amp;VAR:ID1=27746110&amp;VAR:RCODE=LTLL&amp;VAR:SDATE=20081299&amp;VAR:FREQ=DAILY&amp;VAR:RELITEM=&amp;VAR:CURRENCY=&amp;VAR:CURRSOURCE=EXSHARE&amp;","VAR:NATFREQ=QUARTERLY&amp;VAR:RFIELD=FINALIZED&amp;VAR:DB_TYPE=&amp;VAR:UNITS=M&amp;window=popup&amp;width=450&amp;height=300&amp;START_MAXIMIZED=FALSE"}</definedName>
    <definedName name="_1942__FDSAUDITLINK__" hidden="1">{"fdsup://IBCentral/FAT Viewer?action=UPDATE&amp;creator=factset&amp;DOC_NAME=fat:reuters_qtrly_source_window.fat&amp;display_string=Audit&amp;DYN_ARGS=TRUE&amp;VAR:ID1=27746110&amp;VAR:RCODE=LTCL&amp;VAR:SDATE=20081299&amp;VAR:FREQ=DAILY&amp;VAR:RELITEM=&amp;VAR:CURRENCY=&amp;VAR:CURRSOURCE=EXSHARE&amp;","VAR:NATFREQ=QUARTERLY&amp;VAR:RFIELD=FINALIZED&amp;VAR:DB_TYPE=&amp;VAR:UNITS=M&amp;window=popup&amp;width=450&amp;height=300&amp;START_MAXIMIZED=FALSE"}</definedName>
    <definedName name="_1943__FDSAUDITLINK__" hidden="1">{"fdsup://IBCentral/FAT Viewer?action=UPDATE&amp;creator=factset&amp;DOC_NAME=fat:reuters_qtrly_source_window.fat&amp;display_string=Audit&amp;DYN_ARGS=TRUE&amp;VAR:ID1=27746110&amp;VAR:RCODE=ATCA&amp;VAR:SDATE=20081299&amp;VAR:FREQ=DAILY&amp;VAR:RELITEM=&amp;VAR:CURRENCY=&amp;VAR:CURRSOURCE=EXSHARE&amp;","VAR:NATFREQ=QUARTERLY&amp;VAR:RFIELD=FINALIZED&amp;VAR:DB_TYPE=&amp;VAR:UNITS=M&amp;window=popup&amp;width=450&amp;height=300&amp;START_MAXIMIZED=FALSE"}</definedName>
    <definedName name="_1944__FDSAUDITLINK__" hidden="1">{"fdsup://IBCentral/FAT Viewer?action=UPDATE&amp;creator=factset&amp;DOC_NAME=fat:reuters_qtrly_source_window.fat&amp;display_string=Audit&amp;DYN_ARGS=TRUE&amp;VAR:ID1=27746110&amp;VAR:RCODE=ATOT&amp;VAR:SDATE=20081299&amp;VAR:FREQ=DAILY&amp;VAR:RELITEM=&amp;VAR:CURRENCY=&amp;VAR:CURRSOURCE=EXSHARE&amp;","VAR:NATFREQ=QUARTERLY&amp;VAR:RFIELD=FINALIZED&amp;VAR:DB_TYPE=&amp;VAR:UNITS=M&amp;window=popup&amp;width=450&amp;height=300&amp;START_MAXIMIZED=FALSE"}</definedName>
    <definedName name="_1945__FDSAUDITLINK__" hidden="1">{"fdsup://IBCentral/FAT Viewer?action=UPDATE&amp;creator=factset&amp;DOC_NAME=fat:reuters_qtrly_source_window.fat&amp;display_string=Audit&amp;DYN_ARGS=TRUE&amp;VAR:ID1=25406710&amp;VAR:RCODE=LTLL&amp;VAR:SDATE=20081099&amp;VAR:FREQ=DAILY&amp;VAR:RELITEM=&amp;VAR:CURRENCY=&amp;VAR:CURRSOURCE=EXSHARE&amp;","VAR:NATFREQ=QUARTERLY&amp;VAR:RFIELD=FINALIZED&amp;VAR:DB_TYPE=&amp;VAR:UNITS=M&amp;window=popup&amp;width=450&amp;height=300&amp;START_MAXIMIZED=FALSE"}</definedName>
    <definedName name="_1946__FDSAUDITLINK__" hidden="1">{"fdsup://IBCentral/FAT Viewer?action=UPDATE&amp;creator=factset&amp;DOC_NAME=fat:reuters_qtrly_source_window.fat&amp;display_string=Audit&amp;DYN_ARGS=TRUE&amp;VAR:ID1=25406710&amp;VAR:RCODE=LTCL&amp;VAR:SDATE=20081099&amp;VAR:FREQ=DAILY&amp;VAR:RELITEM=&amp;VAR:CURRENCY=&amp;VAR:CURRSOURCE=EXSHARE&amp;","VAR:NATFREQ=QUARTERLY&amp;VAR:RFIELD=FINALIZED&amp;VAR:DB_TYPE=&amp;VAR:UNITS=M&amp;window=popup&amp;width=450&amp;height=300&amp;START_MAXIMIZED=FALSE"}</definedName>
    <definedName name="_1947__FDSAUDITLINK__" hidden="1">{"fdsup://IBCentral/FAT Viewer?action=UPDATE&amp;creator=factset&amp;DOC_NAME=fat:reuters_qtrly_source_window.fat&amp;display_string=Audit&amp;DYN_ARGS=TRUE&amp;VAR:ID1=25406710&amp;VAR:RCODE=ATCA&amp;VAR:SDATE=20081099&amp;VAR:FREQ=DAILY&amp;VAR:RELITEM=&amp;VAR:CURRENCY=&amp;VAR:CURRSOURCE=EXSHARE&amp;","VAR:NATFREQ=QUARTERLY&amp;VAR:RFIELD=FINALIZED&amp;VAR:DB_TYPE=&amp;VAR:UNITS=M&amp;window=popup&amp;width=450&amp;height=300&amp;START_MAXIMIZED=FALSE"}</definedName>
    <definedName name="_1948__FDSAUDITLINK__" hidden="1">{"fdsup://IBCentral/FAT Viewer?action=UPDATE&amp;creator=factset&amp;DOC_NAME=fat:reuters_qtrly_source_window.fat&amp;display_string=Audit&amp;DYN_ARGS=TRUE&amp;VAR:ID1=25406710&amp;VAR:RCODE=ATOT&amp;VAR:SDATE=20081099&amp;VAR:FREQ=DAILY&amp;VAR:RELITEM=&amp;VAR:CURRENCY=&amp;VAR:CURRSOURCE=EXSHARE&amp;","VAR:NATFREQ=QUARTERLY&amp;VAR:RFIELD=FINALIZED&amp;VAR:DB_TYPE=&amp;VAR:UNITS=M&amp;window=popup&amp;width=450&amp;height=300&amp;START_MAXIMIZED=FALSE"}</definedName>
    <definedName name="_1949__FDSAUDITLINK__" hidden="1">{"fdsup://IBCentral/FAT Viewer?action=UPDATE&amp;creator=factset&amp;DOC_NAME=fat:reuters_qtrly_source_window.fat&amp;display_string=Audit&amp;DYN_ARGS=TRUE&amp;VAR:ID1=21914110&amp;VAR:RCODE=LTLL&amp;VAR:SDATE=20081299&amp;VAR:FREQ=DAILY&amp;VAR:RELITEM=&amp;VAR:CURRENCY=&amp;VAR:CURRSOURCE=EXSHARE&amp;","VAR:NATFREQ=QUARTERLY&amp;VAR:RFIELD=FINALIZED&amp;VAR:DB_TYPE=&amp;VAR:UNITS=M&amp;window=popup&amp;width=450&amp;height=300&amp;START_MAXIMIZED=FALSE"}</definedName>
    <definedName name="_195__FDSAUDITLINK__" hidden="1">{"fdsup://Directions/FactSet Auditing Viewer?action=AUDIT_VALUE&amp;DB=129&amp;ID1=26000310&amp;VALUEID=02999&amp;SDATE=201001&amp;PERIODTYPE=QTR_STD&amp;window=popup_no_bar&amp;width=385&amp;height=120&amp;START_MAXIMIZED=FALSE&amp;creator=factset&amp;display_string=Audit"}</definedName>
    <definedName name="_1950__FDSAUDITLINK__" hidden="1">{"fdsup://IBCentral/FAT Viewer?action=UPDATE&amp;creator=factset&amp;DOC_NAME=fat:reuters_qtrly_source_window.fat&amp;display_string=Audit&amp;DYN_ARGS=TRUE&amp;VAR:ID1=21914110&amp;VAR:RCODE=LTCL&amp;VAR:SDATE=20081299&amp;VAR:FREQ=DAILY&amp;VAR:RELITEM=&amp;VAR:CURRENCY=&amp;VAR:CURRSOURCE=EXSHARE&amp;","VAR:NATFREQ=QUARTERLY&amp;VAR:RFIELD=FINALIZED&amp;VAR:DB_TYPE=&amp;VAR:UNITS=M&amp;window=popup&amp;width=450&amp;height=300&amp;START_MAXIMIZED=FALSE"}</definedName>
    <definedName name="_1951__FDSAUDITLINK__" hidden="1">{"fdsup://IBCentral/FAT Viewer?action=UPDATE&amp;creator=factset&amp;DOC_NAME=fat:reuters_qtrly_source_window.fat&amp;display_string=Audit&amp;DYN_ARGS=TRUE&amp;VAR:ID1=21914110&amp;VAR:RCODE=ATCA&amp;VAR:SDATE=20081299&amp;VAR:FREQ=DAILY&amp;VAR:RELITEM=&amp;VAR:CURRENCY=&amp;VAR:CURRSOURCE=EXSHARE&amp;","VAR:NATFREQ=QUARTERLY&amp;VAR:RFIELD=FINALIZED&amp;VAR:DB_TYPE=&amp;VAR:UNITS=M&amp;window=popup&amp;width=450&amp;height=300&amp;START_MAXIMIZED=FALSE"}</definedName>
    <definedName name="_1952__FDSAUDITLINK__" hidden="1">{"fdsup://IBCentral/FAT Viewer?action=UPDATE&amp;creator=factset&amp;DOC_NAME=fat:reuters_qtrly_source_window.fat&amp;display_string=Audit&amp;DYN_ARGS=TRUE&amp;VAR:ID1=21914110&amp;VAR:RCODE=ATOT&amp;VAR:SDATE=20081299&amp;VAR:FREQ=DAILY&amp;VAR:RELITEM=&amp;VAR:CURRENCY=&amp;VAR:CURRSOURCE=EXSHARE&amp;","VAR:NATFREQ=QUARTERLY&amp;VAR:RFIELD=FINALIZED&amp;VAR:DB_TYPE=&amp;VAR:UNITS=M&amp;window=popup&amp;width=450&amp;height=300&amp;START_MAXIMIZED=FALSE"}</definedName>
    <definedName name="_1953__FDSAUDITLINK__" hidden="1">{"fdsup://IBCentral/FAT Viewer?action=UPDATE&amp;creator=factset&amp;DOC_NAME=fat:reuters_qtrly_source_window.fat&amp;display_string=Audit&amp;DYN_ARGS=TRUE&amp;VAR:ID1=20576820&amp;VAR:RCODE=LTLL&amp;VAR:SDATE=20081299&amp;VAR:FREQ=DAILY&amp;VAR:RELITEM=&amp;VAR:CURRENCY=&amp;VAR:CURRSOURCE=EXSHARE&amp;","VAR:NATFREQ=QUARTERLY&amp;VAR:RFIELD=FINALIZED&amp;VAR:DB_TYPE=&amp;VAR:UNITS=M&amp;window=popup&amp;width=450&amp;height=300&amp;START_MAXIMIZED=FALSE"}</definedName>
    <definedName name="_1954__FDSAUDITLINK__" hidden="1">{"fdsup://IBCentral/FAT Viewer?action=UPDATE&amp;creator=factset&amp;DOC_NAME=fat:reuters_qtrly_source_window.fat&amp;display_string=Audit&amp;DYN_ARGS=TRUE&amp;VAR:ID1=20576820&amp;VAR:RCODE=LTCL&amp;VAR:SDATE=20081299&amp;VAR:FREQ=DAILY&amp;VAR:RELITEM=&amp;VAR:CURRENCY=&amp;VAR:CURRSOURCE=EXSHARE&amp;","VAR:NATFREQ=QUARTERLY&amp;VAR:RFIELD=FINALIZED&amp;VAR:DB_TYPE=&amp;VAR:UNITS=M&amp;window=popup&amp;width=450&amp;height=300&amp;START_MAXIMIZED=FALSE"}</definedName>
    <definedName name="_1955__FDSAUDITLINK__" hidden="1">{"fdsup://IBCentral/FAT Viewer?action=UPDATE&amp;creator=factset&amp;DOC_NAME=fat:reuters_qtrly_source_window.fat&amp;display_string=Audit&amp;DYN_ARGS=TRUE&amp;VAR:ID1=20576820&amp;VAR:RCODE=ATCA&amp;VAR:SDATE=20081299&amp;VAR:FREQ=DAILY&amp;VAR:RELITEM=&amp;VAR:CURRENCY=&amp;VAR:CURRSOURCE=EXSHARE&amp;","VAR:NATFREQ=QUARTERLY&amp;VAR:RFIELD=FINALIZED&amp;VAR:DB_TYPE=&amp;VAR:UNITS=M&amp;window=popup&amp;width=450&amp;height=300&amp;START_MAXIMIZED=FALSE"}</definedName>
    <definedName name="_1956__FDSAUDITLINK__" hidden="1">{"fdsup://IBCentral/FAT Viewer?action=UPDATE&amp;creator=factset&amp;DOC_NAME=fat:reuters_qtrly_source_window.fat&amp;display_string=Audit&amp;DYN_ARGS=TRUE&amp;VAR:ID1=20576820&amp;VAR:RCODE=ATOT&amp;VAR:SDATE=20081299&amp;VAR:FREQ=DAILY&amp;VAR:RELITEM=&amp;VAR:CURRENCY=&amp;VAR:CURRSOURCE=EXSHARE&amp;","VAR:NATFREQ=QUARTERLY&amp;VAR:RFIELD=FINALIZED&amp;VAR:DB_TYPE=&amp;VAR:UNITS=M&amp;window=popup&amp;width=450&amp;height=300&amp;START_MAXIMIZED=FALSE"}</definedName>
    <definedName name="_1957__FDSAUDITLINK__" hidden="1">{"fdsup://IBCentral/FAT Viewer?action=UPDATE&amp;creator=factset&amp;DOC_NAME=fat:reuters_qtrly_source_window.fat&amp;display_string=Audit&amp;DYN_ARGS=TRUE&amp;VAR:ID1=20453E10&amp;VAR:RCODE=LTLL&amp;VAR:SDATE=20081299&amp;VAR:FREQ=DAILY&amp;VAR:RELITEM=&amp;VAR:CURRENCY=&amp;VAR:CURRSOURCE=EXSHARE&amp;","VAR:NATFREQ=QUARTERLY&amp;VAR:RFIELD=FINALIZED&amp;VAR:DB_TYPE=&amp;VAR:UNITS=M&amp;window=popup&amp;width=450&amp;height=300&amp;START_MAXIMIZED=FALSE"}</definedName>
    <definedName name="_1958__FDSAUDITLINK__" hidden="1">{"fdsup://IBCentral/FAT Viewer?action=UPDATE&amp;creator=factset&amp;DOC_NAME=fat:reuters_qtrly_source_window.fat&amp;display_string=Audit&amp;DYN_ARGS=TRUE&amp;VAR:ID1=20453E10&amp;VAR:RCODE=LTCL&amp;VAR:SDATE=20081299&amp;VAR:FREQ=DAILY&amp;VAR:RELITEM=&amp;VAR:CURRENCY=&amp;VAR:CURRSOURCE=EXSHARE&amp;","VAR:NATFREQ=QUARTERLY&amp;VAR:RFIELD=FINALIZED&amp;VAR:DB_TYPE=&amp;VAR:UNITS=M&amp;window=popup&amp;width=450&amp;height=300&amp;START_MAXIMIZED=FALSE"}</definedName>
    <definedName name="_1959__FDSAUDITLINK__" hidden="1">{"fdsup://IBCentral/FAT Viewer?action=UPDATE&amp;creator=factset&amp;DOC_NAME=fat:reuters_qtrly_source_window.fat&amp;display_string=Audit&amp;DYN_ARGS=TRUE&amp;VAR:ID1=20453E10&amp;VAR:RCODE=ATCA&amp;VAR:SDATE=20081299&amp;VAR:FREQ=DAILY&amp;VAR:RELITEM=&amp;VAR:CURRENCY=&amp;VAR:CURRSOURCE=EXSHARE&amp;","VAR:NATFREQ=QUARTERLY&amp;VAR:RFIELD=FINALIZED&amp;VAR:DB_TYPE=&amp;VAR:UNITS=M&amp;window=popup&amp;width=450&amp;height=300&amp;START_MAXIMIZED=FALSE"}</definedName>
    <definedName name="_196__FDSAUDITLINK__" hidden="1">{"fdsup://Directions/FactSet Auditing Viewer?action=AUDIT_VALUE&amp;DB=129&amp;ID1=26054310&amp;VALUEID=02999&amp;SDATE=201001&amp;PERIODTYPE=QTR_STD&amp;window=popup_no_bar&amp;width=385&amp;height=120&amp;START_MAXIMIZED=FALSE&amp;creator=factset&amp;display_string=Audit"}</definedName>
    <definedName name="_1960__FDSAUDITLINK__" hidden="1">{"fdsup://IBCentral/FAT Viewer?action=UPDATE&amp;creator=factset&amp;DOC_NAME=fat:reuters_qtrly_source_window.fat&amp;display_string=Audit&amp;DYN_ARGS=TRUE&amp;VAR:ID1=20453E10&amp;VAR:RCODE=ATOT&amp;VAR:SDATE=20081299&amp;VAR:FREQ=DAILY&amp;VAR:RELITEM=&amp;VAR:CURRENCY=&amp;VAR:CURRSOURCE=EXSHARE&amp;","VAR:NATFREQ=QUARTERLY&amp;VAR:RFIELD=FINALIZED&amp;VAR:DB_TYPE=&amp;VAR:UNITS=M&amp;window=popup&amp;width=450&amp;height=300&amp;START_MAXIMIZED=FALSE"}</definedName>
    <definedName name="_1961__FDSAUDITLINK__" hidden="1">{"fdsup://IBCentral/FAT Viewer?action=UPDATE&amp;creator=factset&amp;DOC_NAME=fat:reuters_qtrly_source_window.fat&amp;display_string=Audit&amp;DYN_ARGS=TRUE&amp;VAR:ID1=20260810&amp;VAR:RCODE=LTLL&amp;VAR:SDATE=20081299&amp;VAR:FREQ=DAILY&amp;VAR:RELITEM=&amp;VAR:CURRENCY=&amp;VAR:CURRSOURCE=EXSHARE&amp;","VAR:NATFREQ=QUARTERLY&amp;VAR:RFIELD=FINALIZED&amp;VAR:DB_TYPE=&amp;VAR:UNITS=M&amp;window=popup&amp;width=450&amp;height=300&amp;START_MAXIMIZED=FALSE"}</definedName>
    <definedName name="_1962__FDSAUDITLINK__" hidden="1">{"fdsup://IBCentral/FAT Viewer?action=UPDATE&amp;creator=factset&amp;DOC_NAME=fat:reuters_qtrly_source_window.fat&amp;display_string=Audit&amp;DYN_ARGS=TRUE&amp;VAR:ID1=20260810&amp;VAR:RCODE=LTCL&amp;VAR:SDATE=20081299&amp;VAR:FREQ=DAILY&amp;VAR:RELITEM=&amp;VAR:CURRENCY=&amp;VAR:CURRSOURCE=EXSHARE&amp;","VAR:NATFREQ=QUARTERLY&amp;VAR:RFIELD=FINALIZED&amp;VAR:DB_TYPE=&amp;VAR:UNITS=M&amp;window=popup&amp;width=450&amp;height=300&amp;START_MAXIMIZED=FALSE"}</definedName>
    <definedName name="_1963__FDSAUDITLINK__" hidden="1">{"fdsup://IBCentral/FAT Viewer?action=UPDATE&amp;creator=factset&amp;DOC_NAME=fat:reuters_qtrly_source_window.fat&amp;display_string=Audit&amp;DYN_ARGS=TRUE&amp;VAR:ID1=20260810&amp;VAR:RCODE=ATCA&amp;VAR:SDATE=20081299&amp;VAR:FREQ=DAILY&amp;VAR:RELITEM=&amp;VAR:CURRENCY=&amp;VAR:CURRSOURCE=EXSHARE&amp;","VAR:NATFREQ=QUARTERLY&amp;VAR:RFIELD=FINALIZED&amp;VAR:DB_TYPE=&amp;VAR:UNITS=M&amp;window=popup&amp;width=450&amp;height=300&amp;START_MAXIMIZED=FALSE"}</definedName>
    <definedName name="_1964__FDSAUDITLINK__" hidden="1">{"fdsup://IBCentral/FAT Viewer?action=UPDATE&amp;creator=factset&amp;DOC_NAME=fat:reuters_qtrly_source_window.fat&amp;display_string=Audit&amp;DYN_ARGS=TRUE&amp;VAR:ID1=20260810&amp;VAR:RCODE=ATOT&amp;VAR:SDATE=20081299&amp;VAR:FREQ=DAILY&amp;VAR:RELITEM=&amp;VAR:CURRENCY=&amp;VAR:CURRSOURCE=EXSHARE&amp;","VAR:NATFREQ=QUARTERLY&amp;VAR:RFIELD=FINALIZED&amp;VAR:DB_TYPE=&amp;VAR:UNITS=M&amp;window=popup&amp;width=450&amp;height=300&amp;START_MAXIMIZED=FALSE"}</definedName>
    <definedName name="_1965__FDSAUDITLINK__" hidden="1">{"fdsup://IBCentral/FAT Viewer?action=UPDATE&amp;creator=factset&amp;DOC_NAME=fat:reuters_qtrly_source_window.fat&amp;display_string=Audit&amp;DYN_ARGS=TRUE&amp;VAR:ID1=19345930&amp;VAR:RCODE=LTLL&amp;VAR:SDATE=20081299&amp;VAR:FREQ=DAILY&amp;VAR:RELITEM=&amp;VAR:CURRENCY=&amp;VAR:CURRSOURCE=EXSHARE&amp;","VAR:NATFREQ=QUARTERLY&amp;VAR:RFIELD=FINALIZED&amp;VAR:DB_TYPE=&amp;VAR:UNITS=M&amp;window=popup&amp;width=450&amp;height=300&amp;START_MAXIMIZED=FALSE"}</definedName>
    <definedName name="_1966__FDSAUDITLINK__" hidden="1">{"fdsup://IBCentral/FAT Viewer?action=UPDATE&amp;creator=factset&amp;DOC_NAME=fat:reuters_qtrly_source_window.fat&amp;display_string=Audit&amp;DYN_ARGS=TRUE&amp;VAR:ID1=19345930&amp;VAR:RCODE=LTCL&amp;VAR:SDATE=20081299&amp;VAR:FREQ=DAILY&amp;VAR:RELITEM=&amp;VAR:CURRENCY=&amp;VAR:CURRSOURCE=EXSHARE&amp;","VAR:NATFREQ=QUARTERLY&amp;VAR:RFIELD=FINALIZED&amp;VAR:DB_TYPE=&amp;VAR:UNITS=M&amp;window=popup&amp;width=450&amp;height=300&amp;START_MAXIMIZED=FALSE"}</definedName>
    <definedName name="_1967__FDSAUDITLINK__" hidden="1">{"fdsup://IBCentral/FAT Viewer?action=UPDATE&amp;creator=factset&amp;DOC_NAME=fat:reuters_qtrly_source_window.fat&amp;display_string=Audit&amp;DYN_ARGS=TRUE&amp;VAR:ID1=19345930&amp;VAR:RCODE=ATCA&amp;VAR:SDATE=20081299&amp;VAR:FREQ=DAILY&amp;VAR:RELITEM=&amp;VAR:CURRENCY=&amp;VAR:CURRSOURCE=EXSHARE&amp;","VAR:NATFREQ=QUARTERLY&amp;VAR:RFIELD=FINALIZED&amp;VAR:DB_TYPE=&amp;VAR:UNITS=M&amp;window=popup&amp;width=450&amp;height=300&amp;START_MAXIMIZED=FALSE"}</definedName>
    <definedName name="_1968__FDSAUDITLINK__" hidden="1">{"fdsup://IBCentral/FAT Viewer?action=UPDATE&amp;creator=factset&amp;DOC_NAME=fat:reuters_qtrly_source_window.fat&amp;display_string=Audit&amp;DYN_ARGS=TRUE&amp;VAR:ID1=19345930&amp;VAR:RCODE=ATOT&amp;VAR:SDATE=20081299&amp;VAR:FREQ=DAILY&amp;VAR:RELITEM=&amp;VAR:CURRENCY=&amp;VAR:CURRSOURCE=EXSHARE&amp;","VAR:NATFREQ=QUARTERLY&amp;VAR:RFIELD=FINALIZED&amp;VAR:DB_TYPE=&amp;VAR:UNITS=M&amp;window=popup&amp;width=450&amp;height=300&amp;START_MAXIMIZED=FALSE"}</definedName>
    <definedName name="_1969__FDSAUDITLINK__" hidden="1">{"fdsup://IBCentral/FAT Viewer?action=UPDATE&amp;creator=factset&amp;DOC_NAME=fat:reuters_qtrly_source_window.fat&amp;display_string=Audit&amp;DYN_ARGS=TRUE&amp;VAR:ID1=16389310&amp;VAR:RCODE=LTLL&amp;VAR:SDATE=20081299&amp;VAR:FREQ=DAILY&amp;VAR:RELITEM=&amp;VAR:CURRENCY=&amp;VAR:CURRSOURCE=EXSHARE&amp;","VAR:NATFREQ=QUARTERLY&amp;VAR:RFIELD=FINALIZED&amp;VAR:DB_TYPE=&amp;VAR:UNITS=M&amp;window=popup&amp;width=450&amp;height=300&amp;START_MAXIMIZED=FALSE"}</definedName>
    <definedName name="_197__FDSAUDITLINK__" hidden="1">{"fdsup://Directions/FactSet Auditing Viewer?action=AUDIT_VALUE&amp;DB=129&amp;ID1=26138E10&amp;VALUEID=02999&amp;SDATE=201001&amp;PERIODTYPE=QTR_STD&amp;window=popup_no_bar&amp;width=385&amp;height=120&amp;START_MAXIMIZED=FALSE&amp;creator=factset&amp;display_string=Audit"}</definedName>
    <definedName name="_1970__FDSAUDITLINK__" hidden="1">{"fdsup://IBCentral/FAT Viewer?action=UPDATE&amp;creator=factset&amp;DOC_NAME=fat:reuters_qtrly_source_window.fat&amp;display_string=Audit&amp;DYN_ARGS=TRUE&amp;VAR:ID1=16389310&amp;VAR:RCODE=LTCL&amp;VAR:SDATE=20081299&amp;VAR:FREQ=DAILY&amp;VAR:RELITEM=&amp;VAR:CURRENCY=&amp;VAR:CURRSOURCE=EXSHARE&amp;","VAR:NATFREQ=QUARTERLY&amp;VAR:RFIELD=FINALIZED&amp;VAR:DB_TYPE=&amp;VAR:UNITS=M&amp;window=popup&amp;width=450&amp;height=300&amp;START_MAXIMIZED=FALSE"}</definedName>
    <definedName name="_1971__FDSAUDITLINK__" hidden="1">{"fdsup://IBCentral/FAT Viewer?action=UPDATE&amp;creator=factset&amp;DOC_NAME=fat:reuters_qtrly_source_window.fat&amp;display_string=Audit&amp;DYN_ARGS=TRUE&amp;VAR:ID1=16389310&amp;VAR:RCODE=ATCA&amp;VAR:SDATE=20081299&amp;VAR:FREQ=DAILY&amp;VAR:RELITEM=&amp;VAR:CURRENCY=&amp;VAR:CURRSOURCE=EXSHARE&amp;","VAR:NATFREQ=QUARTERLY&amp;VAR:RFIELD=FINALIZED&amp;VAR:DB_TYPE=&amp;VAR:UNITS=M&amp;window=popup&amp;width=450&amp;height=300&amp;START_MAXIMIZED=FALSE"}</definedName>
    <definedName name="_1972__FDSAUDITLINK__" hidden="1">{"fdsup://IBCentral/FAT Viewer?action=UPDATE&amp;creator=factset&amp;DOC_NAME=fat:reuters_qtrly_source_window.fat&amp;display_string=Audit&amp;DYN_ARGS=TRUE&amp;VAR:ID1=16389310&amp;VAR:RCODE=ATOT&amp;VAR:SDATE=20081299&amp;VAR:FREQ=DAILY&amp;VAR:RELITEM=&amp;VAR:CURRENCY=&amp;VAR:CURRSOURCE=EXSHARE&amp;","VAR:NATFREQ=QUARTERLY&amp;VAR:RFIELD=FINALIZED&amp;VAR:DB_TYPE=&amp;VAR:UNITS=M&amp;window=popup&amp;width=450&amp;height=300&amp;START_MAXIMIZED=FALSE"}</definedName>
    <definedName name="_1973__FDSAUDITLINK__" hidden="1">{"fdsup://IBCentral/FAT Viewer?action=UPDATE&amp;creator=factset&amp;DOC_NAME=fat:reuters_qtrly_source_window.fat&amp;display_string=Audit&amp;DYN_ARGS=TRUE&amp;VAR:ID1=16115Q30&amp;VAR:RCODE=LTLL&amp;VAR:SDATE=20081299&amp;VAR:FREQ=DAILY&amp;VAR:RELITEM=&amp;VAR:CURRENCY=&amp;VAR:CURRSOURCE=EXSHARE&amp;","VAR:NATFREQ=QUARTERLY&amp;VAR:RFIELD=FINALIZED&amp;VAR:DB_TYPE=&amp;VAR:UNITS=M&amp;window=popup&amp;width=450&amp;height=300&amp;START_MAXIMIZED=FALSE"}</definedName>
    <definedName name="_1974__FDSAUDITLINK__" hidden="1">{"fdsup://IBCentral/FAT Viewer?action=UPDATE&amp;creator=factset&amp;DOC_NAME=fat:reuters_qtrly_source_window.fat&amp;display_string=Audit&amp;DYN_ARGS=TRUE&amp;VAR:ID1=16115Q30&amp;VAR:RCODE=LTCL&amp;VAR:SDATE=20081299&amp;VAR:FREQ=DAILY&amp;VAR:RELITEM=&amp;VAR:CURRENCY=&amp;VAR:CURRSOURCE=EXSHARE&amp;","VAR:NATFREQ=QUARTERLY&amp;VAR:RFIELD=FINALIZED&amp;VAR:DB_TYPE=&amp;VAR:UNITS=M&amp;window=popup&amp;width=450&amp;height=300&amp;START_MAXIMIZED=FALSE"}</definedName>
    <definedName name="_1975__FDSAUDITLINK__" hidden="1">{"fdsup://IBCentral/FAT Viewer?action=UPDATE&amp;creator=factset&amp;DOC_NAME=fat:reuters_qtrly_source_window.fat&amp;display_string=Audit&amp;DYN_ARGS=TRUE&amp;VAR:ID1=16115Q30&amp;VAR:RCODE=ATCA&amp;VAR:SDATE=20081299&amp;VAR:FREQ=DAILY&amp;VAR:RELITEM=&amp;VAR:CURRENCY=&amp;VAR:CURRSOURCE=EXSHARE&amp;","VAR:NATFREQ=QUARTERLY&amp;VAR:RFIELD=FINALIZED&amp;VAR:DB_TYPE=&amp;VAR:UNITS=M&amp;window=popup&amp;width=450&amp;height=300&amp;START_MAXIMIZED=FALSE"}</definedName>
    <definedName name="_1976__FDSAUDITLINK__" hidden="1">{"fdsup://IBCentral/FAT Viewer?action=UPDATE&amp;creator=factset&amp;DOC_NAME=fat:reuters_qtrly_source_window.fat&amp;display_string=Audit&amp;DYN_ARGS=TRUE&amp;VAR:ID1=16115Q30&amp;VAR:RCODE=ATOT&amp;VAR:SDATE=20081299&amp;VAR:FREQ=DAILY&amp;VAR:RELITEM=&amp;VAR:CURRENCY=&amp;VAR:CURRSOURCE=EXSHARE&amp;","VAR:NATFREQ=QUARTERLY&amp;VAR:RFIELD=FINALIZED&amp;VAR:DB_TYPE=&amp;VAR:UNITS=M&amp;window=popup&amp;width=450&amp;height=300&amp;START_MAXIMIZED=FALSE"}</definedName>
    <definedName name="_1977__FDSAUDITLINK__" hidden="1">{"fdsup://IBCentral/FAT Viewer?action=UPDATE&amp;creator=factset&amp;DOC_NAME=fat:reuters_qtrly_source_window.fat&amp;display_string=Audit&amp;DYN_ARGS=TRUE&amp;VAR:ID1=15849610&amp;VAR:RCODE=LTLL&amp;VAR:SDATE=20081299&amp;VAR:FREQ=DAILY&amp;VAR:RELITEM=&amp;VAR:CURRENCY=&amp;VAR:CURRSOURCE=EXSHARE&amp;","VAR:NATFREQ=QUARTERLY&amp;VAR:RFIELD=FINALIZED&amp;VAR:DB_TYPE=&amp;VAR:UNITS=M&amp;window=popup&amp;width=450&amp;height=300&amp;START_MAXIMIZED=FALSE"}</definedName>
    <definedName name="_1978__FDSAUDITLINK__" hidden="1">{"fdsup://IBCentral/FAT Viewer?action=UPDATE&amp;creator=factset&amp;DOC_NAME=fat:reuters_qtrly_source_window.fat&amp;display_string=Audit&amp;DYN_ARGS=TRUE&amp;VAR:ID1=15849610&amp;VAR:RCODE=LTCL&amp;VAR:SDATE=20081299&amp;VAR:FREQ=DAILY&amp;VAR:RELITEM=&amp;VAR:CURRENCY=&amp;VAR:CURRSOURCE=EXSHARE&amp;","VAR:NATFREQ=QUARTERLY&amp;VAR:RFIELD=FINALIZED&amp;VAR:DB_TYPE=&amp;VAR:UNITS=M&amp;window=popup&amp;width=450&amp;height=300&amp;START_MAXIMIZED=FALSE"}</definedName>
    <definedName name="_1979__FDSAUDITLINK__" hidden="1">{"fdsup://IBCentral/FAT Viewer?action=UPDATE&amp;creator=factset&amp;DOC_NAME=fat:reuters_qtrly_source_window.fat&amp;display_string=Audit&amp;DYN_ARGS=TRUE&amp;VAR:ID1=15849610&amp;VAR:RCODE=ATCA&amp;VAR:SDATE=20081299&amp;VAR:FREQ=DAILY&amp;VAR:RELITEM=&amp;VAR:CURRENCY=&amp;VAR:CURRSOURCE=EXSHARE&amp;","VAR:NATFREQ=QUARTERLY&amp;VAR:RFIELD=FINALIZED&amp;VAR:DB_TYPE=&amp;VAR:UNITS=M&amp;window=popup&amp;width=450&amp;height=300&amp;START_MAXIMIZED=FALSE"}</definedName>
    <definedName name="_198__FDSAUDITLINK__" hidden="1">{"fdsup://Directions/FactSet Auditing Viewer?action=AUDIT_VALUE&amp;DB=129&amp;ID1=26483E10&amp;VALUEID=02999&amp;SDATE=201001&amp;PERIODTYPE=QTR_STD&amp;window=popup_no_bar&amp;width=385&amp;height=120&amp;START_MAXIMIZED=FALSE&amp;creator=factset&amp;display_string=Audit"}</definedName>
    <definedName name="_1980__FDSAUDITLINK__" hidden="1">{"fdsup://IBCentral/FAT Viewer?action=UPDATE&amp;creator=factset&amp;DOC_NAME=fat:reuters_qtrly_source_window.fat&amp;display_string=Audit&amp;DYN_ARGS=TRUE&amp;VAR:ID1=15849610&amp;VAR:RCODE=ATOT&amp;VAR:SDATE=20081299&amp;VAR:FREQ=DAILY&amp;VAR:RELITEM=&amp;VAR:CURRENCY=&amp;VAR:CURRSOURCE=EXSHARE&amp;","VAR:NATFREQ=QUARTERLY&amp;VAR:RFIELD=FINALIZED&amp;VAR:DB_TYPE=&amp;VAR:UNITS=M&amp;window=popup&amp;width=450&amp;height=300&amp;START_MAXIMIZED=FALSE"}</definedName>
    <definedName name="_1981__FDSAUDITLINK__" hidden="1">{"fdsup://IBCentral/FAT Viewer?action=UPDATE&amp;creator=factset&amp;DOC_NAME=fat:reuters_qtrly_source_window.fat&amp;display_string=Audit&amp;DYN_ARGS=TRUE&amp;VAR:ID1=14744810&amp;VAR:RCODE=LTLL&amp;VAR:SDATE=20081099&amp;VAR:FREQ=DAILY&amp;VAR:RELITEM=&amp;VAR:CURRENCY=&amp;VAR:CURRSOURCE=EXSHARE&amp;","VAR:NATFREQ=QUARTERLY&amp;VAR:RFIELD=FINALIZED&amp;VAR:DB_TYPE=&amp;VAR:UNITS=M&amp;window=popup&amp;width=450&amp;height=300&amp;START_MAXIMIZED=FALSE"}</definedName>
    <definedName name="_1982__FDSAUDITLINK__" hidden="1">{"fdsup://IBCentral/FAT Viewer?action=UPDATE&amp;creator=factset&amp;DOC_NAME=fat:reuters_qtrly_source_window.fat&amp;display_string=Audit&amp;DYN_ARGS=TRUE&amp;VAR:ID1=14744810&amp;VAR:RCODE=LTCL&amp;VAR:SDATE=20081099&amp;VAR:FREQ=DAILY&amp;VAR:RELITEM=&amp;VAR:CURRENCY=&amp;VAR:CURRSOURCE=EXSHARE&amp;","VAR:NATFREQ=QUARTERLY&amp;VAR:RFIELD=FINALIZED&amp;VAR:DB_TYPE=&amp;VAR:UNITS=M&amp;window=popup&amp;width=450&amp;height=300&amp;START_MAXIMIZED=FALSE"}</definedName>
    <definedName name="_1983__FDSAUDITLINK__" hidden="1">{"fdsup://IBCentral/FAT Viewer?action=UPDATE&amp;creator=factset&amp;DOC_NAME=fat:reuters_qtrly_source_window.fat&amp;display_string=Audit&amp;DYN_ARGS=TRUE&amp;VAR:ID1=14744810&amp;VAR:RCODE=ATCA&amp;VAR:SDATE=20081099&amp;VAR:FREQ=DAILY&amp;VAR:RELITEM=&amp;VAR:CURRENCY=&amp;VAR:CURRSOURCE=EXSHARE&amp;","VAR:NATFREQ=QUARTERLY&amp;VAR:RFIELD=FINALIZED&amp;VAR:DB_TYPE=&amp;VAR:UNITS=M&amp;window=popup&amp;width=450&amp;height=300&amp;START_MAXIMIZED=FALSE"}</definedName>
    <definedName name="_1984__FDSAUDITLINK__" hidden="1">{"fdsup://IBCentral/FAT Viewer?action=UPDATE&amp;creator=factset&amp;DOC_NAME=fat:reuters_qtrly_source_window.fat&amp;display_string=Audit&amp;DYN_ARGS=TRUE&amp;VAR:ID1=14744810&amp;VAR:RCODE=ATOT&amp;VAR:SDATE=20081099&amp;VAR:FREQ=DAILY&amp;VAR:RELITEM=&amp;VAR:CURRENCY=&amp;VAR:CURRSOURCE=EXSHARE&amp;","VAR:NATFREQ=QUARTERLY&amp;VAR:RFIELD=FINALIZED&amp;VAR:DB_TYPE=&amp;VAR:UNITS=M&amp;window=popup&amp;width=450&amp;height=300&amp;START_MAXIMIZED=FALSE"}</definedName>
    <definedName name="_1985__FDSAUDITLINK__" hidden="1">{"fdsup://IBCentral/FAT Viewer?action=UPDATE&amp;creator=factset&amp;DOC_NAME=fat:reuters_qtrly_source_window.fat&amp;display_string=Audit&amp;DYN_ARGS=TRUE&amp;VAR:ID1=12686C10&amp;VAR:RCODE=LTLL&amp;VAR:SDATE=20081299&amp;VAR:FREQ=DAILY&amp;VAR:RELITEM=&amp;VAR:CURRENCY=&amp;VAR:CURRSOURCE=EXSHARE&amp;","VAR:NATFREQ=QUARTERLY&amp;VAR:RFIELD=FINALIZED&amp;VAR:DB_TYPE=&amp;VAR:UNITS=M&amp;window=popup&amp;width=450&amp;height=300&amp;START_MAXIMIZED=FALSE"}</definedName>
    <definedName name="_1986__FDSAUDITLINK__" hidden="1">{"fdsup://IBCentral/FAT Viewer?action=UPDATE&amp;creator=factset&amp;DOC_NAME=fat:reuters_qtrly_source_window.fat&amp;display_string=Audit&amp;DYN_ARGS=TRUE&amp;VAR:ID1=12686C10&amp;VAR:RCODE=LTCL&amp;VAR:SDATE=20081299&amp;VAR:FREQ=DAILY&amp;VAR:RELITEM=&amp;VAR:CURRENCY=&amp;VAR:CURRSOURCE=EXSHARE&amp;","VAR:NATFREQ=QUARTERLY&amp;VAR:RFIELD=FINALIZED&amp;VAR:DB_TYPE=&amp;VAR:UNITS=M&amp;window=popup&amp;width=450&amp;height=300&amp;START_MAXIMIZED=FALSE"}</definedName>
    <definedName name="_1987__FDSAUDITLINK__" hidden="1">{"fdsup://IBCentral/FAT Viewer?action=UPDATE&amp;creator=factset&amp;DOC_NAME=fat:reuters_qtrly_source_window.fat&amp;display_string=Audit&amp;DYN_ARGS=TRUE&amp;VAR:ID1=12686C10&amp;VAR:RCODE=ATCA&amp;VAR:SDATE=20081299&amp;VAR:FREQ=DAILY&amp;VAR:RELITEM=&amp;VAR:CURRENCY=&amp;VAR:CURRSOURCE=EXSHARE&amp;","VAR:NATFREQ=QUARTERLY&amp;VAR:RFIELD=FINALIZED&amp;VAR:DB_TYPE=&amp;VAR:UNITS=M&amp;window=popup&amp;width=450&amp;height=300&amp;START_MAXIMIZED=FALSE"}</definedName>
    <definedName name="_1988__FDSAUDITLINK__" hidden="1">{"fdsup://IBCentral/FAT Viewer?action=UPDATE&amp;creator=factset&amp;DOC_NAME=fat:reuters_qtrly_source_window.fat&amp;display_string=Audit&amp;DYN_ARGS=TRUE&amp;VAR:ID1=12686C10&amp;VAR:RCODE=ATOT&amp;VAR:SDATE=20081299&amp;VAR:FREQ=DAILY&amp;VAR:RELITEM=&amp;VAR:CURRENCY=&amp;VAR:CURRSOURCE=EXSHARE&amp;","VAR:NATFREQ=QUARTERLY&amp;VAR:RFIELD=FINALIZED&amp;VAR:DB_TYPE=&amp;VAR:UNITS=M&amp;window=popup&amp;width=450&amp;height=300&amp;START_MAXIMIZED=FALSE"}</definedName>
    <definedName name="_1989__FDSAUDITLINK__" hidden="1">{"fdsup://IBCentral/FAT Viewer?action=UPDATE&amp;creator=factset&amp;DOC_NAME=fat:reuters_qtrly_source_window.fat&amp;display_string=Audit&amp;DYN_ARGS=TRUE&amp;VAR:ID1=11825510&amp;VAR:RCODE=LTLL&amp;VAR:SDATE=20081299&amp;VAR:FREQ=DAILY&amp;VAR:RELITEM=&amp;VAR:CURRENCY=&amp;VAR:CURRSOURCE=EXSHARE&amp;","VAR:NATFREQ=QUARTERLY&amp;VAR:RFIELD=FINALIZED&amp;VAR:DB_TYPE=&amp;VAR:UNITS=M&amp;window=popup&amp;width=450&amp;height=300&amp;START_MAXIMIZED=FALSE"}</definedName>
    <definedName name="_199__FDSAUDITLINK__" hidden="1">{"fdsup://Directions/FactSet Auditing Viewer?action=AUDIT_VALUE&amp;DB=129&amp;ID1=26533850&amp;VALUEID=02999&amp;SDATE=201001&amp;PERIODTYPE=QTR_STD&amp;window=popup_no_bar&amp;width=385&amp;height=120&amp;START_MAXIMIZED=FALSE&amp;creator=factset&amp;display_string=Audit"}</definedName>
    <definedName name="_1990__FDSAUDITLINK__" hidden="1">{"fdsup://IBCentral/FAT Viewer?action=UPDATE&amp;creator=factset&amp;DOC_NAME=fat:reuters_qtrly_source_window.fat&amp;display_string=Audit&amp;DYN_ARGS=TRUE&amp;VAR:ID1=11825510&amp;VAR:RCODE=LTCL&amp;VAR:SDATE=20081299&amp;VAR:FREQ=DAILY&amp;VAR:RELITEM=&amp;VAR:CURRENCY=&amp;VAR:CURRSOURCE=EXSHARE&amp;","VAR:NATFREQ=QUARTERLY&amp;VAR:RFIELD=FINALIZED&amp;VAR:DB_TYPE=&amp;VAR:UNITS=M&amp;window=popup&amp;width=450&amp;height=300&amp;START_MAXIMIZED=FALSE"}</definedName>
    <definedName name="_1991__FDSAUDITLINK__" hidden="1">{"fdsup://IBCentral/FAT Viewer?action=UPDATE&amp;creator=factset&amp;DOC_NAME=fat:reuters_qtrly_source_window.fat&amp;display_string=Audit&amp;DYN_ARGS=TRUE&amp;VAR:ID1=11825510&amp;VAR:RCODE=ATCA&amp;VAR:SDATE=20081299&amp;VAR:FREQ=DAILY&amp;VAR:RELITEM=&amp;VAR:CURRENCY=&amp;VAR:CURRSOURCE=EXSHARE&amp;","VAR:NATFREQ=QUARTERLY&amp;VAR:RFIELD=FINALIZED&amp;VAR:DB_TYPE=&amp;VAR:UNITS=M&amp;window=popup&amp;width=450&amp;height=300&amp;START_MAXIMIZED=FALSE"}</definedName>
    <definedName name="_1992__FDSAUDITLINK__" hidden="1">{"fdsup://IBCentral/FAT Viewer?action=UPDATE&amp;creator=factset&amp;DOC_NAME=fat:reuters_qtrly_source_window.fat&amp;display_string=Audit&amp;DYN_ARGS=TRUE&amp;VAR:ID1=11825510&amp;VAR:RCODE=ATOT&amp;VAR:SDATE=20081299&amp;VAR:FREQ=DAILY&amp;VAR:RELITEM=&amp;VAR:CURRENCY=&amp;VAR:CURRSOURCE=EXSHARE&amp;","VAR:NATFREQ=QUARTERLY&amp;VAR:RFIELD=FINALIZED&amp;VAR:DB_TYPE=&amp;VAR:UNITS=M&amp;window=popup&amp;width=450&amp;height=300&amp;START_MAXIMIZED=FALSE"}</definedName>
    <definedName name="_1993__FDSAUDITLINK__" hidden="1">{"fdsup://IBCentral/FAT Viewer?action=UPDATE&amp;creator=factset&amp;DOC_NAME=fat:reuters_qtrly_source_window.fat&amp;display_string=Audit&amp;DYN_ARGS=TRUE&amp;VAR:ID1=11162130&amp;VAR:RCODE=LTLL&amp;VAR:SDATE=20081099&amp;VAR:FREQ=DAILY&amp;VAR:RELITEM=&amp;VAR:CURRENCY=&amp;VAR:CURRSOURCE=EXSHARE&amp;","VAR:NATFREQ=QUARTERLY&amp;VAR:RFIELD=FINALIZED&amp;VAR:DB_TYPE=&amp;VAR:UNITS=M&amp;window=popup&amp;width=450&amp;height=300&amp;START_MAXIMIZED=FALSE"}</definedName>
    <definedName name="_1994__FDSAUDITLINK__" hidden="1">{"fdsup://IBCentral/FAT Viewer?action=UPDATE&amp;creator=factset&amp;DOC_NAME=fat:reuters_qtrly_source_window.fat&amp;display_string=Audit&amp;DYN_ARGS=TRUE&amp;VAR:ID1=11162130&amp;VAR:RCODE=LTCL&amp;VAR:SDATE=20081099&amp;VAR:FREQ=DAILY&amp;VAR:RELITEM=&amp;VAR:CURRENCY=&amp;VAR:CURRSOURCE=EXSHARE&amp;","VAR:NATFREQ=QUARTERLY&amp;VAR:RFIELD=FINALIZED&amp;VAR:DB_TYPE=&amp;VAR:UNITS=M&amp;window=popup&amp;width=450&amp;height=300&amp;START_MAXIMIZED=FALSE"}</definedName>
    <definedName name="_1995__FDSAUDITLINK__" hidden="1">{"fdsup://IBCentral/FAT Viewer?action=UPDATE&amp;creator=factset&amp;DOC_NAME=fat:reuters_qtrly_source_window.fat&amp;display_string=Audit&amp;DYN_ARGS=TRUE&amp;VAR:ID1=11162130&amp;VAR:RCODE=ATCA&amp;VAR:SDATE=20081099&amp;VAR:FREQ=DAILY&amp;VAR:RELITEM=&amp;VAR:CURRENCY=&amp;VAR:CURRSOURCE=EXSHARE&amp;","VAR:NATFREQ=QUARTERLY&amp;VAR:RFIELD=FINALIZED&amp;VAR:DB_TYPE=&amp;VAR:UNITS=M&amp;window=popup&amp;width=450&amp;height=300&amp;START_MAXIMIZED=FALSE"}</definedName>
    <definedName name="_1996__FDSAUDITLINK__" hidden="1">{"fdsup://IBCentral/FAT Viewer?action=UPDATE&amp;creator=factset&amp;DOC_NAME=fat:reuters_qtrly_source_window.fat&amp;display_string=Audit&amp;DYN_ARGS=TRUE&amp;VAR:ID1=11162130&amp;VAR:RCODE=ATOT&amp;VAR:SDATE=20081099&amp;VAR:FREQ=DAILY&amp;VAR:RELITEM=&amp;VAR:CURRENCY=&amp;VAR:CURRSOURCE=EXSHARE&amp;","VAR:NATFREQ=QUARTERLY&amp;VAR:RFIELD=FINALIZED&amp;VAR:DB_TYPE=&amp;VAR:UNITS=M&amp;window=popup&amp;width=450&amp;height=300&amp;START_MAXIMIZED=FALSE"}</definedName>
    <definedName name="_1997__FDSAUDITLINK__" hidden="1">{"fdsup://IBCentral/FAT Viewer?action=UPDATE&amp;creator=factset&amp;DOC_NAME=fat:reuters_qtrly_source_window.fat&amp;display_string=Audit&amp;DYN_ARGS=TRUE&amp;VAR:ID1=08578910&amp;VAR:RCODE=LTLL&amp;VAR:SDATE=20081299&amp;VAR:FREQ=DAILY&amp;VAR:RELITEM=&amp;VAR:CURRENCY=&amp;VAR:CURRSOURCE=EXSHARE&amp;","VAR:NATFREQ=QUARTERLY&amp;VAR:RFIELD=FINALIZED&amp;VAR:DB_TYPE=&amp;VAR:UNITS=M&amp;window=popup&amp;width=450&amp;height=300&amp;START_MAXIMIZED=FALSE"}</definedName>
    <definedName name="_1998__FDSAUDITLINK__" hidden="1">{"fdsup://IBCentral/FAT Viewer?action=UPDATE&amp;creator=factset&amp;DOC_NAME=fat:reuters_qtrly_source_window.fat&amp;display_string=Audit&amp;DYN_ARGS=TRUE&amp;VAR:ID1=08578910&amp;VAR:RCODE=LTCL&amp;VAR:SDATE=20081299&amp;VAR:FREQ=DAILY&amp;VAR:RELITEM=&amp;VAR:CURRENCY=&amp;VAR:CURRSOURCE=EXSHARE&amp;","VAR:NATFREQ=QUARTERLY&amp;VAR:RFIELD=FINALIZED&amp;VAR:DB_TYPE=&amp;VAR:UNITS=M&amp;window=popup&amp;width=450&amp;height=300&amp;START_MAXIMIZED=FALSE"}</definedName>
    <definedName name="_1999__FDSAUDITLINK__" hidden="1">{"fdsup://IBCentral/FAT Viewer?action=UPDATE&amp;creator=factset&amp;DOC_NAME=fat:reuters_qtrly_source_window.fat&amp;display_string=Audit&amp;DYN_ARGS=TRUE&amp;VAR:ID1=08578910&amp;VAR:RCODE=ATCA&amp;VAR:SDATE=20081299&amp;VAR:FREQ=DAILY&amp;VAR:RELITEM=&amp;VAR:CURRENCY=&amp;VAR:CURRSOURCE=EXSHARE&amp;","VAR:NATFREQ=QUARTERLY&amp;VAR:RFIELD=FINALIZED&amp;VAR:DB_TYPE=&amp;VAR:UNITS=M&amp;window=popup&amp;width=450&amp;height=300&amp;START_MAXIMIZED=FALSE"}</definedName>
    <definedName name="_2__FDSAUDITLINK__" hidden="1">{"fdsup://IBCentral/FAT Viewer?action=UPDATE&amp;creator=factset&amp;DOC_NAME=fat:reuters_qtrly_source_window.fat&amp;display_string=Audit&amp;DYN_ARGS=TRUE&amp;VAR:ID1=88579Y10&amp;VAR:RCODE=STLD&amp;VAR:SDATE=20090699&amp;VAR:FREQ=Quarterly&amp;VAR:RELITEM=RP&amp;VAR:CURRENCY=&amp;VAR:CURRSOURCE=EX","SHARE&amp;VAR:NATFREQ=QUARTERLY&amp;VAR:RFIELD=FINALIZED&amp;VAR:DB_TYPE=&amp;VAR:UNITS=M&amp;window=popup&amp;width=450&amp;height=300&amp;START_MAXIMIZED=FALSE"}</definedName>
    <definedName name="_2_0__123Grap" hidden="1">'[1]Comp. Transaction'!#REF!</definedName>
    <definedName name="_20__FDSAUDITLINK__" hidden="1">{"fdsup://Directions/FactSet Auditing Viewer?action=AUDIT_VALUE&amp;DB=129&amp;ID1=00846U10&amp;VALUEID=02999&amp;SDATE=201002&amp;PERIODTYPE=QTR_STD&amp;window=popup_no_bar&amp;width=385&amp;height=120&amp;START_MAXIMIZED=FALSE&amp;creator=factset&amp;display_string=Audit"}</definedName>
    <definedName name="_200__FDSAUDITLINK__" hidden="1">{"fdsup://Directions/FactSet Auditing Viewer?action=AUDIT_VALUE&amp;DB=129&amp;ID1=26747510&amp;VALUEID=02999&amp;SDATE=201003&amp;PERIODTYPE=QTR_STD&amp;window=popup_no_bar&amp;width=385&amp;height=120&amp;START_MAXIMIZED=FALSE&amp;creator=factset&amp;display_string=Audit"}</definedName>
    <definedName name="_2000__FDSAUDITLINK__" hidden="1">{"fdsup://IBCentral/FAT Viewer?action=UPDATE&amp;creator=factset&amp;DOC_NAME=fat:reuters_qtrly_source_window.fat&amp;display_string=Audit&amp;DYN_ARGS=TRUE&amp;VAR:ID1=08578910&amp;VAR:RCODE=ATOT&amp;VAR:SDATE=20081299&amp;VAR:FREQ=DAILY&amp;VAR:RELITEM=&amp;VAR:CURRENCY=&amp;VAR:CURRSOURCE=EXSHARE&amp;","VAR:NATFREQ=QUARTERLY&amp;VAR:RFIELD=FINALIZED&amp;VAR:DB_TYPE=&amp;VAR:UNITS=M&amp;window=popup&amp;width=450&amp;height=300&amp;START_MAXIMIZED=FALSE"}</definedName>
    <definedName name="_2001__FDSAUDITLINK__" hidden="1">{"fdsup://IBCentral/FAT Viewer?action=UPDATE&amp;creator=factset&amp;DOC_NAME=fat:reuters_qtrly_source_window.fat&amp;display_string=Audit&amp;DYN_ARGS=TRUE&amp;VAR:ID1=05508R10&amp;VAR:RCODE=LTLL&amp;VAR:SDATE=20081299&amp;VAR:FREQ=DAILY&amp;VAR:RELITEM=&amp;VAR:CURRENCY=&amp;VAR:CURRSOURCE=EXSHARE&amp;","VAR:NATFREQ=QUARTERLY&amp;VAR:RFIELD=FINALIZED&amp;VAR:DB_TYPE=&amp;VAR:UNITS=M&amp;window=popup&amp;width=450&amp;height=300&amp;START_MAXIMIZED=FALSE"}</definedName>
    <definedName name="_2002__FDSAUDITLINK__" hidden="1">{"fdsup://IBCentral/FAT Viewer?action=UPDATE&amp;creator=factset&amp;DOC_NAME=fat:reuters_qtrly_source_window.fat&amp;display_string=Audit&amp;DYN_ARGS=TRUE&amp;VAR:ID1=05508R10&amp;VAR:RCODE=LTCL&amp;VAR:SDATE=20081299&amp;VAR:FREQ=DAILY&amp;VAR:RELITEM=&amp;VAR:CURRENCY=&amp;VAR:CURRSOURCE=EXSHARE&amp;","VAR:NATFREQ=QUARTERLY&amp;VAR:RFIELD=FINALIZED&amp;VAR:DB_TYPE=&amp;VAR:UNITS=M&amp;window=popup&amp;width=450&amp;height=300&amp;START_MAXIMIZED=FALSE"}</definedName>
    <definedName name="_2003__FDSAUDITLINK__" hidden="1">{"fdsup://IBCentral/FAT Viewer?action=UPDATE&amp;creator=factset&amp;DOC_NAME=fat:reuters_qtrly_source_window.fat&amp;display_string=Audit&amp;DYN_ARGS=TRUE&amp;VAR:ID1=05508R10&amp;VAR:RCODE=ATCA&amp;VAR:SDATE=20081299&amp;VAR:FREQ=DAILY&amp;VAR:RELITEM=&amp;VAR:CURRENCY=&amp;VAR:CURRSOURCE=EXSHARE&amp;","VAR:NATFREQ=QUARTERLY&amp;VAR:RFIELD=FINALIZED&amp;VAR:DB_TYPE=&amp;VAR:UNITS=M&amp;window=popup&amp;width=450&amp;height=300&amp;START_MAXIMIZED=FALSE"}</definedName>
    <definedName name="_2004__FDSAUDITLINK__" hidden="1">{"fdsup://IBCentral/FAT Viewer?action=UPDATE&amp;creator=factset&amp;DOC_NAME=fat:reuters_qtrly_source_window.fat&amp;display_string=Audit&amp;DYN_ARGS=TRUE&amp;VAR:ID1=05508R10&amp;VAR:RCODE=ATOT&amp;VAR:SDATE=20081299&amp;VAR:FREQ=DAILY&amp;VAR:RELITEM=&amp;VAR:CURRENCY=&amp;VAR:CURRSOURCE=EXSHARE&amp;","VAR:NATFREQ=QUARTERLY&amp;VAR:RFIELD=FINALIZED&amp;VAR:DB_TYPE=&amp;VAR:UNITS=M&amp;window=popup&amp;width=450&amp;height=300&amp;START_MAXIMIZED=FALSE"}</definedName>
    <definedName name="_2005__FDSAUDITLINK__" hidden="1">{"fdsup://IBCentral/FAT Viewer?action=UPDATE&amp;creator=factset&amp;DOC_NAME=fat:reuters_qtrly_source_window.fat&amp;display_string=Audit&amp;DYN_ARGS=TRUE&amp;VAR:ID1=04343610&amp;VAR:RCODE=LTLL&amp;VAR:SDATE=20081299&amp;VAR:FREQ=DAILY&amp;VAR:RELITEM=&amp;VAR:CURRENCY=&amp;VAR:CURRSOURCE=EXSHARE&amp;","VAR:NATFREQ=QUARTERLY&amp;VAR:RFIELD=FINALIZED&amp;VAR:DB_TYPE=&amp;VAR:UNITS=M&amp;window=popup&amp;width=450&amp;height=300&amp;START_MAXIMIZED=FALSE"}</definedName>
    <definedName name="_2006__FDSAUDITLINK__" hidden="1">{"fdsup://IBCentral/FAT Viewer?action=UPDATE&amp;creator=factset&amp;DOC_NAME=fat:reuters_qtrly_source_window.fat&amp;display_string=Audit&amp;DYN_ARGS=TRUE&amp;VAR:ID1=04343610&amp;VAR:RCODE=LTCL&amp;VAR:SDATE=20081299&amp;VAR:FREQ=DAILY&amp;VAR:RELITEM=&amp;VAR:CURRENCY=&amp;VAR:CURRSOURCE=EXSHARE&amp;","VAR:NATFREQ=QUARTERLY&amp;VAR:RFIELD=FINALIZED&amp;VAR:DB_TYPE=&amp;VAR:UNITS=M&amp;window=popup&amp;width=450&amp;height=300&amp;START_MAXIMIZED=FALSE"}</definedName>
    <definedName name="_2007__FDSAUDITLINK__" hidden="1">{"fdsup://IBCentral/FAT Viewer?action=UPDATE&amp;creator=factset&amp;DOC_NAME=fat:reuters_qtrly_source_window.fat&amp;display_string=Audit&amp;DYN_ARGS=TRUE&amp;VAR:ID1=04343610&amp;VAR:RCODE=ATCA&amp;VAR:SDATE=20081299&amp;VAR:FREQ=DAILY&amp;VAR:RELITEM=&amp;VAR:CURRENCY=&amp;VAR:CURRSOURCE=EXSHARE&amp;","VAR:NATFREQ=QUARTERLY&amp;VAR:RFIELD=FINALIZED&amp;VAR:DB_TYPE=&amp;VAR:UNITS=M&amp;window=popup&amp;width=450&amp;height=300&amp;START_MAXIMIZED=FALSE"}</definedName>
    <definedName name="_2008__FDSAUDITLINK__" hidden="1">{"fdsup://IBCentral/FAT Viewer?action=UPDATE&amp;creator=factset&amp;DOC_NAME=fat:reuters_qtrly_source_window.fat&amp;display_string=Audit&amp;DYN_ARGS=TRUE&amp;VAR:ID1=04343610&amp;VAR:RCODE=ATOT&amp;VAR:SDATE=20081299&amp;VAR:FREQ=DAILY&amp;VAR:RELITEM=&amp;VAR:CURRENCY=&amp;VAR:CURRSOURCE=EXSHARE&amp;","VAR:NATFREQ=QUARTERLY&amp;VAR:RFIELD=FINALIZED&amp;VAR:DB_TYPE=&amp;VAR:UNITS=M&amp;window=popup&amp;width=450&amp;height=300&amp;START_MAXIMIZED=FALSE"}</definedName>
    <definedName name="_2009__FDSAUDITLINK__" hidden="1">{"fdsup://IBCentral/FAT Viewer?action=UPDATE&amp;creator=factset&amp;DOC_NAME=fat:reuters_qtrly_source_window.fat&amp;display_string=Audit&amp;DYN_ARGS=TRUE&amp;VAR:ID1=04335310&amp;VAR:RCODE=LTLL&amp;VAR:SDATE=20081299&amp;VAR:FREQ=DAILY&amp;VAR:RELITEM=&amp;VAR:CURRENCY=&amp;VAR:CURRSOURCE=EXSHARE&amp;","VAR:NATFREQ=QUARTERLY&amp;VAR:RFIELD=FINALIZED&amp;VAR:DB_TYPE=&amp;VAR:UNITS=M&amp;window=popup&amp;width=450&amp;height=300&amp;START_MAXIMIZED=FALSE"}</definedName>
    <definedName name="_201__FDSAUDITLINK__" hidden="1">{"fdsup://Directions/FactSet Auditing Viewer?action=AUDIT_VALUE&amp;DB=129&amp;ID1=26353410&amp;VALUEID=02999&amp;SDATE=201001&amp;PERIODTYPE=QTR_STD&amp;window=popup_no_bar&amp;width=385&amp;height=120&amp;START_MAXIMIZED=FALSE&amp;creator=factset&amp;display_string=Audit"}</definedName>
    <definedName name="_2010__FDSAUDITLINK__" hidden="1">{"fdsup://IBCentral/FAT Viewer?action=UPDATE&amp;creator=factset&amp;DOC_NAME=fat:reuters_qtrly_source_window.fat&amp;display_string=Audit&amp;DYN_ARGS=TRUE&amp;VAR:ID1=04335310&amp;VAR:RCODE=LTCL&amp;VAR:SDATE=20081299&amp;VAR:FREQ=DAILY&amp;VAR:RELITEM=&amp;VAR:CURRENCY=&amp;VAR:CURRSOURCE=EXSHARE&amp;","VAR:NATFREQ=QUARTERLY&amp;VAR:RFIELD=FINALIZED&amp;VAR:DB_TYPE=&amp;VAR:UNITS=M&amp;window=popup&amp;width=450&amp;height=300&amp;START_MAXIMIZED=FALSE"}</definedName>
    <definedName name="_2011__FDSAUDITLINK__" hidden="1">{"fdsup://IBCentral/FAT Viewer?action=UPDATE&amp;creator=factset&amp;DOC_NAME=fat:reuters_qtrly_source_window.fat&amp;display_string=Audit&amp;DYN_ARGS=TRUE&amp;VAR:ID1=04335310&amp;VAR:RCODE=ATCA&amp;VAR:SDATE=20081299&amp;VAR:FREQ=DAILY&amp;VAR:RELITEM=&amp;VAR:CURRENCY=&amp;VAR:CURRSOURCE=EXSHARE&amp;","VAR:NATFREQ=QUARTERLY&amp;VAR:RFIELD=FINALIZED&amp;VAR:DB_TYPE=&amp;VAR:UNITS=M&amp;window=popup&amp;width=450&amp;height=300&amp;START_MAXIMIZED=FALSE"}</definedName>
    <definedName name="_2012__FDSAUDITLINK__" hidden="1">{"fdsup://IBCentral/FAT Viewer?action=UPDATE&amp;creator=factset&amp;DOC_NAME=fat:reuters_qtrly_source_window.fat&amp;display_string=Audit&amp;DYN_ARGS=TRUE&amp;VAR:ID1=04335310&amp;VAR:RCODE=ATOT&amp;VAR:SDATE=20081299&amp;VAR:FREQ=DAILY&amp;VAR:RELITEM=&amp;VAR:CURRENCY=&amp;VAR:CURRSOURCE=EXSHARE&amp;","VAR:NATFREQ=QUARTERLY&amp;VAR:RFIELD=FINALIZED&amp;VAR:DB_TYPE=&amp;VAR:UNITS=M&amp;window=popup&amp;width=450&amp;height=300&amp;START_MAXIMIZED=FALSE"}</definedName>
    <definedName name="_2013__FDSAUDITLINK__" hidden="1">{"fdsup://IBCentral/FAT Viewer?action=UPDATE&amp;creator=factset&amp;DOC_NAME=fat:reuters_qtrly_source_window.fat&amp;display_string=Audit&amp;DYN_ARGS=TRUE&amp;VAR:ID1=02744M10&amp;VAR:RCODE=LTLL&amp;VAR:SDATE=20081299&amp;VAR:FREQ=DAILY&amp;VAR:RELITEM=&amp;VAR:CURRENCY=&amp;VAR:CURRSOURCE=EXSHARE&amp;","VAR:NATFREQ=QUARTERLY&amp;VAR:RFIELD=FINALIZED&amp;VAR:DB_TYPE=&amp;VAR:UNITS=M&amp;window=popup&amp;width=450&amp;height=300&amp;START_MAXIMIZED=FALSE"}</definedName>
    <definedName name="_2014__FDSAUDITLINK__" hidden="1">{"fdsup://IBCentral/FAT Viewer?action=UPDATE&amp;creator=factset&amp;DOC_NAME=fat:reuters_qtrly_source_window.fat&amp;display_string=Audit&amp;DYN_ARGS=TRUE&amp;VAR:ID1=02744M10&amp;VAR:RCODE=LTCL&amp;VAR:SDATE=20081299&amp;VAR:FREQ=DAILY&amp;VAR:RELITEM=&amp;VAR:CURRENCY=&amp;VAR:CURRSOURCE=EXSHARE&amp;","VAR:NATFREQ=QUARTERLY&amp;VAR:RFIELD=FINALIZED&amp;VAR:DB_TYPE=&amp;VAR:UNITS=M&amp;window=popup&amp;width=450&amp;height=300&amp;START_MAXIMIZED=FALSE"}</definedName>
    <definedName name="_2015__FDSAUDITLINK__" hidden="1">{"fdsup://IBCentral/FAT Viewer?action=UPDATE&amp;creator=factset&amp;DOC_NAME=fat:reuters_qtrly_source_window.fat&amp;display_string=Audit&amp;DYN_ARGS=TRUE&amp;VAR:ID1=02744M10&amp;VAR:RCODE=ATCA&amp;VAR:SDATE=20081299&amp;VAR:FREQ=DAILY&amp;VAR:RELITEM=&amp;VAR:CURRENCY=&amp;VAR:CURRSOURCE=EXSHARE&amp;","VAR:NATFREQ=QUARTERLY&amp;VAR:RFIELD=FINALIZED&amp;VAR:DB_TYPE=&amp;VAR:UNITS=M&amp;window=popup&amp;width=450&amp;height=300&amp;START_MAXIMIZED=FALSE"}</definedName>
    <definedName name="_2016__FDSAUDITLINK__" hidden="1">{"fdsup://IBCentral/FAT Viewer?action=UPDATE&amp;creator=factset&amp;DOC_NAME=fat:reuters_qtrly_source_window.fat&amp;display_string=Audit&amp;DYN_ARGS=TRUE&amp;VAR:ID1=02744M10&amp;VAR:RCODE=ATOT&amp;VAR:SDATE=20081299&amp;VAR:FREQ=DAILY&amp;VAR:RELITEM=&amp;VAR:CURRENCY=&amp;VAR:CURRSOURCE=EXSHARE&amp;","VAR:NATFREQ=QUARTERLY&amp;VAR:RFIELD=FINALIZED&amp;VAR:DB_TYPE=&amp;VAR:UNITS=M&amp;window=popup&amp;width=450&amp;height=300&amp;START_MAXIMIZED=FALSE"}</definedName>
    <definedName name="_2017__FDSAUDITLINK__" hidden="1">{"fdsup://IBCentral/FAT Viewer?action=UPDATE&amp;creator=factset&amp;DOC_NAME=fat:reuters_qtrly_source_window.fat&amp;display_string=Audit&amp;DYN_ARGS=TRUE&amp;VAR:ID1=01964550&amp;VAR:RCODE=LTLL&amp;VAR:SDATE=20081299&amp;VAR:FREQ=DAILY&amp;VAR:RELITEM=&amp;VAR:CURRENCY=&amp;VAR:CURRSOURCE=EXSHARE&amp;","VAR:NATFREQ=QUARTERLY&amp;VAR:RFIELD=FINALIZED&amp;VAR:DB_TYPE=&amp;VAR:UNITS=M&amp;window=popup&amp;width=450&amp;height=300&amp;START_MAXIMIZED=FALSE"}</definedName>
    <definedName name="_2018__FDSAUDITLINK__" hidden="1">{"fdsup://IBCentral/FAT Viewer?action=UPDATE&amp;creator=factset&amp;DOC_NAME=fat:reuters_qtrly_source_window.fat&amp;display_string=Audit&amp;DYN_ARGS=TRUE&amp;VAR:ID1=01964550&amp;VAR:RCODE=LTCL&amp;VAR:SDATE=20081299&amp;VAR:FREQ=DAILY&amp;VAR:RELITEM=&amp;VAR:CURRENCY=&amp;VAR:CURRSOURCE=EXSHARE&amp;","VAR:NATFREQ=QUARTERLY&amp;VAR:RFIELD=FINALIZED&amp;VAR:DB_TYPE=&amp;VAR:UNITS=M&amp;window=popup&amp;width=450&amp;height=300&amp;START_MAXIMIZED=FALSE"}</definedName>
    <definedName name="_2019__FDSAUDITLINK__" hidden="1">{"fdsup://IBCentral/FAT Viewer?action=UPDATE&amp;creator=factset&amp;DOC_NAME=fat:reuters_qtrly_source_window.fat&amp;display_string=Audit&amp;DYN_ARGS=TRUE&amp;VAR:ID1=01964550&amp;VAR:RCODE=ATCA&amp;VAR:SDATE=20081299&amp;VAR:FREQ=DAILY&amp;VAR:RELITEM=&amp;VAR:CURRENCY=&amp;VAR:CURRSOURCE=EXSHARE&amp;","VAR:NATFREQ=QUARTERLY&amp;VAR:RFIELD=FINALIZED&amp;VAR:DB_TYPE=&amp;VAR:UNITS=M&amp;window=popup&amp;width=450&amp;height=300&amp;START_MAXIMIZED=FALSE"}</definedName>
    <definedName name="_202__FDSAUDITLINK__" hidden="1">{"fdsup://Directions/FactSet Auditing Viewer?action=AUDIT_VALUE&amp;DB=129&amp;ID1=27743210&amp;VALUEID=02999&amp;SDATE=201001&amp;PERIODTYPE=QTR_STD&amp;window=popup_no_bar&amp;width=385&amp;height=120&amp;START_MAXIMIZED=FALSE&amp;creator=factset&amp;display_string=Audit"}</definedName>
    <definedName name="_2020__FDSAUDITLINK__" hidden="1">{"fdsup://IBCentral/FAT Viewer?action=UPDATE&amp;creator=factset&amp;DOC_NAME=fat:reuters_qtrly_source_window.fat&amp;display_string=Audit&amp;DYN_ARGS=TRUE&amp;VAR:ID1=01964550&amp;VAR:RCODE=ATOT&amp;VAR:SDATE=20081299&amp;VAR:FREQ=DAILY&amp;VAR:RELITEM=&amp;VAR:CURRENCY=&amp;VAR:CURRSOURCE=EXSHARE&amp;","VAR:NATFREQ=QUARTERLY&amp;VAR:RFIELD=FINALIZED&amp;VAR:DB_TYPE=&amp;VAR:UNITS=M&amp;window=popup&amp;width=450&amp;height=300&amp;START_MAXIMIZED=FALSE"}</definedName>
    <definedName name="_2021__FDSAUDITLINK__" hidden="1">{"fdsup://IBCentral/FAT Viewer?action=UPDATE&amp;creator=factset&amp;DOC_NAME=fat:reuters_qtrly_source_window.fat&amp;display_string=Audit&amp;DYN_ARGS=TRUE&amp;VAR:ID1=01860620&amp;VAR:RCODE=LTLL&amp;VAR:SDATE=20081299&amp;VAR:FREQ=DAILY&amp;VAR:RELITEM=&amp;VAR:CURRENCY=&amp;VAR:CURRSOURCE=EXSHARE&amp;","VAR:NATFREQ=QUARTERLY&amp;VAR:RFIELD=FINALIZED&amp;VAR:DB_TYPE=&amp;VAR:UNITS=M&amp;window=popup&amp;width=450&amp;height=300&amp;START_MAXIMIZED=FALSE"}</definedName>
    <definedName name="_2022__FDSAUDITLINK__" hidden="1">{"fdsup://IBCentral/FAT Viewer?action=UPDATE&amp;creator=factset&amp;DOC_NAME=fat:reuters_qtrly_source_window.fat&amp;display_string=Audit&amp;DYN_ARGS=TRUE&amp;VAR:ID1=01860620&amp;VAR:RCODE=LTCL&amp;VAR:SDATE=20081299&amp;VAR:FREQ=DAILY&amp;VAR:RELITEM=&amp;VAR:CURRENCY=&amp;VAR:CURRSOURCE=EXSHARE&amp;","VAR:NATFREQ=QUARTERLY&amp;VAR:RFIELD=FINALIZED&amp;VAR:DB_TYPE=&amp;VAR:UNITS=M&amp;window=popup&amp;width=450&amp;height=300&amp;START_MAXIMIZED=FALSE"}</definedName>
    <definedName name="_2023__FDSAUDITLINK__" hidden="1">{"fdsup://IBCentral/FAT Viewer?action=UPDATE&amp;creator=factset&amp;DOC_NAME=fat:reuters_qtrly_source_window.fat&amp;display_string=Audit&amp;DYN_ARGS=TRUE&amp;VAR:ID1=01860620&amp;VAR:RCODE=ATCA&amp;VAR:SDATE=20081299&amp;VAR:FREQ=DAILY&amp;VAR:RELITEM=&amp;VAR:CURRENCY=&amp;VAR:CURRSOURCE=EXSHARE&amp;","VAR:NATFREQ=QUARTERLY&amp;VAR:RFIELD=FINALIZED&amp;VAR:DB_TYPE=&amp;VAR:UNITS=M&amp;window=popup&amp;width=450&amp;height=300&amp;START_MAXIMIZED=FALSE"}</definedName>
    <definedName name="_2024__FDSAUDITLINK__" hidden="1">{"fdsup://IBCentral/FAT Viewer?action=UPDATE&amp;creator=factset&amp;DOC_NAME=fat:reuters_qtrly_source_window.fat&amp;display_string=Audit&amp;DYN_ARGS=TRUE&amp;VAR:ID1=01860620&amp;VAR:RCODE=ATOT&amp;VAR:SDATE=20081299&amp;VAR:FREQ=DAILY&amp;VAR:RELITEM=&amp;VAR:CURRENCY=&amp;VAR:CURRSOURCE=EXSHARE&amp;","VAR:NATFREQ=QUARTERLY&amp;VAR:RFIELD=FINALIZED&amp;VAR:DB_TYPE=&amp;VAR:UNITS=M&amp;window=popup&amp;width=450&amp;height=300&amp;START_MAXIMIZED=FALSE"}</definedName>
    <definedName name="_2025__FDSAUDITLINK__" hidden="1">{"fdsup://IBCentral/FAT Viewer?action=UPDATE&amp;creator=factset&amp;DOC_NAME=fat:reuters_qtrly_source_window.fat&amp;display_string=Audit&amp;DYN_ARGS=TRUE&amp;VAR:ID1=00104Q10&amp;VAR:RCODE=LTLL&amp;VAR:SDATE=20081299&amp;VAR:FREQ=DAILY&amp;VAR:RELITEM=&amp;VAR:CURRENCY=&amp;VAR:CURRSOURCE=EXSHARE&amp;","VAR:NATFREQ=QUARTERLY&amp;VAR:RFIELD=FINALIZED&amp;VAR:DB_TYPE=&amp;VAR:UNITS=M&amp;window=popup&amp;width=450&amp;height=300&amp;START_MAXIMIZED=FALSE"}</definedName>
    <definedName name="_2026__FDSAUDITLINK__" hidden="1">{"fdsup://IBCentral/FAT Viewer?action=UPDATE&amp;creator=factset&amp;DOC_NAME=fat:reuters_qtrly_source_window.fat&amp;display_string=Audit&amp;DYN_ARGS=TRUE&amp;VAR:ID1=00104Q10&amp;VAR:RCODE=LTCL&amp;VAR:SDATE=20081299&amp;VAR:FREQ=DAILY&amp;VAR:RELITEM=&amp;VAR:CURRENCY=&amp;VAR:CURRSOURCE=EXSHARE&amp;","VAR:NATFREQ=QUARTERLY&amp;VAR:RFIELD=FINALIZED&amp;VAR:DB_TYPE=&amp;VAR:UNITS=M&amp;window=popup&amp;width=450&amp;height=300&amp;START_MAXIMIZED=FALSE"}</definedName>
    <definedName name="_2027__FDSAUDITLINK__" hidden="1">{"fdsup://IBCentral/FAT Viewer?action=UPDATE&amp;creator=factset&amp;DOC_NAME=fat:reuters_qtrly_source_window.fat&amp;display_string=Audit&amp;DYN_ARGS=TRUE&amp;VAR:ID1=00104Q10&amp;VAR:RCODE=ATCA&amp;VAR:SDATE=20081299&amp;VAR:FREQ=DAILY&amp;VAR:RELITEM=&amp;VAR:CURRENCY=&amp;VAR:CURRSOURCE=EXSHARE&amp;","VAR:NATFREQ=QUARTERLY&amp;VAR:RFIELD=FINALIZED&amp;VAR:DB_TYPE=&amp;VAR:UNITS=M&amp;window=popup&amp;width=450&amp;height=300&amp;START_MAXIMIZED=FALSE"}</definedName>
    <definedName name="_2028__FDSAUDITLINK__" hidden="1">{"fdsup://IBCentral/FAT Viewer?action=UPDATE&amp;creator=factset&amp;DOC_NAME=fat:reuters_qtrly_source_window.fat&amp;display_string=Audit&amp;DYN_ARGS=TRUE&amp;VAR:ID1=00104Q10&amp;VAR:RCODE=ATOT&amp;VAR:SDATE=20081299&amp;VAR:FREQ=DAILY&amp;VAR:RELITEM=&amp;VAR:CURRENCY=&amp;VAR:CURRSOURCE=EXSHARE&amp;","VAR:NATFREQ=QUARTERLY&amp;VAR:RFIELD=FINALIZED&amp;VAR:DB_TYPE=&amp;VAR:UNITS=M&amp;window=popup&amp;width=450&amp;height=300&amp;START_MAXIMIZED=FALSE"}</definedName>
    <definedName name="_2029__FDSAUDITLINK__" hidden="1">{"fdsup://IBCentral/FAT Viewer?action=UPDATE&amp;creator=factset&amp;DOC_NAME=fat:reuters_qtrly_source_window.fat&amp;display_string=Audit&amp;DYN_ARGS=TRUE&amp;VAR:ID1=00103110&amp;VAR:RCODE=LTLL&amp;VAR:SDATE=20081099&amp;VAR:FREQ=DAILY&amp;VAR:RELITEM=&amp;VAR:CURRENCY=&amp;VAR:CURRSOURCE=EXSHARE&amp;","VAR:NATFREQ=QUARTERLY&amp;VAR:RFIELD=FINALIZED&amp;VAR:DB_TYPE=&amp;VAR:UNITS=M&amp;window=popup&amp;width=450&amp;height=300&amp;START_MAXIMIZED=FALSE"}</definedName>
    <definedName name="_203__FDSAUDITLINK__" hidden="1">{"fdsup://Directions/FactSet Auditing Viewer?action=AUDIT_VALUE&amp;DB=129&amp;ID1=27746110&amp;VALUEID=02999&amp;SDATE=201001&amp;PERIODTYPE=QTR_STD&amp;window=popup_no_bar&amp;width=385&amp;height=120&amp;START_MAXIMIZED=FALSE&amp;creator=factset&amp;display_string=Audit"}</definedName>
    <definedName name="_2030__FDSAUDITLINK__" hidden="1">{"fdsup://IBCentral/FAT Viewer?action=UPDATE&amp;creator=factset&amp;DOC_NAME=fat:reuters_qtrly_source_window.fat&amp;display_string=Audit&amp;DYN_ARGS=TRUE&amp;VAR:ID1=00103110&amp;VAR:RCODE=LTCL&amp;VAR:SDATE=20081099&amp;VAR:FREQ=DAILY&amp;VAR:RELITEM=&amp;VAR:CURRENCY=&amp;VAR:CURRSOURCE=EXSHARE&amp;","VAR:NATFREQ=QUARTERLY&amp;VAR:RFIELD=FINALIZED&amp;VAR:DB_TYPE=&amp;VAR:UNITS=M&amp;window=popup&amp;width=450&amp;height=300&amp;START_MAXIMIZED=FALSE"}</definedName>
    <definedName name="_2031__FDSAUDITLINK__" hidden="1">{"fdsup://IBCentral/FAT Viewer?action=UPDATE&amp;creator=factset&amp;DOC_NAME=fat:reuters_qtrly_source_window.fat&amp;display_string=Audit&amp;DYN_ARGS=TRUE&amp;VAR:ID1=00103110&amp;VAR:RCODE=ATCA&amp;VAR:SDATE=20081099&amp;VAR:FREQ=DAILY&amp;VAR:RELITEM=&amp;VAR:CURRENCY=&amp;VAR:CURRSOURCE=EXSHARE&amp;","VAR:NATFREQ=QUARTERLY&amp;VAR:RFIELD=FINALIZED&amp;VAR:DB_TYPE=&amp;VAR:UNITS=M&amp;window=popup&amp;width=450&amp;height=300&amp;START_MAXIMIZED=FALSE"}</definedName>
    <definedName name="_2032__FDSAUDITLINK__" hidden="1">{"fdsup://IBCentral/FAT Viewer?action=UPDATE&amp;creator=factset&amp;DOC_NAME=fat:reuters_qtrly_source_window.fat&amp;display_string=Audit&amp;DYN_ARGS=TRUE&amp;VAR:ID1=00103110&amp;VAR:RCODE=ATOT&amp;VAR:SDATE=20081099&amp;VAR:FREQ=DAILY&amp;VAR:RELITEM=&amp;VAR:CURRENCY=&amp;VAR:CURRSOURCE=EXSHARE&amp;","VAR:NATFREQ=QUARTERLY&amp;VAR:RFIELD=FINALIZED&amp;VAR:DB_TYPE=&amp;VAR:UNITS=M&amp;window=popup&amp;width=450&amp;height=300&amp;START_MAXIMIZED=FALSE"}</definedName>
    <definedName name="_2033__FDSAUDITLINK__" hidden="1">{"fdsup://IBCentral/FAT Viewer?action=UPDATE&amp;creator=factset&amp;DOC_NAME=fat:reuters_qtrly_source_window.fat&amp;display_string=Audit&amp;DYN_ARGS=TRUE&amp;VAR:ID1=00081T10&amp;VAR:RCODE=LTLL&amp;VAR:SDATE=20081299&amp;VAR:FREQ=DAILY&amp;VAR:RELITEM=&amp;VAR:CURRENCY=&amp;VAR:CURRSOURCE=EXSHARE&amp;","VAR:NATFREQ=QUARTERLY&amp;VAR:RFIELD=FINALIZED&amp;VAR:DB_TYPE=&amp;VAR:UNITS=M&amp;window=popup&amp;width=450&amp;height=300&amp;START_MAXIMIZED=FALSE"}</definedName>
    <definedName name="_2034__FDSAUDITLINK__" hidden="1">{"fdsup://IBCentral/FAT Viewer?action=UPDATE&amp;creator=factset&amp;DOC_NAME=fat:reuters_qtrly_source_window.fat&amp;display_string=Audit&amp;DYN_ARGS=TRUE&amp;VAR:ID1=00081T10&amp;VAR:RCODE=LTCL&amp;VAR:SDATE=20081299&amp;VAR:FREQ=DAILY&amp;VAR:RELITEM=&amp;VAR:CURRENCY=&amp;VAR:CURRSOURCE=EXSHARE&amp;","VAR:NATFREQ=QUARTERLY&amp;VAR:RFIELD=FINALIZED&amp;VAR:DB_TYPE=&amp;VAR:UNITS=M&amp;window=popup&amp;width=450&amp;height=300&amp;START_MAXIMIZED=FALSE"}</definedName>
    <definedName name="_2035__FDSAUDITLINK__" hidden="1">{"fdsup://IBCentral/FAT Viewer?action=UPDATE&amp;creator=factset&amp;DOC_NAME=fat:reuters_qtrly_source_window.fat&amp;display_string=Audit&amp;DYN_ARGS=TRUE&amp;VAR:ID1=00081T10&amp;VAR:RCODE=ATCA&amp;VAR:SDATE=20081299&amp;VAR:FREQ=DAILY&amp;VAR:RELITEM=&amp;VAR:CURRENCY=&amp;VAR:CURRSOURCE=EXSHARE&amp;","VAR:NATFREQ=QUARTERLY&amp;VAR:RFIELD=FINALIZED&amp;VAR:DB_TYPE=&amp;VAR:UNITS=M&amp;window=popup&amp;width=450&amp;height=300&amp;START_MAXIMIZED=FALSE"}</definedName>
    <definedName name="_2036__FDSAUDITLINK__" hidden="1">{"fdsup://IBCentral/FAT Viewer?action=UPDATE&amp;creator=factset&amp;DOC_NAME=fat:reuters_qtrly_source_window.fat&amp;display_string=Audit&amp;DYN_ARGS=TRUE&amp;VAR:ID1=00081T10&amp;VAR:RCODE=ATOT&amp;VAR:SDATE=20081299&amp;VAR:FREQ=DAILY&amp;VAR:RELITEM=&amp;VAR:CURRENCY=&amp;VAR:CURRSOURCE=EXSHARE&amp;","VAR:NATFREQ=QUARTERLY&amp;VAR:RFIELD=FINALIZED&amp;VAR:DB_TYPE=&amp;VAR:UNITS=M&amp;window=popup&amp;width=450&amp;height=300&amp;START_MAXIMIZED=FALSE"}</definedName>
    <definedName name="_2037__FDSAUDITLINK__" hidden="1">{"fdsup://IBCentral/FAT Viewer?action=UPDATE&amp;creator=factset&amp;DOC_NAME=fat:reuters_qtrly_source_window.fat&amp;display_string=Audit&amp;DYN_ARGS=TRUE&amp;VAR:ID1=98313410&amp;VAR:RCODE=LTLL&amp;VAR:SDATE=20081299&amp;VAR:FREQ=DAILY&amp;VAR:RELITEM=&amp;VAR:CURRENCY=&amp;VAR:CURRSOURCE=EXSHARE&amp;","VAR:NATFREQ=QUARTERLY&amp;VAR:RFIELD=FINALIZED&amp;VAR:DB_TYPE=&amp;VAR:UNITS=M&amp;window=popup&amp;width=450&amp;height=300&amp;START_MAXIMIZED=FALSE"}</definedName>
    <definedName name="_2038__FDSAUDITLINK__" hidden="1">{"fdsup://IBCentral/FAT Viewer?action=UPDATE&amp;creator=factset&amp;DOC_NAME=fat:reuters_qtrly_source_window.fat&amp;display_string=Audit&amp;DYN_ARGS=TRUE&amp;VAR:ID1=98313410&amp;VAR:RCODE=LTCL&amp;VAR:SDATE=20081299&amp;VAR:FREQ=DAILY&amp;VAR:RELITEM=&amp;VAR:CURRENCY=&amp;VAR:CURRSOURCE=EXSHARE&amp;","VAR:NATFREQ=QUARTERLY&amp;VAR:RFIELD=FINALIZED&amp;VAR:DB_TYPE=&amp;VAR:UNITS=M&amp;window=popup&amp;width=450&amp;height=300&amp;START_MAXIMIZED=FALSE"}</definedName>
    <definedName name="_2039__FDSAUDITLINK__" hidden="1">{"fdsup://IBCentral/FAT Viewer?action=UPDATE&amp;creator=factset&amp;DOC_NAME=fat:reuters_qtrly_source_window.fat&amp;display_string=Audit&amp;DYN_ARGS=TRUE&amp;VAR:ID1=98313410&amp;VAR:RCODE=ATCA&amp;VAR:SDATE=20081299&amp;VAR:FREQ=DAILY&amp;VAR:RELITEM=&amp;VAR:CURRENCY=&amp;VAR:CURRSOURCE=EXSHARE&amp;","VAR:NATFREQ=QUARTERLY&amp;VAR:RFIELD=FINALIZED&amp;VAR:DB_TYPE=&amp;VAR:UNITS=M&amp;window=popup&amp;width=450&amp;height=300&amp;START_MAXIMIZED=FALSE"}</definedName>
    <definedName name="_204__FDSAUDITLINK__" hidden="1">{"fdsup://Directions/FactSet Auditing Viewer?action=AUDIT_VALUE&amp;DB=129&amp;ID1=27805810&amp;VALUEID=02999&amp;SDATE=201001&amp;PERIODTYPE=QTR_STD&amp;window=popup_no_bar&amp;width=385&amp;height=120&amp;START_MAXIMIZED=FALSE&amp;creator=factset&amp;display_string=Audit"}</definedName>
    <definedName name="_2040__FDSAUDITLINK__" hidden="1">{"fdsup://IBCentral/FAT Viewer?action=UPDATE&amp;creator=factset&amp;DOC_NAME=fat:reuters_qtrly_source_window.fat&amp;display_string=Audit&amp;DYN_ARGS=TRUE&amp;VAR:ID1=98313410&amp;VAR:RCODE=ATOT&amp;VAR:SDATE=20081299&amp;VAR:FREQ=DAILY&amp;VAR:RELITEM=&amp;VAR:CURRENCY=&amp;VAR:CURRSOURCE=EXSHARE&amp;","VAR:NATFREQ=QUARTERLY&amp;VAR:RFIELD=FINALIZED&amp;VAR:DB_TYPE=&amp;VAR:UNITS=M&amp;window=popup&amp;width=450&amp;height=300&amp;START_MAXIMIZED=FALSE"}</definedName>
    <definedName name="_2041__FDSAUDITLINK__" hidden="1">{"fdsup://IBCentral/FAT Viewer?action=UPDATE&amp;creator=factset&amp;DOC_NAME=fat:reuters_qtrly_source_window.fat&amp;display_string=Audit&amp;DYN_ARGS=TRUE&amp;VAR:ID1=96683710&amp;VAR:RCODE=LTLL&amp;VAR:SDATE=20081299&amp;VAR:FREQ=DAILY&amp;VAR:RELITEM=&amp;VAR:CURRENCY=&amp;VAR:CURRSOURCE=EXSHARE&amp;","VAR:NATFREQ=QUARTERLY&amp;VAR:RFIELD=FINALIZED&amp;VAR:DB_TYPE=&amp;VAR:UNITS=M&amp;window=popup&amp;width=450&amp;height=300&amp;START_MAXIMIZED=FALSE"}</definedName>
    <definedName name="_2042__FDSAUDITLINK__" hidden="1">{"fdsup://IBCentral/FAT Viewer?action=UPDATE&amp;creator=factset&amp;DOC_NAME=fat:reuters_qtrly_source_window.fat&amp;display_string=Audit&amp;DYN_ARGS=TRUE&amp;VAR:ID1=96683710&amp;VAR:RCODE=LTCL&amp;VAR:SDATE=20081299&amp;VAR:FREQ=DAILY&amp;VAR:RELITEM=&amp;VAR:CURRENCY=&amp;VAR:CURRSOURCE=EXSHARE&amp;","VAR:NATFREQ=QUARTERLY&amp;VAR:RFIELD=FINALIZED&amp;VAR:DB_TYPE=&amp;VAR:UNITS=M&amp;window=popup&amp;width=450&amp;height=300&amp;START_MAXIMIZED=FALSE"}</definedName>
    <definedName name="_2043__FDSAUDITLINK__" hidden="1">{"fdsup://IBCentral/FAT Viewer?action=UPDATE&amp;creator=factset&amp;DOC_NAME=fat:reuters_qtrly_source_window.fat&amp;display_string=Audit&amp;DYN_ARGS=TRUE&amp;VAR:ID1=96683710&amp;VAR:RCODE=ATCA&amp;VAR:SDATE=20081299&amp;VAR:FREQ=DAILY&amp;VAR:RELITEM=&amp;VAR:CURRENCY=&amp;VAR:CURRSOURCE=EXSHARE&amp;","VAR:NATFREQ=QUARTERLY&amp;VAR:RFIELD=FINALIZED&amp;VAR:DB_TYPE=&amp;VAR:UNITS=M&amp;window=popup&amp;width=450&amp;height=300&amp;START_MAXIMIZED=FALSE"}</definedName>
    <definedName name="_2044__FDSAUDITLINK__" hidden="1">{"fdsup://IBCentral/FAT Viewer?action=UPDATE&amp;creator=factset&amp;DOC_NAME=fat:reuters_qtrly_source_window.fat&amp;display_string=Audit&amp;DYN_ARGS=TRUE&amp;VAR:ID1=96683710&amp;VAR:RCODE=ATOT&amp;VAR:SDATE=20081299&amp;VAR:FREQ=DAILY&amp;VAR:RELITEM=&amp;VAR:CURRENCY=&amp;VAR:CURRSOURCE=EXSHARE&amp;","VAR:NATFREQ=QUARTERLY&amp;VAR:RFIELD=FINALIZED&amp;VAR:DB_TYPE=&amp;VAR:UNITS=M&amp;window=popup&amp;width=450&amp;height=300&amp;START_MAXIMIZED=FALSE"}</definedName>
    <definedName name="_2045__FDSAUDITLINK__" hidden="1">{"fdsup://IBCentral/FAT Viewer?action=UPDATE&amp;creator=factset&amp;DOC_NAME=fat:reuters_qtrly_source_window.fat&amp;display_string=Audit&amp;DYN_ARGS=TRUE&amp;VAR:ID1=96638710&amp;VAR:RCODE=LTLL&amp;VAR:SDATE=20081299&amp;VAR:FREQ=DAILY&amp;VAR:RELITEM=&amp;VAR:CURRENCY=&amp;VAR:CURRSOURCE=EXSHARE&amp;","VAR:NATFREQ=QUARTERLY&amp;VAR:RFIELD=FINALIZED&amp;VAR:DB_TYPE=&amp;VAR:UNITS=M&amp;window=popup&amp;width=450&amp;height=300&amp;START_MAXIMIZED=FALSE"}</definedName>
    <definedName name="_2046__FDSAUDITLINK__" hidden="1">{"fdsup://IBCentral/FAT Viewer?action=UPDATE&amp;creator=factset&amp;DOC_NAME=fat:reuters_qtrly_source_window.fat&amp;display_string=Audit&amp;DYN_ARGS=TRUE&amp;VAR:ID1=96638710&amp;VAR:RCODE=LTCL&amp;VAR:SDATE=20081299&amp;VAR:FREQ=DAILY&amp;VAR:RELITEM=&amp;VAR:CURRENCY=&amp;VAR:CURRSOURCE=EXSHARE&amp;","VAR:NATFREQ=QUARTERLY&amp;VAR:RFIELD=FINALIZED&amp;VAR:DB_TYPE=&amp;VAR:UNITS=M&amp;window=popup&amp;width=450&amp;height=300&amp;START_MAXIMIZED=FALSE"}</definedName>
    <definedName name="_2047__FDSAUDITLINK__" hidden="1">{"fdsup://IBCentral/FAT Viewer?action=UPDATE&amp;creator=factset&amp;DOC_NAME=fat:reuters_qtrly_source_window.fat&amp;display_string=Audit&amp;DYN_ARGS=TRUE&amp;VAR:ID1=96638710&amp;VAR:RCODE=ATCA&amp;VAR:SDATE=20081299&amp;VAR:FREQ=DAILY&amp;VAR:RELITEM=&amp;VAR:CURRENCY=&amp;VAR:CURRSOURCE=EXSHARE&amp;","VAR:NATFREQ=QUARTERLY&amp;VAR:RFIELD=FINALIZED&amp;VAR:DB_TYPE=&amp;VAR:UNITS=M&amp;window=popup&amp;width=450&amp;height=300&amp;START_MAXIMIZED=FALSE"}</definedName>
    <definedName name="_2048__FDSAUDITLINK__" hidden="1">{"fdsup://IBCentral/FAT Viewer?action=UPDATE&amp;creator=factset&amp;DOC_NAME=fat:reuters_qtrly_source_window.fat&amp;display_string=Audit&amp;DYN_ARGS=TRUE&amp;VAR:ID1=96638710&amp;VAR:RCODE=ATOT&amp;VAR:SDATE=20081299&amp;VAR:FREQ=DAILY&amp;VAR:RELITEM=&amp;VAR:CURRENCY=&amp;VAR:CURRSOURCE=EXSHARE&amp;","VAR:NATFREQ=QUARTERLY&amp;VAR:RFIELD=FINALIZED&amp;VAR:DB_TYPE=&amp;VAR:UNITS=M&amp;window=popup&amp;width=450&amp;height=300&amp;START_MAXIMIZED=FALSE"}</definedName>
    <definedName name="_2049__FDSAUDITLINK__" hidden="1">{"fdsup://IBCentral/FAT Viewer?action=UPDATE&amp;creator=factset&amp;DOC_NAME=fat:reuters_qtrly_source_window.fat&amp;display_string=Audit&amp;DYN_ARGS=TRUE&amp;VAR:ID1=95082P10&amp;VAR:RCODE=LTLL&amp;VAR:SDATE=20081299&amp;VAR:FREQ=DAILY&amp;VAR:RELITEM=&amp;VAR:CURRENCY=&amp;VAR:CURRSOURCE=EXSHARE&amp;","VAR:NATFREQ=QUARTERLY&amp;VAR:RFIELD=FINALIZED&amp;VAR:DB_TYPE=&amp;VAR:UNITS=M&amp;window=popup&amp;width=450&amp;height=300&amp;START_MAXIMIZED=FALSE"}</definedName>
    <definedName name="_205__FDSAUDITLINK__" hidden="1">{"fdsup://Directions/FactSet Auditing Viewer?action=AUDIT_VALUE&amp;DB=129&amp;ID1=27864210&amp;VALUEID=02999&amp;SDATE=201001&amp;PERIODTYPE=QTR_STD&amp;window=popup_no_bar&amp;width=385&amp;height=120&amp;START_MAXIMIZED=FALSE&amp;creator=factset&amp;display_string=Audit"}</definedName>
    <definedName name="_2050__FDSAUDITLINK__" hidden="1">{"fdsup://IBCentral/FAT Viewer?action=UPDATE&amp;creator=factset&amp;DOC_NAME=fat:reuters_qtrly_source_window.fat&amp;display_string=Audit&amp;DYN_ARGS=TRUE&amp;VAR:ID1=95082P10&amp;VAR:RCODE=LTCL&amp;VAR:SDATE=20081299&amp;VAR:FREQ=DAILY&amp;VAR:RELITEM=&amp;VAR:CURRENCY=&amp;VAR:CURRSOURCE=EXSHARE&amp;","VAR:NATFREQ=QUARTERLY&amp;VAR:RFIELD=FINALIZED&amp;VAR:DB_TYPE=&amp;VAR:UNITS=M&amp;window=popup&amp;width=450&amp;height=300&amp;START_MAXIMIZED=FALSE"}</definedName>
    <definedName name="_2051__FDSAUDITLINK__" hidden="1">{"fdsup://IBCentral/FAT Viewer?action=UPDATE&amp;creator=factset&amp;DOC_NAME=fat:reuters_qtrly_source_window.fat&amp;display_string=Audit&amp;DYN_ARGS=TRUE&amp;VAR:ID1=95082P10&amp;VAR:RCODE=ATCA&amp;VAR:SDATE=20081299&amp;VAR:FREQ=DAILY&amp;VAR:RELITEM=&amp;VAR:CURRENCY=&amp;VAR:CURRSOURCE=EXSHARE&amp;","VAR:NATFREQ=QUARTERLY&amp;VAR:RFIELD=FINALIZED&amp;VAR:DB_TYPE=&amp;VAR:UNITS=M&amp;window=popup&amp;width=450&amp;height=300&amp;START_MAXIMIZED=FALSE"}</definedName>
    <definedName name="_2052__FDSAUDITLINK__" hidden="1">{"fdsup://IBCentral/FAT Viewer?action=UPDATE&amp;creator=factset&amp;DOC_NAME=fat:reuters_qtrly_source_window.fat&amp;display_string=Audit&amp;DYN_ARGS=TRUE&amp;VAR:ID1=95082P10&amp;VAR:RCODE=ATOT&amp;VAR:SDATE=20081299&amp;VAR:FREQ=DAILY&amp;VAR:RELITEM=&amp;VAR:CURRENCY=&amp;VAR:CURRSOURCE=EXSHARE&amp;","VAR:NATFREQ=QUARTERLY&amp;VAR:RFIELD=FINALIZED&amp;VAR:DB_TYPE=&amp;VAR:UNITS=M&amp;window=popup&amp;width=450&amp;height=300&amp;START_MAXIMIZED=FALSE"}</definedName>
    <definedName name="_2053__FDSAUDITLINK__" hidden="1">{"fdsup://IBCentral/FAT Viewer?action=UPDATE&amp;creator=factset&amp;DOC_NAME=fat:reuters_qtrly_source_window.fat&amp;display_string=Audit&amp;DYN_ARGS=TRUE&amp;VAR:ID1=93439040&amp;VAR:RCODE=LTLL&amp;VAR:SDATE=20081299&amp;VAR:FREQ=DAILY&amp;VAR:RELITEM=&amp;VAR:CURRENCY=&amp;VAR:CURRSOURCE=EXSHARE&amp;","VAR:NATFREQ=QUARTERLY&amp;VAR:RFIELD=FINALIZED&amp;VAR:DB_TYPE=&amp;VAR:UNITS=M&amp;window=popup&amp;width=450&amp;height=300&amp;START_MAXIMIZED=FALSE"}</definedName>
    <definedName name="_2054__FDSAUDITLINK__" hidden="1">{"fdsup://IBCentral/FAT Viewer?action=UPDATE&amp;creator=factset&amp;DOC_NAME=fat:reuters_qtrly_source_window.fat&amp;display_string=Audit&amp;DYN_ARGS=TRUE&amp;VAR:ID1=93439040&amp;VAR:RCODE=LTCL&amp;VAR:SDATE=20081299&amp;VAR:FREQ=DAILY&amp;VAR:RELITEM=&amp;VAR:CURRENCY=&amp;VAR:CURRSOURCE=EXSHARE&amp;","VAR:NATFREQ=QUARTERLY&amp;VAR:RFIELD=FINALIZED&amp;VAR:DB_TYPE=&amp;VAR:UNITS=M&amp;window=popup&amp;width=450&amp;height=300&amp;START_MAXIMIZED=FALSE"}</definedName>
    <definedName name="_2055__FDSAUDITLINK__" hidden="1">{"fdsup://IBCentral/FAT Viewer?action=UPDATE&amp;creator=factset&amp;DOC_NAME=fat:reuters_qtrly_source_window.fat&amp;display_string=Audit&amp;DYN_ARGS=TRUE&amp;VAR:ID1=93439040&amp;VAR:RCODE=ATCA&amp;VAR:SDATE=20081299&amp;VAR:FREQ=DAILY&amp;VAR:RELITEM=&amp;VAR:CURRENCY=&amp;VAR:CURRSOURCE=EXSHARE&amp;","VAR:NATFREQ=QUARTERLY&amp;VAR:RFIELD=FINALIZED&amp;VAR:DB_TYPE=&amp;VAR:UNITS=M&amp;window=popup&amp;width=450&amp;height=300&amp;START_MAXIMIZED=FALSE"}</definedName>
    <definedName name="_2056__FDSAUDITLINK__" hidden="1">{"fdsup://IBCentral/FAT Viewer?action=UPDATE&amp;creator=factset&amp;DOC_NAME=fat:reuters_qtrly_source_window.fat&amp;display_string=Audit&amp;DYN_ARGS=TRUE&amp;VAR:ID1=93439040&amp;VAR:RCODE=ATOT&amp;VAR:SDATE=20081299&amp;VAR:FREQ=DAILY&amp;VAR:RELITEM=&amp;VAR:CURRENCY=&amp;VAR:CURRSOURCE=EXSHARE&amp;","VAR:NATFREQ=QUARTERLY&amp;VAR:RFIELD=FINALIZED&amp;VAR:DB_TYPE=&amp;VAR:UNITS=M&amp;window=popup&amp;width=450&amp;height=300&amp;START_MAXIMIZED=FALSE"}</definedName>
    <definedName name="_2057__FDSAUDITLINK__" hidden="1">{"fdsup://IBCentral/FAT Viewer?action=UPDATE&amp;creator=factset&amp;DOC_NAME=fat:reuters_qtrly_source_window.fat&amp;display_string=Audit&amp;DYN_ARGS=TRUE&amp;VAR:ID1=88091510&amp;VAR:RCODE=LTLL&amp;VAR:SDATE=20081299&amp;VAR:FREQ=DAILY&amp;VAR:RELITEM=&amp;VAR:CURRENCY=&amp;VAR:CURRSOURCE=EXSHARE&amp;","VAR:NATFREQ=QUARTERLY&amp;VAR:RFIELD=FINALIZED&amp;VAR:DB_TYPE=&amp;VAR:UNITS=M&amp;window=popup&amp;width=450&amp;height=300&amp;START_MAXIMIZED=FALSE"}</definedName>
    <definedName name="_2058__FDSAUDITLINK__" hidden="1">{"fdsup://IBCentral/FAT Viewer?action=UPDATE&amp;creator=factset&amp;DOC_NAME=fat:reuters_qtrly_source_window.fat&amp;display_string=Audit&amp;DYN_ARGS=TRUE&amp;VAR:ID1=88091510&amp;VAR:RCODE=LTCL&amp;VAR:SDATE=20081299&amp;VAR:FREQ=DAILY&amp;VAR:RELITEM=&amp;VAR:CURRENCY=&amp;VAR:CURRSOURCE=EXSHARE&amp;","VAR:NATFREQ=QUARTERLY&amp;VAR:RFIELD=FINALIZED&amp;VAR:DB_TYPE=&amp;VAR:UNITS=M&amp;window=popup&amp;width=450&amp;height=300&amp;START_MAXIMIZED=FALSE"}</definedName>
    <definedName name="_2059__FDSAUDITLINK__" hidden="1">{"fdsup://IBCentral/FAT Viewer?action=UPDATE&amp;creator=factset&amp;DOC_NAME=fat:reuters_qtrly_source_window.fat&amp;display_string=Audit&amp;DYN_ARGS=TRUE&amp;VAR:ID1=88091510&amp;VAR:RCODE=ATCA&amp;VAR:SDATE=20081299&amp;VAR:FREQ=DAILY&amp;VAR:RELITEM=&amp;VAR:CURRENCY=&amp;VAR:CURRSOURCE=EXSHARE&amp;","VAR:NATFREQ=QUARTERLY&amp;VAR:RFIELD=FINALIZED&amp;VAR:DB_TYPE=&amp;VAR:UNITS=M&amp;window=popup&amp;width=450&amp;height=300&amp;START_MAXIMIZED=FALSE"}</definedName>
    <definedName name="_206__FDSAUDITLINK__" hidden="1">{"fdsup://Directions/FactSet Auditing Viewer?action=AUDIT_VALUE&amp;DB=129&amp;ID1=27886510&amp;VALUEID=02999&amp;SDATE=201001&amp;PERIODTYPE=QTR_STD&amp;window=popup_no_bar&amp;width=385&amp;height=120&amp;START_MAXIMIZED=FALSE&amp;creator=factset&amp;display_string=Audit"}</definedName>
    <definedName name="_2060__FDSAUDITLINK__" hidden="1">{"fdsup://IBCentral/FAT Viewer?action=UPDATE&amp;creator=factset&amp;DOC_NAME=fat:reuters_qtrly_source_window.fat&amp;display_string=Audit&amp;DYN_ARGS=TRUE&amp;VAR:ID1=88091510&amp;VAR:RCODE=ATOT&amp;VAR:SDATE=20081299&amp;VAR:FREQ=DAILY&amp;VAR:RELITEM=&amp;VAR:CURRENCY=&amp;VAR:CURRSOURCE=EXSHARE&amp;","VAR:NATFREQ=QUARTERLY&amp;VAR:RFIELD=FINALIZED&amp;VAR:DB_TYPE=&amp;VAR:UNITS=M&amp;window=popup&amp;width=450&amp;height=300&amp;START_MAXIMIZED=FALSE"}</definedName>
    <definedName name="_2061__FDSAUDITLINK__" hidden="1">{"fdsup://IBCentral/FAT Viewer?action=UPDATE&amp;creator=factset&amp;DOC_NAME=fat:reuters_qtrly_source_window.fat&amp;display_string=Audit&amp;DYN_ARGS=TRUE&amp;VAR:ID1=87073810&amp;VAR:RCODE=LTLL&amp;VAR:SDATE=20081299&amp;VAR:FREQ=DAILY&amp;VAR:RELITEM=&amp;VAR:CURRENCY=&amp;VAR:CURRSOURCE=EXSHARE&amp;","VAR:NATFREQ=QUARTERLY&amp;VAR:RFIELD=FINALIZED&amp;VAR:DB_TYPE=&amp;VAR:UNITS=M&amp;window=popup&amp;width=450&amp;height=300&amp;START_MAXIMIZED=FALSE"}</definedName>
    <definedName name="_2062__FDSAUDITLINK__" hidden="1">{"fdsup://IBCentral/FAT Viewer?action=UPDATE&amp;creator=factset&amp;DOC_NAME=fat:reuters_qtrly_source_window.fat&amp;display_string=Audit&amp;DYN_ARGS=TRUE&amp;VAR:ID1=87073810&amp;VAR:RCODE=LTCL&amp;VAR:SDATE=20081299&amp;VAR:FREQ=DAILY&amp;VAR:RELITEM=&amp;VAR:CURRENCY=&amp;VAR:CURRSOURCE=EXSHARE&amp;","VAR:NATFREQ=QUARTERLY&amp;VAR:RFIELD=FINALIZED&amp;VAR:DB_TYPE=&amp;VAR:UNITS=M&amp;window=popup&amp;width=450&amp;height=300&amp;START_MAXIMIZED=FALSE"}</definedName>
    <definedName name="_2063__FDSAUDITLINK__" hidden="1">{"fdsup://IBCentral/FAT Viewer?action=UPDATE&amp;creator=factset&amp;DOC_NAME=fat:reuters_qtrly_source_window.fat&amp;display_string=Audit&amp;DYN_ARGS=TRUE&amp;VAR:ID1=87073810&amp;VAR:RCODE=ATCA&amp;VAR:SDATE=20081299&amp;VAR:FREQ=DAILY&amp;VAR:RELITEM=&amp;VAR:CURRENCY=&amp;VAR:CURRSOURCE=EXSHARE&amp;","VAR:NATFREQ=QUARTERLY&amp;VAR:RFIELD=FINALIZED&amp;VAR:DB_TYPE=&amp;VAR:UNITS=M&amp;window=popup&amp;width=450&amp;height=300&amp;START_MAXIMIZED=FALSE"}</definedName>
    <definedName name="_2064__FDSAUDITLINK__" hidden="1">{"fdsup://IBCentral/FAT Viewer?action=UPDATE&amp;creator=factset&amp;DOC_NAME=fat:reuters_qtrly_source_window.fat&amp;display_string=Audit&amp;DYN_ARGS=TRUE&amp;VAR:ID1=87073810&amp;VAR:RCODE=ATOT&amp;VAR:SDATE=20081299&amp;VAR:FREQ=DAILY&amp;VAR:RELITEM=&amp;VAR:CURRENCY=&amp;VAR:CURRSOURCE=EXSHARE&amp;","VAR:NATFREQ=QUARTERLY&amp;VAR:RFIELD=FINALIZED&amp;VAR:DB_TYPE=&amp;VAR:UNITS=M&amp;window=popup&amp;width=450&amp;height=300&amp;START_MAXIMIZED=FALSE"}</definedName>
    <definedName name="_2065__FDSAUDITLINK__" hidden="1">{"fdsup://IBCentral/FAT Viewer?action=UPDATE&amp;creator=factset&amp;DOC_NAME=fat:reuters_qtrly_source_window.fat&amp;display_string=Audit&amp;DYN_ARGS=TRUE&amp;VAR:ID1=86853610&amp;VAR:RCODE=LTLL&amp;VAR:SDATE=20081199&amp;VAR:FREQ=DAILY&amp;VAR:RELITEM=&amp;VAR:CURRENCY=&amp;VAR:CURRSOURCE=EXSHARE&amp;","VAR:NATFREQ=QUARTERLY&amp;VAR:RFIELD=FINALIZED&amp;VAR:DB_TYPE=&amp;VAR:UNITS=M&amp;window=popup&amp;width=450&amp;height=300&amp;START_MAXIMIZED=FALSE"}</definedName>
    <definedName name="_2066__FDSAUDITLINK__" hidden="1">{"fdsup://IBCentral/FAT Viewer?action=UPDATE&amp;creator=factset&amp;DOC_NAME=fat:reuters_qtrly_source_window.fat&amp;display_string=Audit&amp;DYN_ARGS=TRUE&amp;VAR:ID1=86853610&amp;VAR:RCODE=LTCL&amp;VAR:SDATE=20081199&amp;VAR:FREQ=DAILY&amp;VAR:RELITEM=&amp;VAR:CURRENCY=&amp;VAR:CURRSOURCE=EXSHARE&amp;","VAR:NATFREQ=QUARTERLY&amp;VAR:RFIELD=FINALIZED&amp;VAR:DB_TYPE=&amp;VAR:UNITS=M&amp;window=popup&amp;width=450&amp;height=300&amp;START_MAXIMIZED=FALSE"}</definedName>
    <definedName name="_2067__FDSAUDITLINK__" hidden="1">{"fdsup://IBCentral/FAT Viewer?action=UPDATE&amp;creator=factset&amp;DOC_NAME=fat:reuters_qtrly_source_window.fat&amp;display_string=Audit&amp;DYN_ARGS=TRUE&amp;VAR:ID1=86853610&amp;VAR:RCODE=ATCA&amp;VAR:SDATE=20081199&amp;VAR:FREQ=DAILY&amp;VAR:RELITEM=&amp;VAR:CURRENCY=&amp;VAR:CURRSOURCE=EXSHARE&amp;","VAR:NATFREQ=QUARTERLY&amp;VAR:RFIELD=FINALIZED&amp;VAR:DB_TYPE=&amp;VAR:UNITS=M&amp;window=popup&amp;width=450&amp;height=300&amp;START_MAXIMIZED=FALSE"}</definedName>
    <definedName name="_2068__FDSAUDITLINK__" hidden="1">{"fdsup://IBCentral/FAT Viewer?action=UPDATE&amp;creator=factset&amp;DOC_NAME=fat:reuters_qtrly_source_window.fat&amp;display_string=Audit&amp;DYN_ARGS=TRUE&amp;VAR:ID1=86853610&amp;VAR:RCODE=ATOT&amp;VAR:SDATE=20081199&amp;VAR:FREQ=DAILY&amp;VAR:RELITEM=&amp;VAR:CURRENCY=&amp;VAR:CURRSOURCE=EXSHARE&amp;","VAR:NATFREQ=QUARTERLY&amp;VAR:RFIELD=FINALIZED&amp;VAR:DB_TYPE=&amp;VAR:UNITS=M&amp;window=popup&amp;width=450&amp;height=300&amp;START_MAXIMIZED=FALSE"}</definedName>
    <definedName name="_2069__FDSAUDITLINK__" hidden="1">{"fdsup://IBCentral/FAT Viewer?action=UPDATE&amp;creator=factset&amp;DOC_NAME=fat:reuters_qtrly_source_window.fat&amp;display_string=Audit&amp;DYN_ARGS=TRUE&amp;VAR:ID1=85849510&amp;VAR:RCODE=LTLL&amp;VAR:SDATE=20081299&amp;VAR:FREQ=DAILY&amp;VAR:RELITEM=&amp;VAR:CURRENCY=&amp;VAR:CURRSOURCE=EXSHARE&amp;","VAR:NATFREQ=QUARTERLY&amp;VAR:RFIELD=FINALIZED&amp;VAR:DB_TYPE=&amp;VAR:UNITS=M&amp;window=popup&amp;width=450&amp;height=300&amp;START_MAXIMIZED=FALSE"}</definedName>
    <definedName name="_207__FDSAUDITLINK__" hidden="1">{"fdsup://Directions/FactSet Auditing Viewer?action=AUDIT_VALUE&amp;DB=129&amp;ID1=28336L10&amp;VALUEID=02999&amp;SDATE=201001&amp;PERIODTYPE=QTR_STD&amp;window=popup_no_bar&amp;width=385&amp;height=120&amp;START_MAXIMIZED=FALSE&amp;creator=factset&amp;display_string=Audit"}</definedName>
    <definedName name="_2070__FDSAUDITLINK__" hidden="1">{"fdsup://IBCentral/FAT Viewer?action=UPDATE&amp;creator=factset&amp;DOC_NAME=fat:reuters_qtrly_source_window.fat&amp;display_string=Audit&amp;DYN_ARGS=TRUE&amp;VAR:ID1=85849510&amp;VAR:RCODE=LTCL&amp;VAR:SDATE=20081299&amp;VAR:FREQ=DAILY&amp;VAR:RELITEM=&amp;VAR:CURRENCY=&amp;VAR:CURRSOURCE=EXSHARE&amp;","VAR:NATFREQ=QUARTERLY&amp;VAR:RFIELD=FINALIZED&amp;VAR:DB_TYPE=&amp;VAR:UNITS=M&amp;window=popup&amp;width=450&amp;height=300&amp;START_MAXIMIZED=FALSE"}</definedName>
    <definedName name="_2071__FDSAUDITLINK__" hidden="1">{"fdsup://IBCentral/FAT Viewer?action=UPDATE&amp;creator=factset&amp;DOC_NAME=fat:reuters_qtrly_source_window.fat&amp;display_string=Audit&amp;DYN_ARGS=TRUE&amp;VAR:ID1=85849510&amp;VAR:RCODE=ATCA&amp;VAR:SDATE=20081299&amp;VAR:FREQ=DAILY&amp;VAR:RELITEM=&amp;VAR:CURRENCY=&amp;VAR:CURRSOURCE=EXSHARE&amp;","VAR:NATFREQ=QUARTERLY&amp;VAR:RFIELD=FINALIZED&amp;VAR:DB_TYPE=&amp;VAR:UNITS=M&amp;window=popup&amp;width=450&amp;height=300&amp;START_MAXIMIZED=FALSE"}</definedName>
    <definedName name="_2072__FDSAUDITLINK__" hidden="1">{"fdsup://IBCentral/FAT Viewer?action=UPDATE&amp;creator=factset&amp;DOC_NAME=fat:reuters_qtrly_source_window.fat&amp;display_string=Audit&amp;DYN_ARGS=TRUE&amp;VAR:ID1=85849510&amp;VAR:RCODE=ATOT&amp;VAR:SDATE=20081299&amp;VAR:FREQ=DAILY&amp;VAR:RELITEM=&amp;VAR:CURRENCY=&amp;VAR:CURRSOURCE=EXSHARE&amp;","VAR:NATFREQ=QUARTERLY&amp;VAR:RFIELD=FINALIZED&amp;VAR:DB_TYPE=&amp;VAR:UNITS=M&amp;window=popup&amp;width=450&amp;height=300&amp;START_MAXIMIZED=FALSE"}</definedName>
    <definedName name="_2073__FDSAUDITLINK__" hidden="1">{"fdsup://IBCentral/FAT Viewer?action=UPDATE&amp;creator=factset&amp;DOC_NAME=fat:reuters_qtrly_source_window.fat&amp;display_string=Audit&amp;DYN_ARGS=TRUE&amp;VAR:ID1=83545G10&amp;VAR:RCODE=LTLL&amp;VAR:SDATE=20081299&amp;VAR:FREQ=DAILY&amp;VAR:RELITEM=&amp;VAR:CURRENCY=&amp;VAR:CURRSOURCE=EXSHARE&amp;","VAR:NATFREQ=QUARTERLY&amp;VAR:RFIELD=FINALIZED&amp;VAR:DB_TYPE=&amp;VAR:UNITS=M&amp;window=popup&amp;width=450&amp;height=300&amp;START_MAXIMIZED=FALSE"}</definedName>
    <definedName name="_2074__FDSAUDITLINK__" hidden="1">{"fdsup://IBCentral/FAT Viewer?action=UPDATE&amp;creator=factset&amp;DOC_NAME=fat:reuters_qtrly_source_window.fat&amp;display_string=Audit&amp;DYN_ARGS=TRUE&amp;VAR:ID1=83545G10&amp;VAR:RCODE=LTCL&amp;VAR:SDATE=20081299&amp;VAR:FREQ=DAILY&amp;VAR:RELITEM=&amp;VAR:CURRENCY=&amp;VAR:CURRSOURCE=EXSHARE&amp;","VAR:NATFREQ=QUARTERLY&amp;VAR:RFIELD=FINALIZED&amp;VAR:DB_TYPE=&amp;VAR:UNITS=M&amp;window=popup&amp;width=450&amp;height=300&amp;START_MAXIMIZED=FALSE"}</definedName>
    <definedName name="_2075__FDSAUDITLINK__" hidden="1">{"fdsup://IBCentral/FAT Viewer?action=UPDATE&amp;creator=factset&amp;DOC_NAME=fat:reuters_qtrly_source_window.fat&amp;display_string=Audit&amp;DYN_ARGS=TRUE&amp;VAR:ID1=83545G10&amp;VAR:RCODE=ATCA&amp;VAR:SDATE=20081299&amp;VAR:FREQ=DAILY&amp;VAR:RELITEM=&amp;VAR:CURRENCY=&amp;VAR:CURRSOURCE=EXSHARE&amp;","VAR:NATFREQ=QUARTERLY&amp;VAR:RFIELD=FINALIZED&amp;VAR:DB_TYPE=&amp;VAR:UNITS=M&amp;window=popup&amp;width=450&amp;height=300&amp;START_MAXIMIZED=FALSE"}</definedName>
    <definedName name="_2076__FDSAUDITLINK__" hidden="1">{"fdsup://IBCentral/FAT Viewer?action=UPDATE&amp;creator=factset&amp;DOC_NAME=fat:reuters_qtrly_source_window.fat&amp;display_string=Audit&amp;DYN_ARGS=TRUE&amp;VAR:ID1=83545G10&amp;VAR:RCODE=ATOT&amp;VAR:SDATE=20081299&amp;VAR:FREQ=DAILY&amp;VAR:RELITEM=&amp;VAR:CURRENCY=&amp;VAR:CURRSOURCE=EXSHARE&amp;","VAR:NATFREQ=QUARTERLY&amp;VAR:RFIELD=FINALIZED&amp;VAR:DB_TYPE=&amp;VAR:UNITS=M&amp;window=popup&amp;width=450&amp;height=300&amp;START_MAXIMIZED=FALSE"}</definedName>
    <definedName name="_2077__FDSAUDITLINK__" hidden="1">{"fdsup://IBCentral/FAT Viewer?action=UPDATE&amp;creator=factset&amp;DOC_NAME=fat:reuters_qtrly_source_window.fat&amp;display_string=Audit&amp;DYN_ARGS=TRUE&amp;VAR:ID1=82922610&amp;VAR:RCODE=LTLL&amp;VAR:SDATE=20081299&amp;VAR:FREQ=DAILY&amp;VAR:RELITEM=&amp;VAR:CURRENCY=&amp;VAR:CURRSOURCE=EXSHARE&amp;","VAR:NATFREQ=QUARTERLY&amp;VAR:RFIELD=FINALIZED&amp;VAR:DB_TYPE=&amp;VAR:UNITS=M&amp;window=popup&amp;width=450&amp;height=300&amp;START_MAXIMIZED=FALSE"}</definedName>
    <definedName name="_2078__FDSAUDITLINK__" hidden="1">{"fdsup://IBCentral/FAT Viewer?action=UPDATE&amp;creator=factset&amp;DOC_NAME=fat:reuters_qtrly_source_window.fat&amp;display_string=Audit&amp;DYN_ARGS=TRUE&amp;VAR:ID1=82922610&amp;VAR:RCODE=LTCL&amp;VAR:SDATE=20081299&amp;VAR:FREQ=DAILY&amp;VAR:RELITEM=&amp;VAR:CURRENCY=&amp;VAR:CURRSOURCE=EXSHARE&amp;","VAR:NATFREQ=QUARTERLY&amp;VAR:RFIELD=FINALIZED&amp;VAR:DB_TYPE=&amp;VAR:UNITS=M&amp;window=popup&amp;width=450&amp;height=300&amp;START_MAXIMIZED=FALSE"}</definedName>
    <definedName name="_2079__FDSAUDITLINK__" hidden="1">{"fdsup://IBCentral/FAT Viewer?action=UPDATE&amp;creator=factset&amp;DOC_NAME=fat:reuters_qtrly_source_window.fat&amp;display_string=Audit&amp;DYN_ARGS=TRUE&amp;VAR:ID1=82922610&amp;VAR:RCODE=ATCA&amp;VAR:SDATE=20081299&amp;VAR:FREQ=DAILY&amp;VAR:RELITEM=&amp;VAR:CURRENCY=&amp;VAR:CURRSOURCE=EXSHARE&amp;","VAR:NATFREQ=QUARTERLY&amp;VAR:RFIELD=FINALIZED&amp;VAR:DB_TYPE=&amp;VAR:UNITS=M&amp;window=popup&amp;width=450&amp;height=300&amp;START_MAXIMIZED=FALSE"}</definedName>
    <definedName name="_208__FDSAUDITLINK__" hidden="1">{"fdsup://Directions/FactSet Auditing Viewer?action=AUDIT_VALUE&amp;DB=129&amp;ID1=28370210&amp;VALUEID=02999&amp;SDATE=201001&amp;PERIODTYPE=QTR_STD&amp;window=popup_no_bar&amp;width=385&amp;height=120&amp;START_MAXIMIZED=FALSE&amp;creator=factset&amp;display_string=Audit"}</definedName>
    <definedName name="_2080__FDSAUDITLINK__" hidden="1">{"fdsup://IBCentral/FAT Viewer?action=UPDATE&amp;creator=factset&amp;DOC_NAME=fat:reuters_qtrly_source_window.fat&amp;display_string=Audit&amp;DYN_ARGS=TRUE&amp;VAR:ID1=82922610&amp;VAR:RCODE=ATOT&amp;VAR:SDATE=20081299&amp;VAR:FREQ=DAILY&amp;VAR:RELITEM=&amp;VAR:CURRENCY=&amp;VAR:CURRSOURCE=EXSHARE&amp;","VAR:NATFREQ=QUARTERLY&amp;VAR:RFIELD=FINALIZED&amp;VAR:DB_TYPE=&amp;VAR:UNITS=M&amp;window=popup&amp;width=450&amp;height=300&amp;START_MAXIMIZED=FALSE"}</definedName>
    <definedName name="_2081__FDSAUDITLINK__" hidden="1">{"fdsup://IBCentral/FAT Viewer?action=UPDATE&amp;creator=factset&amp;DOC_NAME=fat:reuters_qtrly_source_window.fat&amp;display_string=Audit&amp;DYN_ARGS=TRUE&amp;VAR:ID1=G8107510&amp;VAR:RCODE=LTLL&amp;VAR:SDATE=20081299&amp;VAR:FREQ=DAILY&amp;VAR:RELITEM=&amp;VAR:CURRENCY=&amp;VAR:CURRSOURCE=EXSHARE&amp;","VAR:NATFREQ=QUARTERLY&amp;VAR:RFIELD=FINALIZED&amp;VAR:DB_TYPE=&amp;VAR:UNITS=M&amp;window=popup&amp;width=450&amp;height=300&amp;START_MAXIMIZED=FALSE"}</definedName>
    <definedName name="_2082__FDSAUDITLINK__" hidden="1">{"fdsup://IBCentral/FAT Viewer?action=UPDATE&amp;creator=factset&amp;DOC_NAME=fat:reuters_qtrly_source_window.fat&amp;display_string=Audit&amp;DYN_ARGS=TRUE&amp;VAR:ID1=G8107510&amp;VAR:RCODE=LTCL&amp;VAR:SDATE=20081299&amp;VAR:FREQ=DAILY&amp;VAR:RELITEM=&amp;VAR:CURRENCY=&amp;VAR:CURRSOURCE=EXSHARE&amp;","VAR:NATFREQ=QUARTERLY&amp;VAR:RFIELD=FINALIZED&amp;VAR:DB_TYPE=&amp;VAR:UNITS=M&amp;window=popup&amp;width=450&amp;height=300&amp;START_MAXIMIZED=FALSE"}</definedName>
    <definedName name="_2083__FDSAUDITLINK__" hidden="1">{"fdsup://IBCentral/FAT Viewer?action=UPDATE&amp;creator=factset&amp;DOC_NAME=fat:reuters_qtrly_source_window.fat&amp;display_string=Audit&amp;DYN_ARGS=TRUE&amp;VAR:ID1=G8107510&amp;VAR:RCODE=ATCA&amp;VAR:SDATE=20081299&amp;VAR:FREQ=DAILY&amp;VAR:RELITEM=&amp;VAR:CURRENCY=&amp;VAR:CURRSOURCE=EXSHARE&amp;","VAR:NATFREQ=QUARTERLY&amp;VAR:RFIELD=FINALIZED&amp;VAR:DB_TYPE=&amp;VAR:UNITS=M&amp;window=popup&amp;width=450&amp;height=300&amp;START_MAXIMIZED=FALSE"}</definedName>
    <definedName name="_2084__FDSAUDITLINK__" hidden="1">{"fdsup://IBCentral/FAT Viewer?action=UPDATE&amp;creator=factset&amp;DOC_NAME=fat:reuters_qtrly_source_window.fat&amp;display_string=Audit&amp;DYN_ARGS=TRUE&amp;VAR:ID1=G8107510&amp;VAR:RCODE=ATOT&amp;VAR:SDATE=20081299&amp;VAR:FREQ=DAILY&amp;VAR:RELITEM=&amp;VAR:CURRENCY=&amp;VAR:CURRSOURCE=EXSHARE&amp;","VAR:NATFREQ=QUARTERLY&amp;VAR:RFIELD=FINALIZED&amp;VAR:DB_TYPE=&amp;VAR:UNITS=M&amp;window=popup&amp;width=450&amp;height=300&amp;START_MAXIMIZED=FALSE"}</definedName>
    <definedName name="_2085__FDSAUDITLINK__" hidden="1">{"fdsup://IBCentral/FAT Viewer?action=UPDATE&amp;creator=factset&amp;DOC_NAME=fat:reuters_qtrly_source_window.fat&amp;display_string=Audit&amp;DYN_ARGS=TRUE&amp;VAR:ID1=80090710&amp;VAR:RCODE=LTLL&amp;VAR:SDATE=20081299&amp;VAR:FREQ=DAILY&amp;VAR:RELITEM=&amp;VAR:CURRENCY=&amp;VAR:CURRSOURCE=EXSHARE&amp;","VAR:NATFREQ=QUARTERLY&amp;VAR:RFIELD=FINALIZED&amp;VAR:DB_TYPE=&amp;VAR:UNITS=M&amp;window=popup&amp;width=450&amp;height=300&amp;START_MAXIMIZED=FALSE"}</definedName>
    <definedName name="_2086__FDSAUDITLINK__" hidden="1">{"fdsup://IBCentral/FAT Viewer?action=UPDATE&amp;creator=factset&amp;DOC_NAME=fat:reuters_qtrly_source_window.fat&amp;display_string=Audit&amp;DYN_ARGS=TRUE&amp;VAR:ID1=80090710&amp;VAR:RCODE=LTCL&amp;VAR:SDATE=20081299&amp;VAR:FREQ=DAILY&amp;VAR:RELITEM=&amp;VAR:CURRENCY=&amp;VAR:CURRSOURCE=EXSHARE&amp;","VAR:NATFREQ=QUARTERLY&amp;VAR:RFIELD=FINALIZED&amp;VAR:DB_TYPE=&amp;VAR:UNITS=M&amp;window=popup&amp;width=450&amp;height=300&amp;START_MAXIMIZED=FALSE"}</definedName>
    <definedName name="_2087__FDSAUDITLINK__" hidden="1">{"fdsup://IBCentral/FAT Viewer?action=UPDATE&amp;creator=factset&amp;DOC_NAME=fat:reuters_qtrly_source_window.fat&amp;display_string=Audit&amp;DYN_ARGS=TRUE&amp;VAR:ID1=80090710&amp;VAR:RCODE=ATCA&amp;VAR:SDATE=20081299&amp;VAR:FREQ=DAILY&amp;VAR:RELITEM=&amp;VAR:CURRENCY=&amp;VAR:CURRSOURCE=EXSHARE&amp;","VAR:NATFREQ=QUARTERLY&amp;VAR:RFIELD=FINALIZED&amp;VAR:DB_TYPE=&amp;VAR:UNITS=M&amp;window=popup&amp;width=450&amp;height=300&amp;START_MAXIMIZED=FALSE"}</definedName>
    <definedName name="_2088__FDSAUDITLINK__" hidden="1">{"fdsup://IBCentral/FAT Viewer?action=UPDATE&amp;creator=factset&amp;DOC_NAME=fat:reuters_qtrly_source_window.fat&amp;display_string=Audit&amp;DYN_ARGS=TRUE&amp;VAR:ID1=80090710&amp;VAR:RCODE=ATOT&amp;VAR:SDATE=20081299&amp;VAR:FREQ=DAILY&amp;VAR:RELITEM=&amp;VAR:CURRENCY=&amp;VAR:CURRSOURCE=EXSHARE&amp;","VAR:NATFREQ=QUARTERLY&amp;VAR:RFIELD=FINALIZED&amp;VAR:DB_TYPE=&amp;VAR:UNITS=M&amp;window=popup&amp;width=450&amp;height=300&amp;START_MAXIMIZED=FALSE"}</definedName>
    <definedName name="_2089__FDSAUDITLINK__" hidden="1">{"fdsup://IBCentral/FAT Viewer?action=UPDATE&amp;creator=factset&amp;DOC_NAME=fat:reuters_qtrly_source_window.fat&amp;display_string=Audit&amp;DYN_ARGS=TRUE&amp;VAR:ID1=76094310&amp;VAR:RCODE=LTLL&amp;VAR:SDATE=20081299&amp;VAR:FREQ=DAILY&amp;VAR:RELITEM=&amp;VAR:CURRENCY=&amp;VAR:CURRSOURCE=EXSHARE&amp;","VAR:NATFREQ=QUARTERLY&amp;VAR:RFIELD=FINALIZED&amp;VAR:DB_TYPE=&amp;VAR:UNITS=M&amp;window=popup&amp;width=450&amp;height=300&amp;START_MAXIMIZED=FALSE"}</definedName>
    <definedName name="_209__FDSAUDITLINK__" hidden="1">{"fdsup://Directions/FactSet Auditing Viewer?action=AUDIT_VALUE&amp;DB=129&amp;ID1=53245710&amp;VALUEID=02999&amp;SDATE=201001&amp;PERIODTYPE=QTR_STD&amp;window=popup_no_bar&amp;width=385&amp;height=120&amp;START_MAXIMIZED=FALSE&amp;creator=factset&amp;display_string=Audit"}</definedName>
    <definedName name="_2090__FDSAUDITLINK__" hidden="1">{"fdsup://IBCentral/FAT Viewer?action=UPDATE&amp;creator=factset&amp;DOC_NAME=fat:reuters_qtrly_source_window.fat&amp;display_string=Audit&amp;DYN_ARGS=TRUE&amp;VAR:ID1=76094310&amp;VAR:RCODE=LTCL&amp;VAR:SDATE=20081299&amp;VAR:FREQ=DAILY&amp;VAR:RELITEM=&amp;VAR:CURRENCY=&amp;VAR:CURRSOURCE=EXSHARE&amp;","VAR:NATFREQ=QUARTERLY&amp;VAR:RFIELD=FINALIZED&amp;VAR:DB_TYPE=&amp;VAR:UNITS=M&amp;window=popup&amp;width=450&amp;height=300&amp;START_MAXIMIZED=FALSE"}</definedName>
    <definedName name="_2091__FDSAUDITLINK__" hidden="1">{"fdsup://IBCentral/FAT Viewer?action=UPDATE&amp;creator=factset&amp;DOC_NAME=fat:reuters_qtrly_source_window.fat&amp;display_string=Audit&amp;DYN_ARGS=TRUE&amp;VAR:ID1=76094310&amp;VAR:RCODE=ATCA&amp;VAR:SDATE=20081299&amp;VAR:FREQ=DAILY&amp;VAR:RELITEM=&amp;VAR:CURRENCY=&amp;VAR:CURRSOURCE=EXSHARE&amp;","VAR:NATFREQ=QUARTERLY&amp;VAR:RFIELD=FINALIZED&amp;VAR:DB_TYPE=&amp;VAR:UNITS=M&amp;window=popup&amp;width=450&amp;height=300&amp;START_MAXIMIZED=FALSE"}</definedName>
    <definedName name="_2092__FDSAUDITLINK__" hidden="1">{"fdsup://IBCentral/FAT Viewer?action=UPDATE&amp;creator=factset&amp;DOC_NAME=fat:reuters_qtrly_source_window.fat&amp;display_string=Audit&amp;DYN_ARGS=TRUE&amp;VAR:ID1=76094310&amp;VAR:RCODE=ATOT&amp;VAR:SDATE=20081299&amp;VAR:FREQ=DAILY&amp;VAR:RELITEM=&amp;VAR:CURRENCY=&amp;VAR:CURRSOURCE=EXSHARE&amp;","VAR:NATFREQ=QUARTERLY&amp;VAR:RFIELD=FINALIZED&amp;VAR:DB_TYPE=&amp;VAR:UNITS=M&amp;window=popup&amp;width=450&amp;height=300&amp;START_MAXIMIZED=FALSE"}</definedName>
    <definedName name="_2093__FDSAUDITLINK__" hidden="1">{"fdsup://IBCentral/FAT Viewer?action=UPDATE&amp;creator=factset&amp;DOC_NAME=fat:reuters_qtrly_source_window.fat&amp;display_string=Audit&amp;DYN_ARGS=TRUE&amp;VAR:ID1=74837R10&amp;VAR:RCODE=LTLL&amp;VAR:SDATE=20081299&amp;VAR:FREQ=DAILY&amp;VAR:RELITEM=&amp;VAR:CURRENCY=&amp;VAR:CURRSOURCE=EXSHARE&amp;","VAR:NATFREQ=QUARTERLY&amp;VAR:RFIELD=FINALIZED&amp;VAR:DB_TYPE=&amp;VAR:UNITS=M&amp;window=popup&amp;width=450&amp;height=300&amp;START_MAXIMIZED=FALSE"}</definedName>
    <definedName name="_2094__FDSAUDITLINK__" hidden="1">{"fdsup://IBCentral/FAT Viewer?action=UPDATE&amp;creator=factset&amp;DOC_NAME=fat:reuters_qtrly_source_window.fat&amp;display_string=Audit&amp;DYN_ARGS=TRUE&amp;VAR:ID1=74837R10&amp;VAR:RCODE=LTCL&amp;VAR:SDATE=20081299&amp;VAR:FREQ=DAILY&amp;VAR:RELITEM=&amp;VAR:CURRENCY=&amp;VAR:CURRSOURCE=EXSHARE&amp;","VAR:NATFREQ=QUARTERLY&amp;VAR:RFIELD=FINALIZED&amp;VAR:DB_TYPE=&amp;VAR:UNITS=M&amp;window=popup&amp;width=450&amp;height=300&amp;START_MAXIMIZED=FALSE"}</definedName>
    <definedName name="_2095__FDSAUDITLINK__" hidden="1">{"fdsup://IBCentral/FAT Viewer?action=UPDATE&amp;creator=factset&amp;DOC_NAME=fat:reuters_qtrly_source_window.fat&amp;display_string=Audit&amp;DYN_ARGS=TRUE&amp;VAR:ID1=74837R10&amp;VAR:RCODE=ATCA&amp;VAR:SDATE=20081299&amp;VAR:FREQ=DAILY&amp;VAR:RELITEM=&amp;VAR:CURRENCY=&amp;VAR:CURRSOURCE=EXSHARE&amp;","VAR:NATFREQ=QUARTERLY&amp;VAR:RFIELD=FINALIZED&amp;VAR:DB_TYPE=&amp;VAR:UNITS=M&amp;window=popup&amp;width=450&amp;height=300&amp;START_MAXIMIZED=FALSE"}</definedName>
    <definedName name="_2096__FDSAUDITLINK__" hidden="1">{"fdsup://IBCentral/FAT Viewer?action=UPDATE&amp;creator=factset&amp;DOC_NAME=fat:reuters_qtrly_source_window.fat&amp;display_string=Audit&amp;DYN_ARGS=TRUE&amp;VAR:ID1=74837R10&amp;VAR:RCODE=ATOT&amp;VAR:SDATE=20081299&amp;VAR:FREQ=DAILY&amp;VAR:RELITEM=&amp;VAR:CURRENCY=&amp;VAR:CURRSOURCE=EXSHARE&amp;","VAR:NATFREQ=QUARTERLY&amp;VAR:RFIELD=FINALIZED&amp;VAR:DB_TYPE=&amp;VAR:UNITS=M&amp;window=popup&amp;width=450&amp;height=300&amp;START_MAXIMIZED=FALSE"}</definedName>
    <definedName name="_2097__FDSAUDITLINK__" hidden="1">{"fdsup://IBCentral/FAT Viewer?action=UPDATE&amp;creator=factset&amp;DOC_NAME=fat:reuters_qtrly_source_window.fat&amp;display_string=Audit&amp;DYN_ARGS=TRUE&amp;VAR:ID1=74157K84&amp;VAR:RCODE=LTLL&amp;VAR:SDATE=20081299&amp;VAR:FREQ=DAILY&amp;VAR:RELITEM=&amp;VAR:CURRENCY=&amp;VAR:CURRSOURCE=EXSHARE&amp;","VAR:NATFREQ=QUARTERLY&amp;VAR:RFIELD=FINALIZED&amp;VAR:DB_TYPE=&amp;VAR:UNITS=M&amp;window=popup&amp;width=450&amp;height=300&amp;START_MAXIMIZED=FALSE"}</definedName>
    <definedName name="_2098__FDSAUDITLINK__" hidden="1">{"fdsup://IBCentral/FAT Viewer?action=UPDATE&amp;creator=factset&amp;DOC_NAME=fat:reuters_qtrly_source_window.fat&amp;display_string=Audit&amp;DYN_ARGS=TRUE&amp;VAR:ID1=74157K84&amp;VAR:RCODE=LTCL&amp;VAR:SDATE=20081299&amp;VAR:FREQ=DAILY&amp;VAR:RELITEM=&amp;VAR:CURRENCY=&amp;VAR:CURRSOURCE=EXSHARE&amp;","VAR:NATFREQ=QUARTERLY&amp;VAR:RFIELD=FINALIZED&amp;VAR:DB_TYPE=&amp;VAR:UNITS=M&amp;window=popup&amp;width=450&amp;height=300&amp;START_MAXIMIZED=FALSE"}</definedName>
    <definedName name="_2099__FDSAUDITLINK__" hidden="1">{"fdsup://IBCentral/FAT Viewer?action=UPDATE&amp;creator=factset&amp;DOC_NAME=fat:reuters_qtrly_source_window.fat&amp;display_string=Audit&amp;DYN_ARGS=TRUE&amp;VAR:ID1=74157K84&amp;VAR:RCODE=ATCA&amp;VAR:SDATE=20081299&amp;VAR:FREQ=DAILY&amp;VAR:RELITEM=&amp;VAR:CURRENCY=&amp;VAR:CURRSOURCE=EXSHARE&amp;","VAR:NATFREQ=QUARTERLY&amp;VAR:RFIELD=FINALIZED&amp;VAR:DB_TYPE=&amp;VAR:UNITS=M&amp;window=popup&amp;width=450&amp;height=300&amp;START_MAXIMIZED=FALSE"}</definedName>
    <definedName name="_21__FDSAUDITLINK__" hidden="1">{"fdsup://Directions/FactSet Auditing Viewer?action=AUDIT_VALUE&amp;DB=129&amp;ID1=00154710&amp;VALUEID=02999&amp;SDATE=201001&amp;PERIODTYPE=QTR_STD&amp;window=popup_no_bar&amp;width=385&amp;height=120&amp;START_MAXIMIZED=FALSE&amp;creator=factset&amp;display_string=Audit"}</definedName>
    <definedName name="_21_0__123Grap" hidden="1">'[1]Comp. Transaction'!#REF!</definedName>
    <definedName name="_210__FDSAUDITLINK__" hidden="1">{"fdsup://Directions/FactSet Auditing Viewer?action=AUDIT_VALUE&amp;DB=129&amp;ID1=28660G10&amp;VALUEID=02999&amp;SDATE=201003&amp;PERIODTYPE=QTR_STD&amp;window=popup_no_bar&amp;width=385&amp;height=120&amp;START_MAXIMIZED=FALSE&amp;creator=factset&amp;display_string=Audit"}</definedName>
    <definedName name="_2100__FDSAUDITLINK__" hidden="1">{"fdsup://IBCentral/FAT Viewer?action=UPDATE&amp;creator=factset&amp;DOC_NAME=fat:reuters_qtrly_source_window.fat&amp;display_string=Audit&amp;DYN_ARGS=TRUE&amp;VAR:ID1=74157K84&amp;VAR:RCODE=ATOT&amp;VAR:SDATE=20081299&amp;VAR:FREQ=DAILY&amp;VAR:RELITEM=&amp;VAR:CURRENCY=&amp;VAR:CURRSOURCE=EXSHARE&amp;","VAR:NATFREQ=QUARTERLY&amp;VAR:RFIELD=FINALIZED&amp;VAR:DB_TYPE=&amp;VAR:UNITS=M&amp;window=popup&amp;width=450&amp;height=300&amp;START_MAXIMIZED=FALSE"}</definedName>
    <definedName name="_2101__FDSAUDITLINK__" hidden="1">{"fdsup://IBCentral/FAT Viewer?action=UPDATE&amp;creator=factset&amp;DOC_NAME=fat:reuters_qtrly_source_window.fat&amp;display_string=Audit&amp;DYN_ARGS=TRUE&amp;VAR:ID1=73179P10&amp;VAR:RCODE=LTLL&amp;VAR:SDATE=20081299&amp;VAR:FREQ=DAILY&amp;VAR:RELITEM=&amp;VAR:CURRENCY=&amp;VAR:CURRSOURCE=EXSHARE&amp;","VAR:NATFREQ=QUARTERLY&amp;VAR:RFIELD=FINALIZED&amp;VAR:DB_TYPE=&amp;VAR:UNITS=M&amp;window=popup&amp;width=450&amp;height=300&amp;START_MAXIMIZED=FALSE"}</definedName>
    <definedName name="_2102__FDSAUDITLINK__" hidden="1">{"fdsup://IBCentral/FAT Viewer?action=UPDATE&amp;creator=factset&amp;DOC_NAME=fat:reuters_qtrly_source_window.fat&amp;display_string=Audit&amp;DYN_ARGS=TRUE&amp;VAR:ID1=73179P10&amp;VAR:RCODE=LTCL&amp;VAR:SDATE=20081299&amp;VAR:FREQ=DAILY&amp;VAR:RELITEM=&amp;VAR:CURRENCY=&amp;VAR:CURRSOURCE=EXSHARE&amp;","VAR:NATFREQ=QUARTERLY&amp;VAR:RFIELD=FINALIZED&amp;VAR:DB_TYPE=&amp;VAR:UNITS=M&amp;window=popup&amp;width=450&amp;height=300&amp;START_MAXIMIZED=FALSE"}</definedName>
    <definedName name="_2103__FDSAUDITLINK__" hidden="1">{"fdsup://IBCentral/FAT Viewer?action=UPDATE&amp;creator=factset&amp;DOC_NAME=fat:reuters_qtrly_source_window.fat&amp;display_string=Audit&amp;DYN_ARGS=TRUE&amp;VAR:ID1=73179P10&amp;VAR:RCODE=ATCA&amp;VAR:SDATE=20081299&amp;VAR:FREQ=DAILY&amp;VAR:RELITEM=&amp;VAR:CURRENCY=&amp;VAR:CURRSOURCE=EXSHARE&amp;","VAR:NATFREQ=QUARTERLY&amp;VAR:RFIELD=FINALIZED&amp;VAR:DB_TYPE=&amp;VAR:UNITS=M&amp;window=popup&amp;width=450&amp;height=300&amp;START_MAXIMIZED=FALSE"}</definedName>
    <definedName name="_2104__FDSAUDITLINK__" hidden="1">{"fdsup://IBCentral/FAT Viewer?action=UPDATE&amp;creator=factset&amp;DOC_NAME=fat:reuters_qtrly_source_window.fat&amp;display_string=Audit&amp;DYN_ARGS=TRUE&amp;VAR:ID1=73179P10&amp;VAR:RCODE=ATOT&amp;VAR:SDATE=20081299&amp;VAR:FREQ=DAILY&amp;VAR:RELITEM=&amp;VAR:CURRENCY=&amp;VAR:CURRSOURCE=EXSHARE&amp;","VAR:NATFREQ=QUARTERLY&amp;VAR:RFIELD=FINALIZED&amp;VAR:DB_TYPE=&amp;VAR:UNITS=M&amp;window=popup&amp;width=450&amp;height=300&amp;START_MAXIMIZED=FALSE"}</definedName>
    <definedName name="_2105__FDSAUDITLINK__" hidden="1">{"fdsup://IBCentral/FAT Viewer?action=UPDATE&amp;creator=factset&amp;DOC_NAME=fat:reuters_qtrly_source_window.fat&amp;display_string=Audit&amp;DYN_ARGS=TRUE&amp;VAR:ID1=72650510&amp;VAR:RCODE=LTLL&amp;VAR:SDATE=20081299&amp;VAR:FREQ=DAILY&amp;VAR:RELITEM=&amp;VAR:CURRENCY=&amp;VAR:CURRSOURCE=EXSHARE&amp;","VAR:NATFREQ=QUARTERLY&amp;VAR:RFIELD=FINALIZED&amp;VAR:DB_TYPE=&amp;VAR:UNITS=M&amp;window=popup&amp;width=450&amp;height=300&amp;START_MAXIMIZED=FALSE"}</definedName>
    <definedName name="_2106__FDSAUDITLINK__" hidden="1">{"fdsup://IBCentral/FAT Viewer?action=UPDATE&amp;creator=factset&amp;DOC_NAME=fat:reuters_qtrly_source_window.fat&amp;display_string=Audit&amp;DYN_ARGS=TRUE&amp;VAR:ID1=72650510&amp;VAR:RCODE=LTCL&amp;VAR:SDATE=20081299&amp;VAR:FREQ=DAILY&amp;VAR:RELITEM=&amp;VAR:CURRENCY=&amp;VAR:CURRSOURCE=EXSHARE&amp;","VAR:NATFREQ=QUARTERLY&amp;VAR:RFIELD=FINALIZED&amp;VAR:DB_TYPE=&amp;VAR:UNITS=M&amp;window=popup&amp;width=450&amp;height=300&amp;START_MAXIMIZED=FALSE"}</definedName>
    <definedName name="_2107__FDSAUDITLINK__" hidden="1">{"fdsup://IBCentral/FAT Viewer?action=UPDATE&amp;creator=factset&amp;DOC_NAME=fat:reuters_qtrly_source_window.fat&amp;display_string=Audit&amp;DYN_ARGS=TRUE&amp;VAR:ID1=72650510&amp;VAR:RCODE=ATCA&amp;VAR:SDATE=20081299&amp;VAR:FREQ=DAILY&amp;VAR:RELITEM=&amp;VAR:CURRENCY=&amp;VAR:CURRSOURCE=EXSHARE&amp;","VAR:NATFREQ=QUARTERLY&amp;VAR:RFIELD=FINALIZED&amp;VAR:DB_TYPE=&amp;VAR:UNITS=M&amp;window=popup&amp;width=450&amp;height=300&amp;START_MAXIMIZED=FALSE"}</definedName>
    <definedName name="_2108__FDSAUDITLINK__" hidden="1">{"fdsup://IBCentral/FAT Viewer?action=UPDATE&amp;creator=factset&amp;DOC_NAME=fat:reuters_qtrly_source_window.fat&amp;display_string=Audit&amp;DYN_ARGS=TRUE&amp;VAR:ID1=72650510&amp;VAR:RCODE=ATOT&amp;VAR:SDATE=20081299&amp;VAR:FREQ=DAILY&amp;VAR:RELITEM=&amp;VAR:CURRENCY=&amp;VAR:CURRSOURCE=EXSHARE&amp;","VAR:NATFREQ=QUARTERLY&amp;VAR:RFIELD=FINALIZED&amp;VAR:DB_TYPE=&amp;VAR:UNITS=M&amp;window=popup&amp;width=450&amp;height=300&amp;START_MAXIMIZED=FALSE"}</definedName>
    <definedName name="_2109__FDSAUDITLINK__" hidden="1">{"fdsup://IBCentral/FAT Viewer?action=UPDATE&amp;creator=factset&amp;DOC_NAME=fat:reuters_qtrly_source_window.fat&amp;display_string=Audit&amp;DYN_ARGS=TRUE&amp;VAR:ID1=68823920&amp;VAR:RCODE=LTLL&amp;VAR:SDATE=20081299&amp;VAR:FREQ=DAILY&amp;VAR:RELITEM=&amp;VAR:CURRENCY=&amp;VAR:CURRSOURCE=EXSHARE&amp;","VAR:NATFREQ=QUARTERLY&amp;VAR:RFIELD=FINALIZED&amp;VAR:DB_TYPE=&amp;VAR:UNITS=M&amp;window=popup&amp;width=450&amp;height=300&amp;START_MAXIMIZED=FALSE"}</definedName>
    <definedName name="_211__FDSAUDITLINK__" hidden="1">{"fdsup://Directions/FactSet Auditing Viewer?action=AUDIT_VALUE&amp;DB=129&amp;ID1=26864810&amp;VALUEID=02999&amp;SDATE=201001&amp;PERIODTYPE=QTR_STD&amp;window=popup_no_bar&amp;width=385&amp;height=120&amp;START_MAXIMIZED=FALSE&amp;creator=factset&amp;display_string=Audit"}</definedName>
    <definedName name="_2110__FDSAUDITLINK__" hidden="1">{"fdsup://IBCentral/FAT Viewer?action=UPDATE&amp;creator=factset&amp;DOC_NAME=fat:reuters_qtrly_source_window.fat&amp;display_string=Audit&amp;DYN_ARGS=TRUE&amp;VAR:ID1=68823920&amp;VAR:RCODE=LTCL&amp;VAR:SDATE=20081299&amp;VAR:FREQ=DAILY&amp;VAR:RELITEM=&amp;VAR:CURRENCY=&amp;VAR:CURRSOURCE=EXSHARE&amp;","VAR:NATFREQ=QUARTERLY&amp;VAR:RFIELD=FINALIZED&amp;VAR:DB_TYPE=&amp;VAR:UNITS=M&amp;window=popup&amp;width=450&amp;height=300&amp;START_MAXIMIZED=FALSE"}</definedName>
    <definedName name="_2111__FDSAUDITLINK__" hidden="1">{"fdsup://IBCentral/FAT Viewer?action=UPDATE&amp;creator=factset&amp;DOC_NAME=fat:reuters_qtrly_source_window.fat&amp;display_string=Audit&amp;DYN_ARGS=TRUE&amp;VAR:ID1=68823920&amp;VAR:RCODE=ATCA&amp;VAR:SDATE=20081299&amp;VAR:FREQ=DAILY&amp;VAR:RELITEM=&amp;VAR:CURRENCY=&amp;VAR:CURRSOURCE=EXSHARE&amp;","VAR:NATFREQ=QUARTERLY&amp;VAR:RFIELD=FINALIZED&amp;VAR:DB_TYPE=&amp;VAR:UNITS=M&amp;window=popup&amp;width=450&amp;height=300&amp;START_MAXIMIZED=FALSE"}</definedName>
    <definedName name="_2112__FDSAUDITLINK__" hidden="1">{"fdsup://IBCentral/FAT Viewer?action=UPDATE&amp;creator=factset&amp;DOC_NAME=fat:reuters_qtrly_source_window.fat&amp;display_string=Audit&amp;DYN_ARGS=TRUE&amp;VAR:ID1=68823920&amp;VAR:RCODE=ATOT&amp;VAR:SDATE=20081299&amp;VAR:FREQ=DAILY&amp;VAR:RELITEM=&amp;VAR:CURRENCY=&amp;VAR:CURRSOURCE=EXSHARE&amp;","VAR:NATFREQ=QUARTERLY&amp;VAR:RFIELD=FINALIZED&amp;VAR:DB_TYPE=&amp;VAR:UNITS=M&amp;window=popup&amp;width=450&amp;height=300&amp;START_MAXIMIZED=FALSE"}</definedName>
    <definedName name="_2113__FDSAUDITLINK__" hidden="1">{"fdsup://IBCentral/FAT Viewer?action=UPDATE&amp;creator=factset&amp;DOC_NAME=fat:reuters_qtrly_source_window.fat&amp;display_string=Audit&amp;DYN_ARGS=TRUE&amp;VAR:ID1=68218910&amp;VAR:RCODE=LTLL&amp;VAR:SDATE=20081299&amp;VAR:FREQ=DAILY&amp;VAR:RELITEM=&amp;VAR:CURRENCY=&amp;VAR:CURRSOURCE=EXSHARE&amp;","VAR:NATFREQ=QUARTERLY&amp;VAR:RFIELD=FINALIZED&amp;VAR:DB_TYPE=&amp;VAR:UNITS=M&amp;window=popup&amp;width=450&amp;height=300&amp;START_MAXIMIZED=FALSE"}</definedName>
    <definedName name="_2114__FDSAUDITLINK__" hidden="1">{"fdsup://IBCentral/FAT Viewer?action=UPDATE&amp;creator=factset&amp;DOC_NAME=fat:reuters_qtrly_source_window.fat&amp;display_string=Audit&amp;DYN_ARGS=TRUE&amp;VAR:ID1=68218910&amp;VAR:RCODE=LTCL&amp;VAR:SDATE=20081299&amp;VAR:FREQ=DAILY&amp;VAR:RELITEM=&amp;VAR:CURRENCY=&amp;VAR:CURRSOURCE=EXSHARE&amp;","VAR:NATFREQ=QUARTERLY&amp;VAR:RFIELD=FINALIZED&amp;VAR:DB_TYPE=&amp;VAR:UNITS=M&amp;window=popup&amp;width=450&amp;height=300&amp;START_MAXIMIZED=FALSE"}</definedName>
    <definedName name="_2115__FDSAUDITLINK__" hidden="1">{"fdsup://IBCentral/FAT Viewer?action=UPDATE&amp;creator=factset&amp;DOC_NAME=fat:reuters_qtrly_source_window.fat&amp;display_string=Audit&amp;DYN_ARGS=TRUE&amp;VAR:ID1=68218910&amp;VAR:RCODE=ATCA&amp;VAR:SDATE=20081299&amp;VAR:FREQ=DAILY&amp;VAR:RELITEM=&amp;VAR:CURRENCY=&amp;VAR:CURRSOURCE=EXSHARE&amp;","VAR:NATFREQ=QUARTERLY&amp;VAR:RFIELD=FINALIZED&amp;VAR:DB_TYPE=&amp;VAR:UNITS=M&amp;window=popup&amp;width=450&amp;height=300&amp;START_MAXIMIZED=FALSE"}</definedName>
    <definedName name="_2116__FDSAUDITLINK__" hidden="1">{"fdsup://IBCentral/FAT Viewer?action=UPDATE&amp;creator=factset&amp;DOC_NAME=fat:reuters_qtrly_source_window.fat&amp;display_string=Audit&amp;DYN_ARGS=TRUE&amp;VAR:ID1=68218910&amp;VAR:RCODE=ATOT&amp;VAR:SDATE=20081299&amp;VAR:FREQ=DAILY&amp;VAR:RELITEM=&amp;VAR:CURRENCY=&amp;VAR:CURRSOURCE=EXSHARE&amp;","VAR:NATFREQ=QUARTERLY&amp;VAR:RFIELD=FINALIZED&amp;VAR:DB_TYPE=&amp;VAR:UNITS=M&amp;window=popup&amp;width=450&amp;height=300&amp;START_MAXIMIZED=FALSE"}</definedName>
    <definedName name="_2117__FDSAUDITLINK__" hidden="1">{"fdsup://IBCentral/FAT Viewer?action=UPDATE&amp;creator=factset&amp;DOC_NAME=fat:reuters_qtrly_source_window.fat&amp;display_string=Audit&amp;DYN_ARGS=TRUE&amp;VAR:ID1=68215910&amp;VAR:RCODE=LTLL&amp;VAR:SDATE=20081299&amp;VAR:FREQ=DAILY&amp;VAR:RELITEM=&amp;VAR:CURRENCY=&amp;VAR:CURRSOURCE=EXSHARE&amp;","VAR:NATFREQ=QUARTERLY&amp;VAR:RFIELD=FINALIZED&amp;VAR:DB_TYPE=&amp;VAR:UNITS=M&amp;window=popup&amp;width=450&amp;height=300&amp;START_MAXIMIZED=FALSE"}</definedName>
    <definedName name="_2118__FDSAUDITLINK__" hidden="1">{"fdsup://IBCentral/FAT Viewer?action=UPDATE&amp;creator=factset&amp;DOC_NAME=fat:reuters_qtrly_source_window.fat&amp;display_string=Audit&amp;DYN_ARGS=TRUE&amp;VAR:ID1=68215910&amp;VAR:RCODE=LTCL&amp;VAR:SDATE=20081299&amp;VAR:FREQ=DAILY&amp;VAR:RELITEM=&amp;VAR:CURRENCY=&amp;VAR:CURRSOURCE=EXSHARE&amp;","VAR:NATFREQ=QUARTERLY&amp;VAR:RFIELD=FINALIZED&amp;VAR:DB_TYPE=&amp;VAR:UNITS=M&amp;window=popup&amp;width=450&amp;height=300&amp;START_MAXIMIZED=FALSE"}</definedName>
    <definedName name="_2119__FDSAUDITLINK__" hidden="1">{"fdsup://IBCentral/FAT Viewer?action=UPDATE&amp;creator=factset&amp;DOC_NAME=fat:reuters_qtrly_source_window.fat&amp;display_string=Audit&amp;DYN_ARGS=TRUE&amp;VAR:ID1=68215910&amp;VAR:RCODE=ATCA&amp;VAR:SDATE=20081299&amp;VAR:FREQ=DAILY&amp;VAR:RELITEM=&amp;VAR:CURRENCY=&amp;VAR:CURRSOURCE=EXSHARE&amp;","VAR:NATFREQ=QUARTERLY&amp;VAR:RFIELD=FINALIZED&amp;VAR:DB_TYPE=&amp;VAR:UNITS=M&amp;window=popup&amp;width=450&amp;height=300&amp;START_MAXIMIZED=FALSE"}</definedName>
    <definedName name="_212__FDSAUDITLINK__" hidden="1">{"fdsup://Directions/FactSet Auditing Viewer?action=AUDIT_VALUE&amp;DB=129&amp;ID1=29084T10&amp;VALUEID=02999&amp;SDATE=201001&amp;PERIODTYPE=QTR_STD&amp;window=popup_no_bar&amp;width=385&amp;height=120&amp;START_MAXIMIZED=FALSE&amp;creator=factset&amp;display_string=Audit"}</definedName>
    <definedName name="_2120__FDSAUDITLINK__" hidden="1">{"fdsup://IBCentral/FAT Viewer?action=UPDATE&amp;creator=factset&amp;DOC_NAME=fat:reuters_qtrly_source_window.fat&amp;display_string=Audit&amp;DYN_ARGS=TRUE&amp;VAR:ID1=68215910&amp;VAR:RCODE=ATOT&amp;VAR:SDATE=20081299&amp;VAR:FREQ=DAILY&amp;VAR:RELITEM=&amp;VAR:CURRENCY=&amp;VAR:CURRSOURCE=EXSHARE&amp;","VAR:NATFREQ=QUARTERLY&amp;VAR:RFIELD=FINALIZED&amp;VAR:DB_TYPE=&amp;VAR:UNITS=M&amp;window=popup&amp;width=450&amp;height=300&amp;START_MAXIMIZED=FALSE"}</definedName>
    <definedName name="_2121__FDSAUDITLINK__" hidden="1">{"fdsup://IBCentral/FAT Viewer?action=UPDATE&amp;creator=factset&amp;DOC_NAME=fat:reuters_qtrly_source_window.fat&amp;display_string=Audit&amp;DYN_ARGS=TRUE&amp;VAR:ID1=67622010&amp;VAR:RCODE=LTLL&amp;VAR:SDATE=20081299&amp;VAR:FREQ=DAILY&amp;VAR:RELITEM=&amp;VAR:CURRENCY=&amp;VAR:CURRSOURCE=EXSHARE&amp;","VAR:NATFREQ=QUARTERLY&amp;VAR:RFIELD=FINALIZED&amp;VAR:DB_TYPE=&amp;VAR:UNITS=M&amp;window=popup&amp;width=450&amp;height=300&amp;START_MAXIMIZED=FALSE"}</definedName>
    <definedName name="_2122__FDSAUDITLINK__" hidden="1">{"fdsup://IBCentral/FAT Viewer?action=UPDATE&amp;creator=factset&amp;DOC_NAME=fat:reuters_qtrly_source_window.fat&amp;display_string=Audit&amp;DYN_ARGS=TRUE&amp;VAR:ID1=67622010&amp;VAR:RCODE=LTCL&amp;VAR:SDATE=20081299&amp;VAR:FREQ=DAILY&amp;VAR:RELITEM=&amp;VAR:CURRENCY=&amp;VAR:CURRSOURCE=EXSHARE&amp;","VAR:NATFREQ=QUARTERLY&amp;VAR:RFIELD=FINALIZED&amp;VAR:DB_TYPE=&amp;VAR:UNITS=M&amp;window=popup&amp;width=450&amp;height=300&amp;START_MAXIMIZED=FALSE"}</definedName>
    <definedName name="_2123__FDSAUDITLINK__" hidden="1">{"fdsup://IBCentral/FAT Viewer?action=UPDATE&amp;creator=factset&amp;DOC_NAME=fat:reuters_qtrly_source_window.fat&amp;display_string=Audit&amp;DYN_ARGS=TRUE&amp;VAR:ID1=67622010&amp;VAR:RCODE=ATCA&amp;VAR:SDATE=20081299&amp;VAR:FREQ=DAILY&amp;VAR:RELITEM=&amp;VAR:CURRENCY=&amp;VAR:CURRSOURCE=EXSHARE&amp;","VAR:NATFREQ=QUARTERLY&amp;VAR:RFIELD=FINALIZED&amp;VAR:DB_TYPE=&amp;VAR:UNITS=M&amp;window=popup&amp;width=450&amp;height=300&amp;START_MAXIMIZED=FALSE"}</definedName>
    <definedName name="_2124__FDSAUDITLINK__" hidden="1">{"fdsup://IBCentral/FAT Viewer?action=UPDATE&amp;creator=factset&amp;DOC_NAME=fat:reuters_qtrly_source_window.fat&amp;display_string=Audit&amp;DYN_ARGS=TRUE&amp;VAR:ID1=67622010&amp;VAR:RCODE=ATOT&amp;VAR:SDATE=20081299&amp;VAR:FREQ=DAILY&amp;VAR:RELITEM=&amp;VAR:CURRENCY=&amp;VAR:CURRSOURCE=EXSHARE&amp;","VAR:NATFREQ=QUARTERLY&amp;VAR:RFIELD=FINALIZED&amp;VAR:DB_TYPE=&amp;VAR:UNITS=M&amp;window=popup&amp;width=450&amp;height=300&amp;START_MAXIMIZED=FALSE"}</definedName>
    <definedName name="_2125__FDSAUDITLINK__" hidden="1">{"fdsup://IBCentral/FAT Viewer?action=UPDATE&amp;creator=factset&amp;DOC_NAME=fat:reuters_qtrly_source_window.fat&amp;display_string=Audit&amp;DYN_ARGS=TRUE&amp;VAR:ID1=57632310&amp;VAR:RCODE=LTLL&amp;VAR:SDATE=20081299&amp;VAR:FREQ=DAILY&amp;VAR:RELITEM=&amp;VAR:CURRENCY=&amp;VAR:CURRSOURCE=EXSHARE&amp;","VAR:NATFREQ=QUARTERLY&amp;VAR:RFIELD=FINALIZED&amp;VAR:DB_TYPE=&amp;VAR:UNITS=M&amp;window=popup&amp;width=450&amp;height=300&amp;START_MAXIMIZED=FALSE"}</definedName>
    <definedName name="_2126__FDSAUDITLINK__" hidden="1">{"fdsup://IBCentral/FAT Viewer?action=UPDATE&amp;creator=factset&amp;DOC_NAME=fat:reuters_qtrly_source_window.fat&amp;display_string=Audit&amp;DYN_ARGS=TRUE&amp;VAR:ID1=57632310&amp;VAR:RCODE=LTCL&amp;VAR:SDATE=20081299&amp;VAR:FREQ=DAILY&amp;VAR:RELITEM=&amp;VAR:CURRENCY=&amp;VAR:CURRSOURCE=EXSHARE&amp;","VAR:NATFREQ=QUARTERLY&amp;VAR:RFIELD=FINALIZED&amp;VAR:DB_TYPE=&amp;VAR:UNITS=M&amp;window=popup&amp;width=450&amp;height=300&amp;START_MAXIMIZED=FALSE"}</definedName>
    <definedName name="_2127__FDSAUDITLINK__" hidden="1">{"fdsup://IBCentral/FAT Viewer?action=UPDATE&amp;creator=factset&amp;DOC_NAME=fat:reuters_qtrly_source_window.fat&amp;display_string=Audit&amp;DYN_ARGS=TRUE&amp;VAR:ID1=57632310&amp;VAR:RCODE=ATCA&amp;VAR:SDATE=20081299&amp;VAR:FREQ=DAILY&amp;VAR:RELITEM=&amp;VAR:CURRENCY=&amp;VAR:CURRSOURCE=EXSHARE&amp;","VAR:NATFREQ=QUARTERLY&amp;VAR:RFIELD=FINALIZED&amp;VAR:DB_TYPE=&amp;VAR:UNITS=M&amp;window=popup&amp;width=450&amp;height=300&amp;START_MAXIMIZED=FALSE"}</definedName>
    <definedName name="_2128__FDSAUDITLINK__" hidden="1">{"fdsup://IBCentral/FAT Viewer?action=UPDATE&amp;creator=factset&amp;DOC_NAME=fat:reuters_qtrly_source_window.fat&amp;display_string=Audit&amp;DYN_ARGS=TRUE&amp;VAR:ID1=57632310&amp;VAR:RCODE=ATOT&amp;VAR:SDATE=20081299&amp;VAR:FREQ=DAILY&amp;VAR:RELITEM=&amp;VAR:CURRENCY=&amp;VAR:CURRSOURCE=EXSHARE&amp;","VAR:NATFREQ=QUARTERLY&amp;VAR:RFIELD=FINALIZED&amp;VAR:DB_TYPE=&amp;VAR:UNITS=M&amp;window=popup&amp;width=450&amp;height=300&amp;START_MAXIMIZED=FALSE"}</definedName>
    <definedName name="_2129__FDSAUDITLINK__" hidden="1">{"fdsup://IBCentral/FAT Viewer?action=UPDATE&amp;creator=factset&amp;DOC_NAME=fat:reuters_qtrly_source_window.fat&amp;display_string=Audit&amp;DYN_ARGS=TRUE&amp;VAR:ID1=56357110&amp;VAR:RCODE=LTLL&amp;VAR:SDATE=20081299&amp;VAR:FREQ=DAILY&amp;VAR:RELITEM=&amp;VAR:CURRENCY=&amp;VAR:CURRSOURCE=EXSHARE&amp;","VAR:NATFREQ=QUARTERLY&amp;VAR:RFIELD=FINALIZED&amp;VAR:DB_TYPE=&amp;VAR:UNITS=M&amp;window=popup&amp;width=450&amp;height=300&amp;START_MAXIMIZED=FALSE"}</definedName>
    <definedName name="_213__FDSAUDITLINK__" hidden="1">{"fdsup://Directions/FactSet Auditing Viewer?action=AUDIT_VALUE&amp;DB=129&amp;ID1=29101110&amp;VALUEID=02999&amp;SDATE=201002&amp;PERIODTYPE=QTR_STD&amp;window=popup_no_bar&amp;width=385&amp;height=120&amp;START_MAXIMIZED=FALSE&amp;creator=factset&amp;display_string=Audit"}</definedName>
    <definedName name="_2130__FDSAUDITLINK__" hidden="1">{"fdsup://IBCentral/FAT Viewer?action=UPDATE&amp;creator=factset&amp;DOC_NAME=fat:reuters_qtrly_source_window.fat&amp;display_string=Audit&amp;DYN_ARGS=TRUE&amp;VAR:ID1=56357110&amp;VAR:RCODE=LTCL&amp;VAR:SDATE=20081299&amp;VAR:FREQ=DAILY&amp;VAR:RELITEM=&amp;VAR:CURRENCY=&amp;VAR:CURRSOURCE=EXSHARE&amp;","VAR:NATFREQ=QUARTERLY&amp;VAR:RFIELD=FINALIZED&amp;VAR:DB_TYPE=&amp;VAR:UNITS=M&amp;window=popup&amp;width=450&amp;height=300&amp;START_MAXIMIZED=FALSE"}</definedName>
    <definedName name="_2131__FDSAUDITLINK__" hidden="1">{"fdsup://IBCentral/FAT Viewer?action=UPDATE&amp;creator=factset&amp;DOC_NAME=fat:reuters_qtrly_source_window.fat&amp;display_string=Audit&amp;DYN_ARGS=TRUE&amp;VAR:ID1=56357110&amp;VAR:RCODE=ATCA&amp;VAR:SDATE=20081299&amp;VAR:FREQ=DAILY&amp;VAR:RELITEM=&amp;VAR:CURRENCY=&amp;VAR:CURRSOURCE=EXSHARE&amp;","VAR:NATFREQ=QUARTERLY&amp;VAR:RFIELD=FINALIZED&amp;VAR:DB_TYPE=&amp;VAR:UNITS=M&amp;window=popup&amp;width=450&amp;height=300&amp;START_MAXIMIZED=FALSE"}</definedName>
    <definedName name="_2132__FDSAUDITLINK__" hidden="1">{"fdsup://IBCentral/FAT Viewer?action=UPDATE&amp;creator=factset&amp;DOC_NAME=fat:reuters_qtrly_source_window.fat&amp;display_string=Audit&amp;DYN_ARGS=TRUE&amp;VAR:ID1=56357110&amp;VAR:RCODE=ATOT&amp;VAR:SDATE=20081299&amp;VAR:FREQ=DAILY&amp;VAR:RELITEM=&amp;VAR:CURRENCY=&amp;VAR:CURRSOURCE=EXSHARE&amp;","VAR:NATFREQ=QUARTERLY&amp;VAR:RFIELD=FINALIZED&amp;VAR:DB_TYPE=&amp;VAR:UNITS=M&amp;window=popup&amp;width=450&amp;height=300&amp;START_MAXIMIZED=FALSE"}</definedName>
    <definedName name="_2133__FDSAUDITLINK__" hidden="1">{"fdsup://IBCentral/FAT Viewer?action=UPDATE&amp;creator=factset&amp;DOC_NAME=fat:reuters_qtrly_source_window.fat&amp;display_string=Audit&amp;DYN_ARGS=TRUE&amp;VAR:ID1=56030510&amp;VAR:RCODE=LTLL&amp;VAR:SDATE=20081299&amp;VAR:FREQ=DAILY&amp;VAR:RELITEM=&amp;VAR:CURRENCY=&amp;VAR:CURRSOURCE=EXSHARE&amp;","VAR:NATFREQ=QUARTERLY&amp;VAR:RFIELD=FINALIZED&amp;VAR:DB_TYPE=&amp;VAR:UNITS=M&amp;window=popup&amp;width=450&amp;height=300&amp;START_MAXIMIZED=FALSE"}</definedName>
    <definedName name="_2134__FDSAUDITLINK__" hidden="1">{"fdsup://IBCentral/FAT Viewer?action=UPDATE&amp;creator=factset&amp;DOC_NAME=fat:reuters_qtrly_source_window.fat&amp;display_string=Audit&amp;DYN_ARGS=TRUE&amp;VAR:ID1=56030510&amp;VAR:RCODE=LTCL&amp;VAR:SDATE=20081299&amp;VAR:FREQ=DAILY&amp;VAR:RELITEM=&amp;VAR:CURRENCY=&amp;VAR:CURRSOURCE=EXSHARE&amp;","VAR:NATFREQ=QUARTERLY&amp;VAR:RFIELD=FINALIZED&amp;VAR:DB_TYPE=&amp;VAR:UNITS=M&amp;window=popup&amp;width=450&amp;height=300&amp;START_MAXIMIZED=FALSE"}</definedName>
    <definedName name="_2135__FDSAUDITLINK__" hidden="1">{"fdsup://IBCentral/FAT Viewer?action=UPDATE&amp;creator=factset&amp;DOC_NAME=fat:reuters_qtrly_source_window.fat&amp;display_string=Audit&amp;DYN_ARGS=TRUE&amp;VAR:ID1=56030510&amp;VAR:RCODE=ATCA&amp;VAR:SDATE=20081299&amp;VAR:FREQ=DAILY&amp;VAR:RELITEM=&amp;VAR:CURRENCY=&amp;VAR:CURRSOURCE=EXSHARE&amp;","VAR:NATFREQ=QUARTERLY&amp;VAR:RFIELD=FINALIZED&amp;VAR:DB_TYPE=&amp;VAR:UNITS=M&amp;window=popup&amp;width=450&amp;height=300&amp;START_MAXIMIZED=FALSE"}</definedName>
    <definedName name="_2136__FDSAUDITLINK__" hidden="1">{"fdsup://IBCentral/FAT Viewer?action=UPDATE&amp;creator=factset&amp;DOC_NAME=fat:reuters_qtrly_source_window.fat&amp;display_string=Audit&amp;DYN_ARGS=TRUE&amp;VAR:ID1=56030510&amp;VAR:RCODE=ATOT&amp;VAR:SDATE=20081299&amp;VAR:FREQ=DAILY&amp;VAR:RELITEM=&amp;VAR:CURRENCY=&amp;VAR:CURRSOURCE=EXSHARE&amp;","VAR:NATFREQ=QUARTERLY&amp;VAR:RFIELD=FINALIZED&amp;VAR:DB_TYPE=&amp;VAR:UNITS=M&amp;window=popup&amp;width=450&amp;height=300&amp;START_MAXIMIZED=FALSE"}</definedName>
    <definedName name="_2137__FDSAUDITLINK__" hidden="1">{"fdsup://IBCentral/FAT Viewer?action=UPDATE&amp;creator=factset&amp;DOC_NAME=fat:reuters_qtrly_source_window.fat&amp;display_string=Audit&amp;DYN_ARGS=TRUE&amp;VAR:ID1=55611C10&amp;VAR:RCODE=LTLL&amp;VAR:SDATE=20081299&amp;VAR:FREQ=DAILY&amp;VAR:RELITEM=&amp;VAR:CURRENCY=&amp;VAR:CURRSOURCE=EXSHARE&amp;","VAR:NATFREQ=QUARTERLY&amp;VAR:RFIELD=FINALIZED&amp;VAR:DB_TYPE=&amp;VAR:UNITS=M&amp;window=popup&amp;width=450&amp;height=300&amp;START_MAXIMIZED=FALSE"}</definedName>
    <definedName name="_2138__FDSAUDITLINK__" hidden="1">{"fdsup://IBCentral/FAT Viewer?action=UPDATE&amp;creator=factset&amp;DOC_NAME=fat:reuters_qtrly_source_window.fat&amp;display_string=Audit&amp;DYN_ARGS=TRUE&amp;VAR:ID1=55611C10&amp;VAR:RCODE=LTCL&amp;VAR:SDATE=20081299&amp;VAR:FREQ=DAILY&amp;VAR:RELITEM=&amp;VAR:CURRENCY=&amp;VAR:CURRSOURCE=EXSHARE&amp;","VAR:NATFREQ=QUARTERLY&amp;VAR:RFIELD=FINALIZED&amp;VAR:DB_TYPE=&amp;VAR:UNITS=M&amp;window=popup&amp;width=450&amp;height=300&amp;START_MAXIMIZED=FALSE"}</definedName>
    <definedName name="_2139__FDSAUDITLINK__" hidden="1">{"fdsup://IBCentral/FAT Viewer?action=UPDATE&amp;creator=factset&amp;DOC_NAME=fat:reuters_qtrly_source_window.fat&amp;display_string=Audit&amp;DYN_ARGS=TRUE&amp;VAR:ID1=55611C10&amp;VAR:RCODE=ATCA&amp;VAR:SDATE=20081299&amp;VAR:FREQ=DAILY&amp;VAR:RELITEM=&amp;VAR:CURRENCY=&amp;VAR:CURRSOURCE=EXSHARE&amp;","VAR:NATFREQ=QUARTERLY&amp;VAR:RFIELD=FINALIZED&amp;VAR:DB_TYPE=&amp;VAR:UNITS=M&amp;window=popup&amp;width=450&amp;height=300&amp;START_MAXIMIZED=FALSE"}</definedName>
    <definedName name="_214__FDSAUDITLINK__" hidden="1">{"fdsup://Directions/FactSet Auditing Viewer?action=AUDIT_VALUE&amp;DB=129&amp;ID1=29250R10&amp;VALUEID=02999&amp;SDATE=201001&amp;PERIODTYPE=QTR_STD&amp;window=popup_no_bar&amp;width=385&amp;height=120&amp;START_MAXIMIZED=FALSE&amp;creator=factset&amp;display_string=Audit"}</definedName>
    <definedName name="_2140__FDSAUDITLINK__" hidden="1">{"fdsup://IBCentral/FAT Viewer?action=UPDATE&amp;creator=factset&amp;DOC_NAME=fat:reuters_qtrly_source_window.fat&amp;display_string=Audit&amp;DYN_ARGS=TRUE&amp;VAR:ID1=55611C10&amp;VAR:RCODE=ATOT&amp;VAR:SDATE=20081299&amp;VAR:FREQ=DAILY&amp;VAR:RELITEM=&amp;VAR:CURRENCY=&amp;VAR:CURRSOURCE=EXSHARE&amp;","VAR:NATFREQ=QUARTERLY&amp;VAR:RFIELD=FINALIZED&amp;VAR:DB_TYPE=&amp;VAR:UNITS=M&amp;window=popup&amp;width=450&amp;height=300&amp;START_MAXIMIZED=FALSE"}</definedName>
    <definedName name="_2141__FDSAUDITLINK__" hidden="1">{"fdsup://IBCentral/FAT Viewer?action=UPDATE&amp;creator=factset&amp;DOC_NAME=fat:reuters_qtrly_source_window.fat&amp;display_string=Audit&amp;DYN_ARGS=TRUE&amp;VAR:ID1=50188920&amp;VAR:RCODE=LTLL&amp;VAR:SDATE=20081299&amp;VAR:FREQ=DAILY&amp;VAR:RELITEM=&amp;VAR:CURRENCY=&amp;VAR:CURRSOURCE=EXSHARE&amp;","VAR:NATFREQ=QUARTERLY&amp;VAR:RFIELD=FINALIZED&amp;VAR:DB_TYPE=&amp;VAR:UNITS=M&amp;window=popup&amp;width=450&amp;height=300&amp;START_MAXIMIZED=FALSE"}</definedName>
    <definedName name="_2142__FDSAUDITLINK__" hidden="1">{"fdsup://IBCentral/FAT Viewer?action=UPDATE&amp;creator=factset&amp;DOC_NAME=fat:reuters_qtrly_source_window.fat&amp;display_string=Audit&amp;DYN_ARGS=TRUE&amp;VAR:ID1=50188920&amp;VAR:RCODE=LTCL&amp;VAR:SDATE=20081299&amp;VAR:FREQ=DAILY&amp;VAR:RELITEM=&amp;VAR:CURRENCY=&amp;VAR:CURRSOURCE=EXSHARE&amp;","VAR:NATFREQ=QUARTERLY&amp;VAR:RFIELD=FINALIZED&amp;VAR:DB_TYPE=&amp;VAR:UNITS=M&amp;window=popup&amp;width=450&amp;height=300&amp;START_MAXIMIZED=FALSE"}</definedName>
    <definedName name="_2143__FDSAUDITLINK__" hidden="1">{"fdsup://IBCentral/FAT Viewer?action=UPDATE&amp;creator=factset&amp;DOC_NAME=fat:reuters_qtrly_source_window.fat&amp;display_string=Audit&amp;DYN_ARGS=TRUE&amp;VAR:ID1=50188920&amp;VAR:RCODE=ATCA&amp;VAR:SDATE=20081299&amp;VAR:FREQ=DAILY&amp;VAR:RELITEM=&amp;VAR:CURRENCY=&amp;VAR:CURRSOURCE=EXSHARE&amp;","VAR:NATFREQ=QUARTERLY&amp;VAR:RFIELD=FINALIZED&amp;VAR:DB_TYPE=&amp;VAR:UNITS=M&amp;window=popup&amp;width=450&amp;height=300&amp;START_MAXIMIZED=FALSE"}</definedName>
    <definedName name="_2144__FDSAUDITLINK__" hidden="1">{"fdsup://IBCentral/FAT Viewer?action=UPDATE&amp;creator=factset&amp;DOC_NAME=fat:reuters_qtrly_source_window.fat&amp;display_string=Audit&amp;DYN_ARGS=TRUE&amp;VAR:ID1=50188920&amp;VAR:RCODE=ATOT&amp;VAR:SDATE=20081299&amp;VAR:FREQ=DAILY&amp;VAR:RELITEM=&amp;VAR:CURRENCY=&amp;VAR:CURRSOURCE=EXSHARE&amp;","VAR:NATFREQ=QUARTERLY&amp;VAR:RFIELD=FINALIZED&amp;VAR:DB_TYPE=&amp;VAR:UNITS=M&amp;window=popup&amp;width=450&amp;height=300&amp;START_MAXIMIZED=FALSE"}</definedName>
    <definedName name="_2145__FDSAUDITLINK__" hidden="1">{"fdsup://IBCentral/FAT Viewer?action=UPDATE&amp;creator=factset&amp;DOC_NAME=fat:reuters_qtrly_source_window.fat&amp;display_string=Audit&amp;DYN_ARGS=TRUE&amp;VAR:ID1=53219L10&amp;VAR:RCODE=LTLL&amp;VAR:SDATE=20081299&amp;VAR:FREQ=DAILY&amp;VAR:RELITEM=&amp;VAR:CURRENCY=&amp;VAR:CURRSOURCE=EXSHARE&amp;","VAR:NATFREQ=QUARTERLY&amp;VAR:RFIELD=FINALIZED&amp;VAR:DB_TYPE=&amp;VAR:UNITS=M&amp;window=popup&amp;width=450&amp;height=300&amp;START_MAXIMIZED=FALSE"}</definedName>
    <definedName name="_2146__FDSAUDITLINK__" hidden="1">{"fdsup://IBCentral/FAT Viewer?action=UPDATE&amp;creator=factset&amp;DOC_NAME=fat:reuters_qtrly_source_window.fat&amp;display_string=Audit&amp;DYN_ARGS=TRUE&amp;VAR:ID1=53219L10&amp;VAR:RCODE=LTCL&amp;VAR:SDATE=20081299&amp;VAR:FREQ=DAILY&amp;VAR:RELITEM=&amp;VAR:CURRENCY=&amp;VAR:CURRSOURCE=EXSHARE&amp;","VAR:NATFREQ=QUARTERLY&amp;VAR:RFIELD=FINALIZED&amp;VAR:DB_TYPE=&amp;VAR:UNITS=M&amp;window=popup&amp;width=450&amp;height=300&amp;START_MAXIMIZED=FALSE"}</definedName>
    <definedName name="_2147__FDSAUDITLINK__" hidden="1">{"fdsup://IBCentral/FAT Viewer?action=UPDATE&amp;creator=factset&amp;DOC_NAME=fat:reuters_qtrly_source_window.fat&amp;display_string=Audit&amp;DYN_ARGS=TRUE&amp;VAR:ID1=53219L10&amp;VAR:RCODE=ATCA&amp;VAR:SDATE=20081299&amp;VAR:FREQ=DAILY&amp;VAR:RELITEM=&amp;VAR:CURRENCY=&amp;VAR:CURRSOURCE=EXSHARE&amp;","VAR:NATFREQ=QUARTERLY&amp;VAR:RFIELD=FINALIZED&amp;VAR:DB_TYPE=&amp;VAR:UNITS=M&amp;window=popup&amp;width=450&amp;height=300&amp;START_MAXIMIZED=FALSE"}</definedName>
    <definedName name="_2148__FDSAUDITLINK__" hidden="1">{"fdsup://IBCentral/FAT Viewer?action=UPDATE&amp;creator=factset&amp;DOC_NAME=fat:reuters_qtrly_source_window.fat&amp;display_string=Audit&amp;DYN_ARGS=TRUE&amp;VAR:ID1=53219L10&amp;VAR:RCODE=ATOT&amp;VAR:SDATE=20081299&amp;VAR:FREQ=DAILY&amp;VAR:RELITEM=&amp;VAR:CURRENCY=&amp;VAR:CURRSOURCE=EXSHARE&amp;","VAR:NATFREQ=QUARTERLY&amp;VAR:RFIELD=FINALIZED&amp;VAR:DB_TYPE=&amp;VAR:UNITS=M&amp;window=popup&amp;width=450&amp;height=300&amp;START_MAXIMIZED=FALSE"}</definedName>
    <definedName name="_2149__FDSAUDITLINK__" hidden="1">{"fdsup://IBCentral/FAT Viewer?action=UPDATE&amp;creator=factset&amp;DOC_NAME=fat:reuters_qtrly_source_window.fat&amp;display_string=Audit&amp;DYN_ARGS=TRUE&amp;VAR:ID1=49558210&amp;VAR:RCODE=LTLL&amp;VAR:SDATE=20081299&amp;VAR:FREQ=DAILY&amp;VAR:RELITEM=&amp;VAR:CURRENCY=&amp;VAR:CURRSOURCE=EXSHARE&amp;","VAR:NATFREQ=QUARTERLY&amp;VAR:RFIELD=FINALIZED&amp;VAR:DB_TYPE=&amp;VAR:UNITS=M&amp;window=popup&amp;width=450&amp;height=300&amp;START_MAXIMIZED=FALSE"}</definedName>
    <definedName name="_215__FDSAUDITLINK__" hidden="1">{"fdsup://Directions/FactSet Auditing Viewer?action=AUDIT_VALUE&amp;DB=129&amp;ID1=29264F20&amp;VALUEID=02999&amp;SDATE=201001&amp;PERIODTYPE=QTR_STD&amp;window=popup_no_bar&amp;width=385&amp;height=120&amp;START_MAXIMIZED=FALSE&amp;creator=factset&amp;display_string=Audit"}</definedName>
    <definedName name="_2150__FDSAUDITLINK__" hidden="1">{"fdsup://IBCentral/FAT Viewer?action=UPDATE&amp;creator=factset&amp;DOC_NAME=fat:reuters_qtrly_source_window.fat&amp;display_string=Audit&amp;DYN_ARGS=TRUE&amp;VAR:ID1=49558210&amp;VAR:RCODE=LTCL&amp;VAR:SDATE=20081299&amp;VAR:FREQ=DAILY&amp;VAR:RELITEM=&amp;VAR:CURRENCY=&amp;VAR:CURRSOURCE=EXSHARE&amp;","VAR:NATFREQ=QUARTERLY&amp;VAR:RFIELD=FINALIZED&amp;VAR:DB_TYPE=&amp;VAR:UNITS=M&amp;window=popup&amp;width=450&amp;height=300&amp;START_MAXIMIZED=FALSE"}</definedName>
    <definedName name="_2151__FDSAUDITLINK__" hidden="1">{"fdsup://IBCentral/FAT Viewer?action=UPDATE&amp;creator=factset&amp;DOC_NAME=fat:reuters_qtrly_source_window.fat&amp;display_string=Audit&amp;DYN_ARGS=TRUE&amp;VAR:ID1=49558210&amp;VAR:RCODE=ATCA&amp;VAR:SDATE=20081299&amp;VAR:FREQ=DAILY&amp;VAR:RELITEM=&amp;VAR:CURRENCY=&amp;VAR:CURRSOURCE=EXSHARE&amp;","VAR:NATFREQ=QUARTERLY&amp;VAR:RFIELD=FINALIZED&amp;VAR:DB_TYPE=&amp;VAR:UNITS=M&amp;window=popup&amp;width=450&amp;height=300&amp;START_MAXIMIZED=FALSE"}</definedName>
    <definedName name="_2152__FDSAUDITLINK__" hidden="1">{"fdsup://IBCentral/FAT Viewer?action=UPDATE&amp;creator=factset&amp;DOC_NAME=fat:reuters_qtrly_source_window.fat&amp;display_string=Audit&amp;DYN_ARGS=TRUE&amp;VAR:ID1=49558210&amp;VAR:RCODE=ATOT&amp;VAR:SDATE=20081299&amp;VAR:FREQ=DAILY&amp;VAR:RELITEM=&amp;VAR:CURRENCY=&amp;VAR:CURRSOURCE=EXSHARE&amp;","VAR:NATFREQ=QUARTERLY&amp;VAR:RFIELD=FINALIZED&amp;VAR:DB_TYPE=&amp;VAR:UNITS=M&amp;window=popup&amp;width=450&amp;height=300&amp;START_MAXIMIZED=FALSE"}</definedName>
    <definedName name="_2153__FDSAUDITLINK__" hidden="1">{"fdsup://IBCentral/FAT Viewer?action=UPDATE&amp;creator=factset&amp;DOC_NAME=fat:reuters_qtrly_source_window.fat&amp;display_string=Audit&amp;DYN_ARGS=TRUE&amp;VAR:ID1=49291410&amp;VAR:RCODE=LTLL&amp;VAR:SDATE=20081299&amp;VAR:FREQ=DAILY&amp;VAR:RELITEM=&amp;VAR:CURRENCY=&amp;VAR:CURRSOURCE=EXSHARE&amp;","VAR:NATFREQ=QUARTERLY&amp;VAR:RFIELD=FINALIZED&amp;VAR:DB_TYPE=&amp;VAR:UNITS=M&amp;window=popup&amp;width=450&amp;height=300&amp;START_MAXIMIZED=FALSE"}</definedName>
    <definedName name="_2154__FDSAUDITLINK__" hidden="1">{"fdsup://IBCentral/FAT Viewer?action=UPDATE&amp;creator=factset&amp;DOC_NAME=fat:reuters_qtrly_source_window.fat&amp;display_string=Audit&amp;DYN_ARGS=TRUE&amp;VAR:ID1=49291410&amp;VAR:RCODE=LTCL&amp;VAR:SDATE=20081299&amp;VAR:FREQ=DAILY&amp;VAR:RELITEM=&amp;VAR:CURRENCY=&amp;VAR:CURRSOURCE=EXSHARE&amp;","VAR:NATFREQ=QUARTERLY&amp;VAR:RFIELD=FINALIZED&amp;VAR:DB_TYPE=&amp;VAR:UNITS=M&amp;window=popup&amp;width=450&amp;height=300&amp;START_MAXIMIZED=FALSE"}</definedName>
    <definedName name="_2155__FDSAUDITLINK__" hidden="1">{"fdsup://IBCentral/FAT Viewer?action=UPDATE&amp;creator=factset&amp;DOC_NAME=fat:reuters_qtrly_source_window.fat&amp;display_string=Audit&amp;DYN_ARGS=TRUE&amp;VAR:ID1=49291410&amp;VAR:RCODE=ATCA&amp;VAR:SDATE=20081299&amp;VAR:FREQ=DAILY&amp;VAR:RELITEM=&amp;VAR:CURRENCY=&amp;VAR:CURRSOURCE=EXSHARE&amp;","VAR:NATFREQ=QUARTERLY&amp;VAR:RFIELD=FINALIZED&amp;VAR:DB_TYPE=&amp;VAR:UNITS=M&amp;window=popup&amp;width=450&amp;height=300&amp;START_MAXIMIZED=FALSE"}</definedName>
    <definedName name="_2156__FDSAUDITLINK__" hidden="1">{"fdsup://IBCentral/FAT Viewer?action=UPDATE&amp;creator=factset&amp;DOC_NAME=fat:reuters_qtrly_source_window.fat&amp;display_string=Audit&amp;DYN_ARGS=TRUE&amp;VAR:ID1=49291410&amp;VAR:RCODE=ATOT&amp;VAR:SDATE=20081299&amp;VAR:FREQ=DAILY&amp;VAR:RELITEM=&amp;VAR:CURRENCY=&amp;VAR:CURRSOURCE=EXSHARE&amp;","VAR:NATFREQ=QUARTERLY&amp;VAR:RFIELD=FINALIZED&amp;VAR:DB_TYPE=&amp;VAR:UNITS=M&amp;window=popup&amp;width=450&amp;height=300&amp;START_MAXIMIZED=FALSE"}</definedName>
    <definedName name="_2157__FDSAUDITLINK__" hidden="1">{"fdsup://IBCentral/FAT Viewer?action=UPDATE&amp;creator=factset&amp;DOC_NAME=fat:reuters_qtrly_source_window.fat&amp;display_string=Audit&amp;DYN_ARGS=TRUE&amp;VAR:ID1=46636710&amp;VAR:RCODE=LTLL&amp;VAR:SDATE=20081299&amp;VAR:FREQ=DAILY&amp;VAR:RELITEM=&amp;VAR:CURRENCY=&amp;VAR:CURRSOURCE=EXSHARE&amp;","VAR:NATFREQ=QUARTERLY&amp;VAR:RFIELD=FINALIZED&amp;VAR:DB_TYPE=&amp;VAR:UNITS=M&amp;window=popup&amp;width=450&amp;height=300&amp;START_MAXIMIZED=FALSE"}</definedName>
    <definedName name="_2158__FDSAUDITLINK__" hidden="1">{"fdsup://IBCentral/FAT Viewer?action=UPDATE&amp;creator=factset&amp;DOC_NAME=fat:reuters_qtrly_source_window.fat&amp;display_string=Audit&amp;DYN_ARGS=TRUE&amp;VAR:ID1=46636710&amp;VAR:RCODE=LTCL&amp;VAR:SDATE=20081299&amp;VAR:FREQ=DAILY&amp;VAR:RELITEM=&amp;VAR:CURRENCY=&amp;VAR:CURRSOURCE=EXSHARE&amp;","VAR:NATFREQ=QUARTERLY&amp;VAR:RFIELD=FINALIZED&amp;VAR:DB_TYPE=&amp;VAR:UNITS=M&amp;window=popup&amp;width=450&amp;height=300&amp;START_MAXIMIZED=FALSE"}</definedName>
    <definedName name="_2159__FDSAUDITLINK__" hidden="1">{"fdsup://IBCentral/FAT Viewer?action=UPDATE&amp;creator=factset&amp;DOC_NAME=fat:reuters_qtrly_source_window.fat&amp;display_string=Audit&amp;DYN_ARGS=TRUE&amp;VAR:ID1=46636710&amp;VAR:RCODE=ATCA&amp;VAR:SDATE=20081299&amp;VAR:FREQ=DAILY&amp;VAR:RELITEM=&amp;VAR:CURRENCY=&amp;VAR:CURRSOURCE=EXSHARE&amp;","VAR:NATFREQ=QUARTERLY&amp;VAR:RFIELD=FINALIZED&amp;VAR:DB_TYPE=&amp;VAR:UNITS=M&amp;window=popup&amp;width=450&amp;height=300&amp;START_MAXIMIZED=FALSE"}</definedName>
    <definedName name="_216__FDSAUDITLINK__" hidden="1">{"fdsup://Directions/FactSet Auditing Viewer?action=AUDIT_VALUE&amp;DB=129&amp;ID1=29273V10&amp;VALUEID=02999&amp;SDATE=201001&amp;PERIODTYPE=QTR_STD&amp;window=popup_no_bar&amp;width=385&amp;height=120&amp;START_MAXIMIZED=FALSE&amp;creator=factset&amp;display_string=Audit"}</definedName>
    <definedName name="_2160__FDSAUDITLINK__" hidden="1">{"fdsup://IBCentral/FAT Viewer?action=UPDATE&amp;creator=factset&amp;DOC_NAME=fat:reuters_qtrly_source_window.fat&amp;display_string=Audit&amp;DYN_ARGS=TRUE&amp;VAR:ID1=46636710&amp;VAR:RCODE=ATOT&amp;VAR:SDATE=20081299&amp;VAR:FREQ=DAILY&amp;VAR:RELITEM=&amp;VAR:CURRENCY=&amp;VAR:CURRSOURCE=EXSHARE&amp;","VAR:NATFREQ=QUARTERLY&amp;VAR:RFIELD=FINALIZED&amp;VAR:DB_TYPE=&amp;VAR:UNITS=M&amp;window=popup&amp;width=450&amp;height=300&amp;START_MAXIMIZED=FALSE"}</definedName>
    <definedName name="_2161__FDSAUDITLINK__" hidden="1">{"fdsup://IBCentral/FAT Viewer?action=UPDATE&amp;creator=factset&amp;DOC_NAME=fat:reuters_qtrly_source_window.fat&amp;display_string=Audit&amp;DYN_ARGS=TRUE&amp;VAR:ID1=46259420&amp;VAR:RCODE=LTLL&amp;VAR:SDATE=20081299&amp;VAR:FREQ=DAILY&amp;VAR:RELITEM=&amp;VAR:CURRENCY=&amp;VAR:CURRSOURCE=EXSHARE&amp;","VAR:NATFREQ=QUARTERLY&amp;VAR:RFIELD=FINALIZED&amp;VAR:DB_TYPE=&amp;VAR:UNITS=M&amp;window=popup&amp;width=450&amp;height=300&amp;START_MAXIMIZED=FALSE"}</definedName>
    <definedName name="_2162__FDSAUDITLINK__" hidden="1">{"fdsup://IBCentral/FAT Viewer?action=UPDATE&amp;creator=factset&amp;DOC_NAME=fat:reuters_qtrly_source_window.fat&amp;display_string=Audit&amp;DYN_ARGS=TRUE&amp;VAR:ID1=46259420&amp;VAR:RCODE=LTCL&amp;VAR:SDATE=20081299&amp;VAR:FREQ=DAILY&amp;VAR:RELITEM=&amp;VAR:CURRENCY=&amp;VAR:CURRSOURCE=EXSHARE&amp;","VAR:NATFREQ=QUARTERLY&amp;VAR:RFIELD=FINALIZED&amp;VAR:DB_TYPE=&amp;VAR:UNITS=M&amp;window=popup&amp;width=450&amp;height=300&amp;START_MAXIMIZED=FALSE"}</definedName>
    <definedName name="_2163__FDSAUDITLINK__" hidden="1">{"fdsup://IBCentral/FAT Viewer?action=UPDATE&amp;creator=factset&amp;DOC_NAME=fat:reuters_qtrly_source_window.fat&amp;display_string=Audit&amp;DYN_ARGS=TRUE&amp;VAR:ID1=46259420&amp;VAR:RCODE=ATCA&amp;VAR:SDATE=20081299&amp;VAR:FREQ=DAILY&amp;VAR:RELITEM=&amp;VAR:CURRENCY=&amp;VAR:CURRSOURCE=EXSHARE&amp;","VAR:NATFREQ=QUARTERLY&amp;VAR:RFIELD=FINALIZED&amp;VAR:DB_TYPE=&amp;VAR:UNITS=M&amp;window=popup&amp;width=450&amp;height=300&amp;START_MAXIMIZED=FALSE"}</definedName>
    <definedName name="_2164__FDSAUDITLINK__" hidden="1">{"fdsup://IBCentral/FAT Viewer?action=UPDATE&amp;creator=factset&amp;DOC_NAME=fat:reuters_qtrly_source_window.fat&amp;display_string=Audit&amp;DYN_ARGS=TRUE&amp;VAR:ID1=46259420&amp;VAR:RCODE=ATOT&amp;VAR:SDATE=20081299&amp;VAR:FREQ=DAILY&amp;VAR:RELITEM=&amp;VAR:CURRENCY=&amp;VAR:CURRSOURCE=EXSHARE&amp;","VAR:NATFREQ=QUARTERLY&amp;VAR:RFIELD=FINALIZED&amp;VAR:DB_TYPE=&amp;VAR:UNITS=M&amp;window=popup&amp;width=450&amp;height=300&amp;START_MAXIMIZED=FALSE"}</definedName>
    <definedName name="_2165__FDSAUDITLINK__" hidden="1">{"fdsup://IBCentral/FAT Viewer?action=UPDATE&amp;creator=factset&amp;DOC_NAME=fat:reuters_qtrly_source_window.fat&amp;display_string=Audit&amp;DYN_ARGS=TRUE&amp;VAR:ID1=46122E10&amp;VAR:RCODE=LTLL&amp;VAR:SDATE=20081299&amp;VAR:FREQ=DAILY&amp;VAR:RELITEM=&amp;VAR:CURRENCY=&amp;VAR:CURRSOURCE=EXSHARE&amp;","VAR:NATFREQ=QUARTERLY&amp;VAR:RFIELD=FINALIZED&amp;VAR:DB_TYPE=&amp;VAR:UNITS=M&amp;window=popup&amp;width=450&amp;height=300&amp;START_MAXIMIZED=FALSE"}</definedName>
    <definedName name="_2166__FDSAUDITLINK__" hidden="1">{"fdsup://IBCentral/FAT Viewer?action=UPDATE&amp;creator=factset&amp;DOC_NAME=fat:reuters_qtrly_source_window.fat&amp;display_string=Audit&amp;DYN_ARGS=TRUE&amp;VAR:ID1=46122E10&amp;VAR:RCODE=LTCL&amp;VAR:SDATE=20081299&amp;VAR:FREQ=DAILY&amp;VAR:RELITEM=&amp;VAR:CURRENCY=&amp;VAR:CURRSOURCE=EXSHARE&amp;","VAR:NATFREQ=QUARTERLY&amp;VAR:RFIELD=FINALIZED&amp;VAR:DB_TYPE=&amp;VAR:UNITS=M&amp;window=popup&amp;width=450&amp;height=300&amp;START_MAXIMIZED=FALSE"}</definedName>
    <definedName name="_2167__FDSAUDITLINK__" hidden="1">{"fdsup://IBCentral/FAT Viewer?action=UPDATE&amp;creator=factset&amp;DOC_NAME=fat:reuters_qtrly_source_window.fat&amp;display_string=Audit&amp;DYN_ARGS=TRUE&amp;VAR:ID1=46122E10&amp;VAR:RCODE=ATCA&amp;VAR:SDATE=20081299&amp;VAR:FREQ=DAILY&amp;VAR:RELITEM=&amp;VAR:CURRENCY=&amp;VAR:CURRSOURCE=EXSHARE&amp;","VAR:NATFREQ=QUARTERLY&amp;VAR:RFIELD=FINALIZED&amp;VAR:DB_TYPE=&amp;VAR:UNITS=M&amp;window=popup&amp;width=450&amp;height=300&amp;START_MAXIMIZED=FALSE"}</definedName>
    <definedName name="_2168__FDSAUDITLINK__" hidden="1">{"fdsup://IBCentral/FAT Viewer?action=UPDATE&amp;creator=factset&amp;DOC_NAME=fat:reuters_qtrly_source_window.fat&amp;display_string=Audit&amp;DYN_ARGS=TRUE&amp;VAR:ID1=46122E10&amp;VAR:RCODE=ATOT&amp;VAR:SDATE=20081299&amp;VAR:FREQ=DAILY&amp;VAR:RELITEM=&amp;VAR:CURRENCY=&amp;VAR:CURRSOURCE=EXSHARE&amp;","VAR:NATFREQ=QUARTERLY&amp;VAR:RFIELD=FINALIZED&amp;VAR:DB_TYPE=&amp;VAR:UNITS=M&amp;window=popup&amp;width=450&amp;height=300&amp;START_MAXIMIZED=FALSE"}</definedName>
    <definedName name="_2169__FDSAUDITLINK__" hidden="1">{"fdsup://IBCentral/FAT Viewer?action=UPDATE&amp;creator=factset&amp;DOC_NAME=fat:reuters_qtrly_source_window.fat&amp;display_string=Audit&amp;DYN_ARGS=TRUE&amp;VAR:ID1=45866510&amp;VAR:RCODE=LTLL&amp;VAR:SDATE=20081299&amp;VAR:FREQ=DAILY&amp;VAR:RELITEM=&amp;VAR:CURRENCY=&amp;VAR:CURRSOURCE=EXSHARE&amp;","VAR:NATFREQ=QUARTERLY&amp;VAR:RFIELD=FINALIZED&amp;VAR:DB_TYPE=&amp;VAR:UNITS=M&amp;window=popup&amp;width=450&amp;height=300&amp;START_MAXIMIZED=FALSE"}</definedName>
    <definedName name="_217__FDSAUDITLINK__" hidden="1">{"fdsup://Directions/FactSet Auditing Viewer?action=AUDIT_VALUE&amp;DB=129&amp;ID1=29371610&amp;VALUEID=02999&amp;SDATE=201001&amp;PERIODTYPE=QTR_STD&amp;window=popup_no_bar&amp;width=385&amp;height=120&amp;START_MAXIMIZED=FALSE&amp;creator=factset&amp;display_string=Audit"}</definedName>
    <definedName name="_2170__FDSAUDITLINK__" hidden="1">{"fdsup://IBCentral/FAT Viewer?action=UPDATE&amp;creator=factset&amp;DOC_NAME=fat:reuters_qtrly_source_window.fat&amp;display_string=Audit&amp;DYN_ARGS=TRUE&amp;VAR:ID1=45866510&amp;VAR:RCODE=LTCL&amp;VAR:SDATE=20081299&amp;VAR:FREQ=DAILY&amp;VAR:RELITEM=&amp;VAR:CURRENCY=&amp;VAR:CURRSOURCE=EXSHARE&amp;","VAR:NATFREQ=QUARTERLY&amp;VAR:RFIELD=FINALIZED&amp;VAR:DB_TYPE=&amp;VAR:UNITS=M&amp;window=popup&amp;width=450&amp;height=300&amp;START_MAXIMIZED=FALSE"}</definedName>
    <definedName name="_2171__FDSAUDITLINK__" hidden="1">{"fdsup://IBCentral/FAT Viewer?action=UPDATE&amp;creator=factset&amp;DOC_NAME=fat:reuters_qtrly_source_window.fat&amp;display_string=Audit&amp;DYN_ARGS=TRUE&amp;VAR:ID1=45866510&amp;VAR:RCODE=ATCA&amp;VAR:SDATE=20081299&amp;VAR:FREQ=DAILY&amp;VAR:RELITEM=&amp;VAR:CURRENCY=&amp;VAR:CURRSOURCE=EXSHARE&amp;","VAR:NATFREQ=QUARTERLY&amp;VAR:RFIELD=FINALIZED&amp;VAR:DB_TYPE=&amp;VAR:UNITS=M&amp;window=popup&amp;width=450&amp;height=300&amp;START_MAXIMIZED=FALSE"}</definedName>
    <definedName name="_2172__FDSAUDITLINK__" hidden="1">{"fdsup://IBCentral/FAT Viewer?action=UPDATE&amp;creator=factset&amp;DOC_NAME=fat:reuters_qtrly_source_window.fat&amp;display_string=Audit&amp;DYN_ARGS=TRUE&amp;VAR:ID1=45866510&amp;VAR:RCODE=ATOT&amp;VAR:SDATE=20081299&amp;VAR:FREQ=DAILY&amp;VAR:RELITEM=&amp;VAR:CURRENCY=&amp;VAR:CURRSOURCE=EXSHARE&amp;","VAR:NATFREQ=QUARTERLY&amp;VAR:RFIELD=FINALIZED&amp;VAR:DB_TYPE=&amp;VAR:UNITS=M&amp;window=popup&amp;width=450&amp;height=300&amp;START_MAXIMIZED=FALSE"}</definedName>
    <definedName name="_2173__FDSAUDITLINK__" hidden="1">{"fdsup://IBCentral/FAT Viewer?action=UPDATE&amp;creator=factset&amp;DOC_NAME=fat:reuters_qtrly_source_window.fat&amp;display_string=Audit&amp;DYN_ARGS=TRUE&amp;VAR:ID1=45703010&amp;VAR:RCODE=LTLL&amp;VAR:SDATE=20081299&amp;VAR:FREQ=DAILY&amp;VAR:RELITEM=&amp;VAR:CURRENCY=&amp;VAR:CURRSOURCE=EXSHARE&amp;","VAR:NATFREQ=QUARTERLY&amp;VAR:RFIELD=FINALIZED&amp;VAR:DB_TYPE=&amp;VAR:UNITS=M&amp;window=popup&amp;width=450&amp;height=300&amp;START_MAXIMIZED=FALSE"}</definedName>
    <definedName name="_2174__FDSAUDITLINK__" hidden="1">{"fdsup://IBCentral/FAT Viewer?action=UPDATE&amp;creator=factset&amp;DOC_NAME=fat:reuters_qtrly_source_window.fat&amp;display_string=Audit&amp;DYN_ARGS=TRUE&amp;VAR:ID1=45703010&amp;VAR:RCODE=LTCL&amp;VAR:SDATE=20081299&amp;VAR:FREQ=DAILY&amp;VAR:RELITEM=&amp;VAR:CURRENCY=&amp;VAR:CURRSOURCE=EXSHARE&amp;","VAR:NATFREQ=QUARTERLY&amp;VAR:RFIELD=FINALIZED&amp;VAR:DB_TYPE=&amp;VAR:UNITS=M&amp;window=popup&amp;width=450&amp;height=300&amp;START_MAXIMIZED=FALSE"}</definedName>
    <definedName name="_2175__FDSAUDITLINK__" hidden="1">{"fdsup://IBCentral/FAT Viewer?action=UPDATE&amp;creator=factset&amp;DOC_NAME=fat:reuters_qtrly_source_window.fat&amp;display_string=Audit&amp;DYN_ARGS=TRUE&amp;VAR:ID1=45703010&amp;VAR:RCODE=ATCA&amp;VAR:SDATE=20081299&amp;VAR:FREQ=DAILY&amp;VAR:RELITEM=&amp;VAR:CURRENCY=&amp;VAR:CURRSOURCE=EXSHARE&amp;","VAR:NATFREQ=QUARTERLY&amp;VAR:RFIELD=FINALIZED&amp;VAR:DB_TYPE=&amp;VAR:UNITS=M&amp;window=popup&amp;width=450&amp;height=300&amp;START_MAXIMIZED=FALSE"}</definedName>
    <definedName name="_2176__FDSAUDITLINK__" hidden="1">{"fdsup://IBCentral/FAT Viewer?action=UPDATE&amp;creator=factset&amp;DOC_NAME=fat:reuters_qtrly_source_window.fat&amp;display_string=Audit&amp;DYN_ARGS=TRUE&amp;VAR:ID1=45703010&amp;VAR:RCODE=ATOT&amp;VAR:SDATE=20081299&amp;VAR:FREQ=DAILY&amp;VAR:RELITEM=&amp;VAR:CURRENCY=&amp;VAR:CURRSOURCE=EXSHARE&amp;","VAR:NATFREQ=QUARTERLY&amp;VAR:RFIELD=FINALIZED&amp;VAR:DB_TYPE=&amp;VAR:UNITS=M&amp;window=popup&amp;width=450&amp;height=300&amp;START_MAXIMIZED=FALSE"}</definedName>
    <definedName name="_2177__FDSAUDITLINK__" hidden="1">{"fdsup://IBCentral/FAT Viewer?action=UPDATE&amp;creator=factset&amp;DOC_NAME=fat:reuters_qtrly_source_window.fat&amp;display_string=Audit&amp;DYN_ARGS=TRUE&amp;VAR:ID1=45670G10&amp;VAR:RCODE=LTLL&amp;VAR:SDATE=20081299&amp;VAR:FREQ=DAILY&amp;VAR:RELITEM=&amp;VAR:CURRENCY=&amp;VAR:CURRSOURCE=EXSHARE&amp;","VAR:NATFREQ=QUARTERLY&amp;VAR:RFIELD=FINALIZED&amp;VAR:DB_TYPE=&amp;VAR:UNITS=M&amp;window=popup&amp;width=450&amp;height=300&amp;START_MAXIMIZED=FALSE"}</definedName>
    <definedName name="_2178__FDSAUDITLINK__" hidden="1">{"fdsup://IBCentral/FAT Viewer?action=UPDATE&amp;creator=factset&amp;DOC_NAME=fat:reuters_qtrly_source_window.fat&amp;display_string=Audit&amp;DYN_ARGS=TRUE&amp;VAR:ID1=45670G10&amp;VAR:RCODE=LTCL&amp;VAR:SDATE=20081299&amp;VAR:FREQ=DAILY&amp;VAR:RELITEM=&amp;VAR:CURRENCY=&amp;VAR:CURRSOURCE=EXSHARE&amp;","VAR:NATFREQ=QUARTERLY&amp;VAR:RFIELD=FINALIZED&amp;VAR:DB_TYPE=&amp;VAR:UNITS=M&amp;window=popup&amp;width=450&amp;height=300&amp;START_MAXIMIZED=FALSE"}</definedName>
    <definedName name="_2179__FDSAUDITLINK__" hidden="1">{"fdsup://IBCentral/FAT Viewer?action=UPDATE&amp;creator=factset&amp;DOC_NAME=fat:reuters_qtrly_source_window.fat&amp;display_string=Audit&amp;DYN_ARGS=TRUE&amp;VAR:ID1=45670G10&amp;VAR:RCODE=ATCA&amp;VAR:SDATE=20081299&amp;VAR:FREQ=DAILY&amp;VAR:RELITEM=&amp;VAR:CURRENCY=&amp;VAR:CURRSOURCE=EXSHARE&amp;","VAR:NATFREQ=QUARTERLY&amp;VAR:RFIELD=FINALIZED&amp;VAR:DB_TYPE=&amp;VAR:UNITS=M&amp;window=popup&amp;width=450&amp;height=300&amp;START_MAXIMIZED=FALSE"}</definedName>
    <definedName name="_218__FDSAUDITLINK__" hidden="1">{"fdsup://Directions/FactSet Auditing Viewer?action=AUDIT_VALUE&amp;DB=129&amp;ID1=29382R10&amp;VALUEID=02999&amp;SDATE=201001&amp;PERIODTYPE=QTR_STD&amp;window=popup_no_bar&amp;width=385&amp;height=120&amp;START_MAXIMIZED=FALSE&amp;creator=factset&amp;display_string=Audit"}</definedName>
    <definedName name="_2180__FDSAUDITLINK__" hidden="1">{"fdsup://IBCentral/FAT Viewer?action=UPDATE&amp;creator=factset&amp;DOC_NAME=fat:reuters_qtrly_source_window.fat&amp;display_string=Audit&amp;DYN_ARGS=TRUE&amp;VAR:ID1=45670G10&amp;VAR:RCODE=ATOT&amp;VAR:SDATE=20081299&amp;VAR:FREQ=DAILY&amp;VAR:RELITEM=&amp;VAR:CURRENCY=&amp;VAR:CURRSOURCE=EXSHARE&amp;","VAR:NATFREQ=QUARTERLY&amp;VAR:RFIELD=FINALIZED&amp;VAR:DB_TYPE=&amp;VAR:UNITS=M&amp;window=popup&amp;width=450&amp;height=300&amp;START_MAXIMIZED=FALSE"}</definedName>
    <definedName name="_2181__FDSAUDITLINK__" hidden="1">{"fdsup://IBCentral/FAT Viewer?action=UPDATE&amp;creator=factset&amp;DOC_NAME=fat:reuters_qtrly_source_window.fat&amp;display_string=Audit&amp;DYN_ARGS=TRUE&amp;VAR:ID1=43644010&amp;VAR:RCODE=LTLL&amp;VAR:SDATE=20081299&amp;VAR:FREQ=DAILY&amp;VAR:RELITEM=&amp;VAR:CURRENCY=&amp;VAR:CURRSOURCE=EXSHARE&amp;","VAR:NATFREQ=QUARTERLY&amp;VAR:RFIELD=FINALIZED&amp;VAR:DB_TYPE=&amp;VAR:UNITS=M&amp;window=popup&amp;width=450&amp;height=300&amp;START_MAXIMIZED=FALSE"}</definedName>
    <definedName name="_2182__FDSAUDITLINK__" hidden="1">{"fdsup://IBCentral/FAT Viewer?action=UPDATE&amp;creator=factset&amp;DOC_NAME=fat:reuters_qtrly_source_window.fat&amp;display_string=Audit&amp;DYN_ARGS=TRUE&amp;VAR:ID1=43644010&amp;VAR:RCODE=LTCL&amp;VAR:SDATE=20081299&amp;VAR:FREQ=DAILY&amp;VAR:RELITEM=&amp;VAR:CURRENCY=&amp;VAR:CURRSOURCE=EXSHARE&amp;","VAR:NATFREQ=QUARTERLY&amp;VAR:RFIELD=FINALIZED&amp;VAR:DB_TYPE=&amp;VAR:UNITS=M&amp;window=popup&amp;width=450&amp;height=300&amp;START_MAXIMIZED=FALSE"}</definedName>
    <definedName name="_2183__FDSAUDITLINK__" hidden="1">{"fdsup://IBCentral/FAT Viewer?action=UPDATE&amp;creator=factset&amp;DOC_NAME=fat:reuters_qtrly_source_window.fat&amp;display_string=Audit&amp;DYN_ARGS=TRUE&amp;VAR:ID1=43644010&amp;VAR:RCODE=ATCA&amp;VAR:SDATE=20081299&amp;VAR:FREQ=DAILY&amp;VAR:RELITEM=&amp;VAR:CURRENCY=&amp;VAR:CURRSOURCE=EXSHARE&amp;","VAR:NATFREQ=QUARTERLY&amp;VAR:RFIELD=FINALIZED&amp;VAR:DB_TYPE=&amp;VAR:UNITS=M&amp;window=popup&amp;width=450&amp;height=300&amp;START_MAXIMIZED=FALSE"}</definedName>
    <definedName name="_2184__FDSAUDITLINK__" hidden="1">{"fdsup://IBCentral/FAT Viewer?action=UPDATE&amp;creator=factset&amp;DOC_NAME=fat:reuters_qtrly_source_window.fat&amp;display_string=Audit&amp;DYN_ARGS=TRUE&amp;VAR:ID1=43644010&amp;VAR:RCODE=ATOT&amp;VAR:SDATE=20081299&amp;VAR:FREQ=DAILY&amp;VAR:RELITEM=&amp;VAR:CURRENCY=&amp;VAR:CURRSOURCE=EXSHARE&amp;","VAR:NATFREQ=QUARTERLY&amp;VAR:RFIELD=FINALIZED&amp;VAR:DB_TYPE=&amp;VAR:UNITS=M&amp;window=popup&amp;width=450&amp;height=300&amp;START_MAXIMIZED=FALSE"}</definedName>
    <definedName name="_2185__FDSAUDITLINK__" hidden="1">{"fdsup://IBCentral/FAT Viewer?action=UPDATE&amp;creator=factset&amp;DOC_NAME=fat:reuters_qtrly_source_window.fat&amp;display_string=Audit&amp;DYN_ARGS=TRUE&amp;VAR:ID1=42829110&amp;VAR:RCODE=LTLL&amp;VAR:SDATE=20081299&amp;VAR:FREQ=DAILY&amp;VAR:RELITEM=&amp;VAR:CURRENCY=&amp;VAR:CURRSOURCE=EXSHARE&amp;","VAR:NATFREQ=QUARTERLY&amp;VAR:RFIELD=FINALIZED&amp;VAR:DB_TYPE=&amp;VAR:UNITS=M&amp;window=popup&amp;width=450&amp;height=300&amp;START_MAXIMIZED=FALSE"}</definedName>
    <definedName name="_2186__FDSAUDITLINK__" hidden="1">{"fdsup://IBCentral/FAT Viewer?action=UPDATE&amp;creator=factset&amp;DOC_NAME=fat:reuters_qtrly_source_window.fat&amp;display_string=Audit&amp;DYN_ARGS=TRUE&amp;VAR:ID1=42829110&amp;VAR:RCODE=LTCL&amp;VAR:SDATE=20081299&amp;VAR:FREQ=DAILY&amp;VAR:RELITEM=&amp;VAR:CURRENCY=&amp;VAR:CURRSOURCE=EXSHARE&amp;","VAR:NATFREQ=QUARTERLY&amp;VAR:RFIELD=FINALIZED&amp;VAR:DB_TYPE=&amp;VAR:UNITS=M&amp;window=popup&amp;width=450&amp;height=300&amp;START_MAXIMIZED=FALSE"}</definedName>
    <definedName name="_2187__FDSAUDITLINK__" hidden="1">{"fdsup://IBCentral/FAT Viewer?action=UPDATE&amp;creator=factset&amp;DOC_NAME=fat:reuters_qtrly_source_window.fat&amp;display_string=Audit&amp;DYN_ARGS=TRUE&amp;VAR:ID1=42829110&amp;VAR:RCODE=ATCA&amp;VAR:SDATE=20081299&amp;VAR:FREQ=DAILY&amp;VAR:RELITEM=&amp;VAR:CURRENCY=&amp;VAR:CURRSOURCE=EXSHARE&amp;","VAR:NATFREQ=QUARTERLY&amp;VAR:RFIELD=FINALIZED&amp;VAR:DB_TYPE=&amp;VAR:UNITS=M&amp;window=popup&amp;width=450&amp;height=300&amp;START_MAXIMIZED=FALSE"}</definedName>
    <definedName name="_2188__FDSAUDITLINK__" hidden="1">{"fdsup://IBCentral/FAT Viewer?action=UPDATE&amp;creator=factset&amp;DOC_NAME=fat:reuters_qtrly_source_window.fat&amp;display_string=Audit&amp;DYN_ARGS=TRUE&amp;VAR:ID1=42829110&amp;VAR:RCODE=ATOT&amp;VAR:SDATE=20081299&amp;VAR:FREQ=DAILY&amp;VAR:RELITEM=&amp;VAR:CURRENCY=&amp;VAR:CURRSOURCE=EXSHARE&amp;","VAR:NATFREQ=QUARTERLY&amp;VAR:RFIELD=FINALIZED&amp;VAR:DB_TYPE=&amp;VAR:UNITS=M&amp;window=popup&amp;width=450&amp;height=300&amp;START_MAXIMIZED=FALSE"}</definedName>
    <definedName name="_2189__FDSAUDITLINK__" hidden="1">{"fdsup://IBCentral/FAT Viewer?action=UPDATE&amp;creator=factset&amp;DOC_NAME=fat:reuters_qtrly_source_window.fat&amp;display_string=Audit&amp;DYN_ARGS=TRUE&amp;VAR:ID1=42709310&amp;VAR:RCODE=LTLL&amp;VAR:SDATE=20081299&amp;VAR:FREQ=DAILY&amp;VAR:RELITEM=&amp;VAR:CURRENCY=&amp;VAR:CURRSOURCE=EXSHARE&amp;","VAR:NATFREQ=QUARTERLY&amp;VAR:RFIELD=FINALIZED&amp;VAR:DB_TYPE=&amp;VAR:UNITS=M&amp;window=popup&amp;width=450&amp;height=300&amp;START_MAXIMIZED=FALSE"}</definedName>
    <definedName name="_219__FDSAUDITLINK__" hidden="1">{"fdsup://Directions/FactSet Auditing Viewer?action=AUDIT_VALUE&amp;DB=129&amp;ID1=26875P10&amp;VALUEID=02999&amp;SDATE=201001&amp;PERIODTYPE=QTR_STD&amp;window=popup_no_bar&amp;width=385&amp;height=120&amp;START_MAXIMIZED=FALSE&amp;creator=factset&amp;display_string=Audit"}</definedName>
    <definedName name="_2190__FDSAUDITLINK__" hidden="1">{"fdsup://IBCentral/FAT Viewer?action=UPDATE&amp;creator=factset&amp;DOC_NAME=fat:reuters_qtrly_source_window.fat&amp;display_string=Audit&amp;DYN_ARGS=TRUE&amp;VAR:ID1=42709310&amp;VAR:RCODE=LTCL&amp;VAR:SDATE=20081299&amp;VAR:FREQ=DAILY&amp;VAR:RELITEM=&amp;VAR:CURRENCY=&amp;VAR:CURRSOURCE=EXSHARE&amp;","VAR:NATFREQ=QUARTERLY&amp;VAR:RFIELD=FINALIZED&amp;VAR:DB_TYPE=&amp;VAR:UNITS=M&amp;window=popup&amp;width=450&amp;height=300&amp;START_MAXIMIZED=FALSE"}</definedName>
    <definedName name="_2191__FDSAUDITLINK__" hidden="1">{"fdsup://IBCentral/FAT Viewer?action=UPDATE&amp;creator=factset&amp;DOC_NAME=fat:reuters_qtrly_source_window.fat&amp;display_string=Audit&amp;DYN_ARGS=TRUE&amp;VAR:ID1=42709310&amp;VAR:RCODE=ATCA&amp;VAR:SDATE=20081299&amp;VAR:FREQ=DAILY&amp;VAR:RELITEM=&amp;VAR:CURRENCY=&amp;VAR:CURRSOURCE=EXSHARE&amp;","VAR:NATFREQ=QUARTERLY&amp;VAR:RFIELD=FINALIZED&amp;VAR:DB_TYPE=&amp;VAR:UNITS=M&amp;window=popup&amp;width=450&amp;height=300&amp;START_MAXIMIZED=FALSE"}</definedName>
    <definedName name="_2192__FDSAUDITLINK__" hidden="1">{"fdsup://IBCentral/FAT Viewer?action=UPDATE&amp;creator=factset&amp;DOC_NAME=fat:reuters_qtrly_source_window.fat&amp;display_string=Audit&amp;DYN_ARGS=TRUE&amp;VAR:ID1=42709310&amp;VAR:RCODE=ATOT&amp;VAR:SDATE=20081299&amp;VAR:FREQ=DAILY&amp;VAR:RELITEM=&amp;VAR:CURRENCY=&amp;VAR:CURRSOURCE=EXSHARE&amp;","VAR:NATFREQ=QUARTERLY&amp;VAR:RFIELD=FINALIZED&amp;VAR:DB_TYPE=&amp;VAR:UNITS=M&amp;window=popup&amp;width=450&amp;height=300&amp;START_MAXIMIZED=FALSE"}</definedName>
    <definedName name="_2193__FDSAUDITLINK__" hidden="1">{"fdsup://IBCentral/FAT Viewer?action=UPDATE&amp;creator=factset&amp;DOC_NAME=fat:reuters_qtrly_source_window.fat&amp;display_string=Audit&amp;DYN_ARGS=TRUE&amp;VAR:ID1=42224N10&amp;VAR:RCODE=LTLL&amp;VAR:SDATE=20081299&amp;VAR:FREQ=DAILY&amp;VAR:RELITEM=&amp;VAR:CURRENCY=&amp;VAR:CURRSOURCE=EXSHARE&amp;","VAR:NATFREQ=QUARTERLY&amp;VAR:RFIELD=FINALIZED&amp;VAR:DB_TYPE=&amp;VAR:UNITS=M&amp;window=popup&amp;width=450&amp;height=300&amp;START_MAXIMIZED=FALSE"}</definedName>
    <definedName name="_2194__FDSAUDITLINK__" hidden="1">{"fdsup://IBCentral/FAT Viewer?action=UPDATE&amp;creator=factset&amp;DOC_NAME=fat:reuters_qtrly_source_window.fat&amp;display_string=Audit&amp;DYN_ARGS=TRUE&amp;VAR:ID1=42224N10&amp;VAR:RCODE=LTCL&amp;VAR:SDATE=20081299&amp;VAR:FREQ=DAILY&amp;VAR:RELITEM=&amp;VAR:CURRENCY=&amp;VAR:CURRSOURCE=EXSHARE&amp;","VAR:NATFREQ=QUARTERLY&amp;VAR:RFIELD=FINALIZED&amp;VAR:DB_TYPE=&amp;VAR:UNITS=M&amp;window=popup&amp;width=450&amp;height=300&amp;START_MAXIMIZED=FALSE"}</definedName>
    <definedName name="_2195__FDSAUDITLINK__" hidden="1">{"fdsup://IBCentral/FAT Viewer?action=UPDATE&amp;creator=factset&amp;DOC_NAME=fat:reuters_qtrly_source_window.fat&amp;display_string=Audit&amp;DYN_ARGS=TRUE&amp;VAR:ID1=42224N10&amp;VAR:RCODE=ATCA&amp;VAR:SDATE=20081299&amp;VAR:FREQ=DAILY&amp;VAR:RELITEM=&amp;VAR:CURRENCY=&amp;VAR:CURRSOURCE=EXSHARE&amp;","VAR:NATFREQ=QUARTERLY&amp;VAR:RFIELD=FINALIZED&amp;VAR:DB_TYPE=&amp;VAR:UNITS=M&amp;window=popup&amp;width=450&amp;height=300&amp;START_MAXIMIZED=FALSE"}</definedName>
    <definedName name="_2196__FDSAUDITLINK__" hidden="1">{"fdsup://IBCentral/FAT Viewer?action=UPDATE&amp;creator=factset&amp;DOC_NAME=fat:reuters_qtrly_source_window.fat&amp;display_string=Audit&amp;DYN_ARGS=TRUE&amp;VAR:ID1=42224N10&amp;VAR:RCODE=ATOT&amp;VAR:SDATE=20081299&amp;VAR:FREQ=DAILY&amp;VAR:RELITEM=&amp;VAR:CURRENCY=&amp;VAR:CURRSOURCE=EXSHARE&amp;","VAR:NATFREQ=QUARTERLY&amp;VAR:RFIELD=FINALIZED&amp;VAR:DB_TYPE=&amp;VAR:UNITS=M&amp;window=popup&amp;width=450&amp;height=300&amp;START_MAXIMIZED=FALSE"}</definedName>
    <definedName name="_2197__FDSAUDITLINK__" hidden="1">{"fdsup://IBCentral/FAT Viewer?action=UPDATE&amp;creator=factset&amp;DOC_NAME=fat:reuters_qtrly_source_window.fat&amp;display_string=Audit&amp;DYN_ARGS=TRUE&amp;VAR:ID1=40262910&amp;VAR:RCODE=LTLL&amp;VAR:SDATE=20081299&amp;VAR:FREQ=DAILY&amp;VAR:RELITEM=&amp;VAR:CURRENCY=&amp;VAR:CURRSOURCE=EXSHARE&amp;","VAR:NATFREQ=QUARTERLY&amp;VAR:RFIELD=FINALIZED&amp;VAR:DB_TYPE=&amp;VAR:UNITS=M&amp;window=popup&amp;width=450&amp;height=300&amp;START_MAXIMIZED=FALSE"}</definedName>
    <definedName name="_2198__FDSAUDITLINK__" hidden="1">{"fdsup://IBCentral/FAT Viewer?action=UPDATE&amp;creator=factset&amp;DOC_NAME=fat:reuters_qtrly_source_window.fat&amp;display_string=Audit&amp;DYN_ARGS=TRUE&amp;VAR:ID1=40262910&amp;VAR:RCODE=LTCL&amp;VAR:SDATE=20081299&amp;VAR:FREQ=DAILY&amp;VAR:RELITEM=&amp;VAR:CURRENCY=&amp;VAR:CURRSOURCE=EXSHARE&amp;","VAR:NATFREQ=QUARTERLY&amp;VAR:RFIELD=FINALIZED&amp;VAR:DB_TYPE=&amp;VAR:UNITS=M&amp;window=popup&amp;width=450&amp;height=300&amp;START_MAXIMIZED=FALSE"}</definedName>
    <definedName name="_2199__FDSAUDITLINK__" hidden="1">{"fdsup://IBCentral/FAT Viewer?action=UPDATE&amp;creator=factset&amp;DOC_NAME=fat:reuters_qtrly_source_window.fat&amp;display_string=Audit&amp;DYN_ARGS=TRUE&amp;VAR:ID1=40262910&amp;VAR:RCODE=ATCA&amp;VAR:SDATE=20081299&amp;VAR:FREQ=DAILY&amp;VAR:RELITEM=&amp;VAR:CURRENCY=&amp;VAR:CURRSOURCE=EXSHARE&amp;","VAR:NATFREQ=QUARTERLY&amp;VAR:RFIELD=FINALIZED&amp;VAR:DB_TYPE=&amp;VAR:UNITS=M&amp;window=popup&amp;width=450&amp;height=300&amp;START_MAXIMIZED=FALSE"}</definedName>
    <definedName name="_22__FDSAUDITLINK__" hidden="1">{"fdsup://Directions/FactSet Auditing Viewer?action=AUDIT_VALUE&amp;DB=129&amp;ID1=01265310&amp;VALUEID=02999&amp;SDATE=201001&amp;PERIODTYPE=QTR_STD&amp;window=popup_no_bar&amp;width=385&amp;height=120&amp;START_MAXIMIZED=FALSE&amp;creator=factset&amp;display_string=Audit"}</definedName>
    <definedName name="_220__FDSAUDITLINK__" hidden="1">{"fdsup://Directions/FactSet Auditing Viewer?action=AUDIT_VALUE&amp;DB=129&amp;ID1=29442910&amp;VALUEID=02999&amp;SDATE=201001&amp;PERIODTYPE=QTR_STD&amp;window=popup_no_bar&amp;width=385&amp;height=120&amp;START_MAXIMIZED=FALSE&amp;creator=factset&amp;display_string=Audit"}</definedName>
    <definedName name="_2200__FDSAUDITLINK__" hidden="1">{"fdsup://IBCentral/FAT Viewer?action=UPDATE&amp;creator=factset&amp;DOC_NAME=fat:reuters_qtrly_source_window.fat&amp;display_string=Audit&amp;DYN_ARGS=TRUE&amp;VAR:ID1=40262910&amp;VAR:RCODE=ATOT&amp;VAR:SDATE=20081299&amp;VAR:FREQ=DAILY&amp;VAR:RELITEM=&amp;VAR:CURRENCY=&amp;VAR:CURRSOURCE=EXSHARE&amp;","VAR:NATFREQ=QUARTERLY&amp;VAR:RFIELD=FINALIZED&amp;VAR:DB_TYPE=&amp;VAR:UNITS=M&amp;window=popup&amp;width=450&amp;height=300&amp;START_MAXIMIZED=FALSE"}</definedName>
    <definedName name="_2201__FDSAUDITLINK__" hidden="1">{"fdsup://IBCentral/FAT Viewer?action=UPDATE&amp;creator=factset&amp;DOC_NAME=fat:reuters_qtrly_source_window.fat&amp;display_string=Audit&amp;DYN_ARGS=TRUE&amp;VAR:ID1=39890510&amp;VAR:RCODE=LTLL&amp;VAR:SDATE=20081299&amp;VAR:FREQ=DAILY&amp;VAR:RELITEM=&amp;VAR:CURRENCY=&amp;VAR:CURRSOURCE=EXSHARE&amp;","VAR:NATFREQ=QUARTERLY&amp;VAR:RFIELD=FINALIZED&amp;VAR:DB_TYPE=&amp;VAR:UNITS=M&amp;window=popup&amp;width=450&amp;height=300&amp;START_MAXIMIZED=FALSE"}</definedName>
    <definedName name="_2202__FDSAUDITLINK__" hidden="1">{"fdsup://IBCentral/FAT Viewer?action=UPDATE&amp;creator=factset&amp;DOC_NAME=fat:reuters_qtrly_source_window.fat&amp;display_string=Audit&amp;DYN_ARGS=TRUE&amp;VAR:ID1=39890510&amp;VAR:RCODE=LTCL&amp;VAR:SDATE=20081299&amp;VAR:FREQ=DAILY&amp;VAR:RELITEM=&amp;VAR:CURRENCY=&amp;VAR:CURRSOURCE=EXSHARE&amp;","VAR:NATFREQ=QUARTERLY&amp;VAR:RFIELD=FINALIZED&amp;VAR:DB_TYPE=&amp;VAR:UNITS=M&amp;window=popup&amp;width=450&amp;height=300&amp;START_MAXIMIZED=FALSE"}</definedName>
    <definedName name="_2203__FDSAUDITLINK__" hidden="1">{"fdsup://IBCentral/FAT Viewer?action=UPDATE&amp;creator=factset&amp;DOC_NAME=fat:reuters_qtrly_source_window.fat&amp;display_string=Audit&amp;DYN_ARGS=TRUE&amp;VAR:ID1=39890510&amp;VAR:RCODE=ATCA&amp;VAR:SDATE=20081299&amp;VAR:FREQ=DAILY&amp;VAR:RELITEM=&amp;VAR:CURRENCY=&amp;VAR:CURRSOURCE=EXSHARE&amp;","VAR:NATFREQ=QUARTERLY&amp;VAR:RFIELD=FINALIZED&amp;VAR:DB_TYPE=&amp;VAR:UNITS=M&amp;window=popup&amp;width=450&amp;height=300&amp;START_MAXIMIZED=FALSE"}</definedName>
    <definedName name="_2204__FDSAUDITLINK__" hidden="1">{"fdsup://IBCentral/FAT Viewer?action=UPDATE&amp;creator=factset&amp;DOC_NAME=fat:reuters_qtrly_source_window.fat&amp;display_string=Audit&amp;DYN_ARGS=TRUE&amp;VAR:ID1=39890510&amp;VAR:RCODE=ATOT&amp;VAR:SDATE=20081299&amp;VAR:FREQ=DAILY&amp;VAR:RELITEM=&amp;VAR:CURRENCY=&amp;VAR:CURRSOURCE=EXSHARE&amp;","VAR:NATFREQ=QUARTERLY&amp;VAR:RFIELD=FINALIZED&amp;VAR:DB_TYPE=&amp;VAR:UNITS=M&amp;window=popup&amp;width=450&amp;height=300&amp;START_MAXIMIZED=FALSE"}</definedName>
    <definedName name="_2205__FDSAUDITLINK__" hidden="1">{"fdsup://IBCentral/FAT Viewer?action=UPDATE&amp;creator=factset&amp;DOC_NAME=fat:reuters_qtrly_source_window.fat&amp;display_string=Audit&amp;DYN_ARGS=TRUE&amp;VAR:ID1=38255010&amp;VAR:RCODE=LTLL&amp;VAR:SDATE=20081299&amp;VAR:FREQ=DAILY&amp;VAR:RELITEM=&amp;VAR:CURRENCY=&amp;VAR:CURRSOURCE=EXSHARE&amp;","VAR:NATFREQ=QUARTERLY&amp;VAR:RFIELD=FINALIZED&amp;VAR:DB_TYPE=&amp;VAR:UNITS=M&amp;window=popup&amp;width=450&amp;height=300&amp;START_MAXIMIZED=FALSE"}</definedName>
    <definedName name="_2206__FDSAUDITLINK__" hidden="1">{"fdsup://IBCentral/FAT Viewer?action=UPDATE&amp;creator=factset&amp;DOC_NAME=fat:reuters_qtrly_source_window.fat&amp;display_string=Audit&amp;DYN_ARGS=TRUE&amp;VAR:ID1=38255010&amp;VAR:RCODE=LTCL&amp;VAR:SDATE=20081299&amp;VAR:FREQ=DAILY&amp;VAR:RELITEM=&amp;VAR:CURRENCY=&amp;VAR:CURRSOURCE=EXSHARE&amp;","VAR:NATFREQ=QUARTERLY&amp;VAR:RFIELD=FINALIZED&amp;VAR:DB_TYPE=&amp;VAR:UNITS=M&amp;window=popup&amp;width=450&amp;height=300&amp;START_MAXIMIZED=FALSE"}</definedName>
    <definedName name="_2207__FDSAUDITLINK__" hidden="1">{"fdsup://IBCentral/FAT Viewer?action=UPDATE&amp;creator=factset&amp;DOC_NAME=fat:reuters_qtrly_source_window.fat&amp;display_string=Audit&amp;DYN_ARGS=TRUE&amp;VAR:ID1=38255010&amp;VAR:RCODE=ATCA&amp;VAR:SDATE=20081299&amp;VAR:FREQ=DAILY&amp;VAR:RELITEM=&amp;VAR:CURRENCY=&amp;VAR:CURRSOURCE=EXSHARE&amp;","VAR:NATFREQ=QUARTERLY&amp;VAR:RFIELD=FINALIZED&amp;VAR:DB_TYPE=&amp;VAR:UNITS=M&amp;window=popup&amp;width=450&amp;height=300&amp;START_MAXIMIZED=FALSE"}</definedName>
    <definedName name="_2208__FDSAUDITLINK__" hidden="1">{"fdsup://IBCentral/FAT Viewer?action=UPDATE&amp;creator=factset&amp;DOC_NAME=fat:reuters_qtrly_source_window.fat&amp;display_string=Audit&amp;DYN_ARGS=TRUE&amp;VAR:ID1=38255010&amp;VAR:RCODE=ATOT&amp;VAR:SDATE=20081299&amp;VAR:FREQ=DAILY&amp;VAR:RELITEM=&amp;VAR:CURRENCY=&amp;VAR:CURRSOURCE=EXSHARE&amp;","VAR:NATFREQ=QUARTERLY&amp;VAR:RFIELD=FINALIZED&amp;VAR:DB_TYPE=&amp;VAR:UNITS=M&amp;window=popup&amp;width=450&amp;height=300&amp;START_MAXIMIZED=FALSE"}</definedName>
    <definedName name="_2209__FDSAUDITLINK__" hidden="1">{"fdsup://IBCentral/FAT Viewer?action=UPDATE&amp;creator=factset&amp;DOC_NAME=fat:reuters_qtrly_source_window.fat&amp;display_string=Audit&amp;DYN_ARGS=TRUE&amp;VAR:ID1=37468910&amp;VAR:RCODE=LTLL&amp;VAR:SDATE=20081299&amp;VAR:FREQ=DAILY&amp;VAR:RELITEM=&amp;VAR:CURRENCY=&amp;VAR:CURRSOURCE=EXSHARE&amp;","VAR:NATFREQ=QUARTERLY&amp;VAR:RFIELD=FINALIZED&amp;VAR:DB_TYPE=&amp;VAR:UNITS=M&amp;window=popup&amp;width=450&amp;height=300&amp;START_MAXIMIZED=FALSE"}</definedName>
    <definedName name="_221__FDSAUDITLINK__" hidden="1">{"fdsup://Directions/FactSet Auditing Viewer?action=AUDIT_VALUE&amp;DB=129&amp;ID1=29444U50&amp;VALUEID=02999&amp;SDATE=201001&amp;PERIODTYPE=QTR_STD&amp;window=popup_no_bar&amp;width=385&amp;height=120&amp;START_MAXIMIZED=FALSE&amp;creator=factset&amp;display_string=Audit"}</definedName>
    <definedName name="_2210__FDSAUDITLINK__" hidden="1">{"fdsup://IBCentral/FAT Viewer?action=UPDATE&amp;creator=factset&amp;DOC_NAME=fat:reuters_qtrly_source_window.fat&amp;display_string=Audit&amp;DYN_ARGS=TRUE&amp;VAR:ID1=37468910&amp;VAR:RCODE=LTCL&amp;VAR:SDATE=20081299&amp;VAR:FREQ=DAILY&amp;VAR:RELITEM=&amp;VAR:CURRENCY=&amp;VAR:CURRSOURCE=EXSHARE&amp;","VAR:NATFREQ=QUARTERLY&amp;VAR:RFIELD=FINALIZED&amp;VAR:DB_TYPE=&amp;VAR:UNITS=M&amp;window=popup&amp;width=450&amp;height=300&amp;START_MAXIMIZED=FALSE"}</definedName>
    <definedName name="_2211__FDSAUDITLINK__" hidden="1">{"fdsup://IBCentral/FAT Viewer?action=UPDATE&amp;creator=factset&amp;DOC_NAME=fat:reuters_qtrly_source_window.fat&amp;display_string=Audit&amp;DYN_ARGS=TRUE&amp;VAR:ID1=37468910&amp;VAR:RCODE=ATCA&amp;VAR:SDATE=20081299&amp;VAR:FREQ=DAILY&amp;VAR:RELITEM=&amp;VAR:CURRENCY=&amp;VAR:CURRSOURCE=EXSHARE&amp;","VAR:NATFREQ=QUARTERLY&amp;VAR:RFIELD=FINALIZED&amp;VAR:DB_TYPE=&amp;VAR:UNITS=M&amp;window=popup&amp;width=450&amp;height=300&amp;START_MAXIMIZED=FALSE"}</definedName>
    <definedName name="_2212__FDSAUDITLINK__" hidden="1">{"fdsup://IBCentral/FAT Viewer?action=UPDATE&amp;creator=factset&amp;DOC_NAME=fat:reuters_qtrly_source_window.fat&amp;display_string=Audit&amp;DYN_ARGS=TRUE&amp;VAR:ID1=37468910&amp;VAR:RCODE=ATOT&amp;VAR:SDATE=20081299&amp;VAR:FREQ=DAILY&amp;VAR:RELITEM=&amp;VAR:CURRENCY=&amp;VAR:CURRSOURCE=EXSHARE&amp;","VAR:NATFREQ=QUARTERLY&amp;VAR:RFIELD=FINALIZED&amp;VAR:DB_TYPE=&amp;VAR:UNITS=M&amp;window=popup&amp;width=450&amp;height=300&amp;START_MAXIMIZED=FALSE"}</definedName>
    <definedName name="_2213__FDSAUDITLINK__" hidden="1">{"fdsup://IBCentral/FAT Viewer?action=UPDATE&amp;creator=factset&amp;DOC_NAME=fat:reuters_qtrly_source_window.fat&amp;display_string=Audit&amp;DYN_ARGS=TRUE&amp;VAR:ID1=36159R10&amp;VAR:RCODE=LTLL&amp;VAR:SDATE=20081299&amp;VAR:FREQ=DAILY&amp;VAR:RELITEM=&amp;VAR:CURRENCY=&amp;VAR:CURRSOURCE=EXSHARE&amp;","VAR:NATFREQ=QUARTERLY&amp;VAR:RFIELD=FINALIZED&amp;VAR:DB_TYPE=&amp;VAR:UNITS=M&amp;window=popup&amp;width=450&amp;height=300&amp;START_MAXIMIZED=FALSE"}</definedName>
    <definedName name="_2214__FDSAUDITLINK__" hidden="1">{"fdsup://IBCentral/FAT Viewer?action=UPDATE&amp;creator=factset&amp;DOC_NAME=fat:reuters_qtrly_source_window.fat&amp;display_string=Audit&amp;DYN_ARGS=TRUE&amp;VAR:ID1=36159R10&amp;VAR:RCODE=LTCL&amp;VAR:SDATE=20081299&amp;VAR:FREQ=DAILY&amp;VAR:RELITEM=&amp;VAR:CURRENCY=&amp;VAR:CURRSOURCE=EXSHARE&amp;","VAR:NATFREQ=QUARTERLY&amp;VAR:RFIELD=FINALIZED&amp;VAR:DB_TYPE=&amp;VAR:UNITS=M&amp;window=popup&amp;width=450&amp;height=300&amp;START_MAXIMIZED=FALSE"}</definedName>
    <definedName name="_2215__FDSAUDITLINK__" hidden="1">{"fdsup://IBCentral/FAT Viewer?action=UPDATE&amp;creator=factset&amp;DOC_NAME=fat:reuters_qtrly_source_window.fat&amp;display_string=Audit&amp;DYN_ARGS=TRUE&amp;VAR:ID1=36159R10&amp;VAR:RCODE=ATCA&amp;VAR:SDATE=20081299&amp;VAR:FREQ=DAILY&amp;VAR:RELITEM=&amp;VAR:CURRENCY=&amp;VAR:CURRSOURCE=EXSHARE&amp;","VAR:NATFREQ=QUARTERLY&amp;VAR:RFIELD=FINALIZED&amp;VAR:DB_TYPE=&amp;VAR:UNITS=M&amp;window=popup&amp;width=450&amp;height=300&amp;START_MAXIMIZED=FALSE"}</definedName>
    <definedName name="_2216__FDSAUDITLINK__" hidden="1">{"fdsup://IBCentral/FAT Viewer?action=UPDATE&amp;creator=factset&amp;DOC_NAME=fat:reuters_qtrly_source_window.fat&amp;display_string=Audit&amp;DYN_ARGS=TRUE&amp;VAR:ID1=36159R10&amp;VAR:RCODE=ATOT&amp;VAR:SDATE=20081299&amp;VAR:FREQ=DAILY&amp;VAR:RELITEM=&amp;VAR:CURRENCY=&amp;VAR:CURRSOURCE=EXSHARE&amp;","VAR:NATFREQ=QUARTERLY&amp;VAR:RFIELD=FINALIZED&amp;VAR:DB_TYPE=&amp;VAR:UNITS=M&amp;window=popup&amp;width=450&amp;height=300&amp;START_MAXIMIZED=FALSE"}</definedName>
    <definedName name="_2217__FDSAUDITLINK__" hidden="1">{"fdsup://IBCentral/FAT Viewer?action=UPDATE&amp;creator=factset&amp;DOC_NAME=fat:reuters_qtrly_source_window.fat&amp;display_string=Audit&amp;DYN_ARGS=TRUE&amp;VAR:ID1=37247A10&amp;VAR:RCODE=LTLL&amp;VAR:SDATE=20081299&amp;VAR:FREQ=DAILY&amp;VAR:RELITEM=&amp;VAR:CURRENCY=&amp;VAR:CURRSOURCE=EXSHARE&amp;","VAR:NATFREQ=QUARTERLY&amp;VAR:RFIELD=FINALIZED&amp;VAR:DB_TYPE=&amp;VAR:UNITS=M&amp;window=popup&amp;width=450&amp;height=300&amp;START_MAXIMIZED=FALSE"}</definedName>
    <definedName name="_2218__FDSAUDITLINK__" hidden="1">{"fdsup://IBCentral/FAT Viewer?action=UPDATE&amp;creator=factset&amp;DOC_NAME=fat:reuters_qtrly_source_window.fat&amp;display_string=Audit&amp;DYN_ARGS=TRUE&amp;VAR:ID1=37247A10&amp;VAR:RCODE=LTCL&amp;VAR:SDATE=20081299&amp;VAR:FREQ=DAILY&amp;VAR:RELITEM=&amp;VAR:CURRENCY=&amp;VAR:CURRSOURCE=EXSHARE&amp;","VAR:NATFREQ=QUARTERLY&amp;VAR:RFIELD=FINALIZED&amp;VAR:DB_TYPE=&amp;VAR:UNITS=M&amp;window=popup&amp;width=450&amp;height=300&amp;START_MAXIMIZED=FALSE"}</definedName>
    <definedName name="_2219__FDSAUDITLINK__" hidden="1">{"fdsup://IBCentral/FAT Viewer?action=UPDATE&amp;creator=factset&amp;DOC_NAME=fat:reuters_qtrly_source_window.fat&amp;display_string=Audit&amp;DYN_ARGS=TRUE&amp;VAR:ID1=37247A10&amp;VAR:RCODE=ATCA&amp;VAR:SDATE=20081299&amp;VAR:FREQ=DAILY&amp;VAR:RELITEM=&amp;VAR:CURRENCY=&amp;VAR:CURRSOURCE=EXSHARE&amp;","VAR:NATFREQ=QUARTERLY&amp;VAR:RFIELD=FINALIZED&amp;VAR:DB_TYPE=&amp;VAR:UNITS=M&amp;window=popup&amp;width=450&amp;height=300&amp;START_MAXIMIZED=FALSE"}</definedName>
    <definedName name="_222__FDSAUDITLINK__" hidden="1">{"fdsup://Directions/FactSet Auditing Viewer?action=AUDIT_VALUE&amp;DB=129&amp;ID1=51843910&amp;VALUEID=02999&amp;SDATE=201003&amp;PERIODTYPE=QTR_STD&amp;window=popup_no_bar&amp;width=385&amp;height=120&amp;START_MAXIMIZED=FALSE&amp;creator=factset&amp;display_string=Audit"}</definedName>
    <definedName name="_2220__FDSAUDITLINK__" hidden="1">{"fdsup://IBCentral/FAT Viewer?action=UPDATE&amp;creator=factset&amp;DOC_NAME=fat:reuters_qtrly_source_window.fat&amp;display_string=Audit&amp;DYN_ARGS=TRUE&amp;VAR:ID1=37247A10&amp;VAR:RCODE=ATOT&amp;VAR:SDATE=20081299&amp;VAR:FREQ=DAILY&amp;VAR:RELITEM=&amp;VAR:CURRENCY=&amp;VAR:CURRSOURCE=EXSHARE&amp;","VAR:NATFREQ=QUARTERLY&amp;VAR:RFIELD=FINALIZED&amp;VAR:DB_TYPE=&amp;VAR:UNITS=M&amp;window=popup&amp;width=450&amp;height=300&amp;START_MAXIMIZED=FALSE"}</definedName>
    <definedName name="_2221__FDSAUDITLINK__" hidden="1">{"fdsup://IBCentral/FAT Viewer?action=UPDATE&amp;creator=factset&amp;DOC_NAME=fat:reuters_qtrly_source_window.fat&amp;display_string=Audit&amp;DYN_ARGS=TRUE&amp;VAR:ID1=36930010&amp;VAR:RCODE=LTLL&amp;VAR:SDATE=20081299&amp;VAR:FREQ=DAILY&amp;VAR:RELITEM=&amp;VAR:CURRENCY=&amp;VAR:CURRSOURCE=EXSHARE&amp;","VAR:NATFREQ=QUARTERLY&amp;VAR:RFIELD=FINALIZED&amp;VAR:DB_TYPE=&amp;VAR:UNITS=M&amp;window=popup&amp;width=450&amp;height=300&amp;START_MAXIMIZED=FALSE"}</definedName>
    <definedName name="_2222__FDSAUDITLINK__" hidden="1">{"fdsup://IBCentral/FAT Viewer?action=UPDATE&amp;creator=factset&amp;DOC_NAME=fat:reuters_qtrly_source_window.fat&amp;display_string=Audit&amp;DYN_ARGS=TRUE&amp;VAR:ID1=36930010&amp;VAR:RCODE=LTCL&amp;VAR:SDATE=20081299&amp;VAR:FREQ=DAILY&amp;VAR:RELITEM=&amp;VAR:CURRENCY=&amp;VAR:CURRSOURCE=EXSHARE&amp;","VAR:NATFREQ=QUARTERLY&amp;VAR:RFIELD=FINALIZED&amp;VAR:DB_TYPE=&amp;VAR:UNITS=M&amp;window=popup&amp;width=450&amp;height=300&amp;START_MAXIMIZED=FALSE"}</definedName>
    <definedName name="_2223__FDSAUDITLINK__" hidden="1">{"fdsup://IBCentral/FAT Viewer?action=UPDATE&amp;creator=factset&amp;DOC_NAME=fat:reuters_qtrly_source_window.fat&amp;display_string=Audit&amp;DYN_ARGS=TRUE&amp;VAR:ID1=36930010&amp;VAR:RCODE=ATCA&amp;VAR:SDATE=20081299&amp;VAR:FREQ=DAILY&amp;VAR:RELITEM=&amp;VAR:CURRENCY=&amp;VAR:CURRSOURCE=EXSHARE&amp;","VAR:NATFREQ=QUARTERLY&amp;VAR:RFIELD=FINALIZED&amp;VAR:DB_TYPE=&amp;VAR:UNITS=M&amp;window=popup&amp;width=450&amp;height=300&amp;START_MAXIMIZED=FALSE"}</definedName>
    <definedName name="_2224__FDSAUDITLINK__" hidden="1">{"fdsup://IBCentral/FAT Viewer?action=UPDATE&amp;creator=factset&amp;DOC_NAME=fat:reuters_qtrly_source_window.fat&amp;display_string=Audit&amp;DYN_ARGS=TRUE&amp;VAR:ID1=36930010&amp;VAR:RCODE=ATOT&amp;VAR:SDATE=20081299&amp;VAR:FREQ=DAILY&amp;VAR:RELITEM=&amp;VAR:CURRENCY=&amp;VAR:CURRSOURCE=EXSHARE&amp;","VAR:NATFREQ=QUARTERLY&amp;VAR:RFIELD=FINALIZED&amp;VAR:DB_TYPE=&amp;VAR:UNITS=M&amp;window=popup&amp;width=450&amp;height=300&amp;START_MAXIMIZED=FALSE"}</definedName>
    <definedName name="_2225__FDSAUDITLINK__" hidden="1">{"fdsup://IBCentral/FAT Viewer?action=UPDATE&amp;creator=factset&amp;DOC_NAME=fat:reuters_qtrly_source_window.fat&amp;display_string=Audit&amp;DYN_ARGS=TRUE&amp;VAR:ID1=34609170&amp;VAR:RCODE=LTLL&amp;VAR:SDATE=20081299&amp;VAR:FREQ=DAILY&amp;VAR:RELITEM=&amp;VAR:CURRENCY=&amp;VAR:CURRSOURCE=EXSHARE&amp;","VAR:NATFREQ=QUARTERLY&amp;VAR:RFIELD=FINALIZED&amp;VAR:DB_TYPE=&amp;VAR:UNITS=M&amp;window=popup&amp;width=450&amp;height=300&amp;START_MAXIMIZED=FALSE"}</definedName>
    <definedName name="_2226__FDSAUDITLINK__" hidden="1">{"fdsup://IBCentral/FAT Viewer?action=UPDATE&amp;creator=factset&amp;DOC_NAME=fat:reuters_qtrly_source_window.fat&amp;display_string=Audit&amp;DYN_ARGS=TRUE&amp;VAR:ID1=34609170&amp;VAR:RCODE=LTCL&amp;VAR:SDATE=20081299&amp;VAR:FREQ=DAILY&amp;VAR:RELITEM=&amp;VAR:CURRENCY=&amp;VAR:CURRSOURCE=EXSHARE&amp;","VAR:NATFREQ=QUARTERLY&amp;VAR:RFIELD=FINALIZED&amp;VAR:DB_TYPE=&amp;VAR:UNITS=M&amp;window=popup&amp;width=450&amp;height=300&amp;START_MAXIMIZED=FALSE"}</definedName>
    <definedName name="_2227__FDSAUDITLINK__" hidden="1">{"fdsup://IBCentral/FAT Viewer?action=UPDATE&amp;creator=factset&amp;DOC_NAME=fat:reuters_qtrly_source_window.fat&amp;display_string=Audit&amp;DYN_ARGS=TRUE&amp;VAR:ID1=34609170&amp;VAR:RCODE=ATCA&amp;VAR:SDATE=20081299&amp;VAR:FREQ=DAILY&amp;VAR:RELITEM=&amp;VAR:CURRENCY=&amp;VAR:CURRSOURCE=EXSHARE&amp;","VAR:NATFREQ=QUARTERLY&amp;VAR:RFIELD=FINALIZED&amp;VAR:DB_TYPE=&amp;VAR:UNITS=M&amp;window=popup&amp;width=450&amp;height=300&amp;START_MAXIMIZED=FALSE"}</definedName>
    <definedName name="_2228__FDSAUDITLINK__" hidden="1">{"fdsup://IBCentral/FAT Viewer?action=UPDATE&amp;creator=factset&amp;DOC_NAME=fat:reuters_qtrly_source_window.fat&amp;display_string=Audit&amp;DYN_ARGS=TRUE&amp;VAR:ID1=34609170&amp;VAR:RCODE=ATOT&amp;VAR:SDATE=20081299&amp;VAR:FREQ=DAILY&amp;VAR:RELITEM=&amp;VAR:CURRENCY=&amp;VAR:CURRSOURCE=EXSHARE&amp;","VAR:NATFREQ=QUARTERLY&amp;VAR:RFIELD=FINALIZED&amp;VAR:DB_TYPE=&amp;VAR:UNITS=M&amp;window=popup&amp;width=450&amp;height=300&amp;START_MAXIMIZED=FALSE"}</definedName>
    <definedName name="_2229__FDSAUDITLINK__" hidden="1">{"fdsup://IBCentral/FAT Viewer?action=UPDATE&amp;creator=factset&amp;DOC_NAME=fat:reuters_qtrly_source_window.fat&amp;display_string=Audit&amp;DYN_ARGS=TRUE&amp;VAR:ID1=34484910&amp;VAR:RCODE=LTLL&amp;VAR:SDATE=20081099&amp;VAR:FREQ=DAILY&amp;VAR:RELITEM=&amp;VAR:CURRENCY=&amp;VAR:CURRSOURCE=EXSHARE&amp;","VAR:NATFREQ=QUARTERLY&amp;VAR:RFIELD=FINALIZED&amp;VAR:DB_TYPE=&amp;VAR:UNITS=M&amp;window=popup&amp;width=450&amp;height=300&amp;START_MAXIMIZED=FALSE"}</definedName>
    <definedName name="_223__FDSAUDITLINK__" hidden="1">{"fdsup://Directions/FactSet Auditing Viewer?action=AUDIT_VALUE&amp;DB=129&amp;ID1=29742510&amp;VALUEID=02999&amp;SDATE=201002&amp;PERIODTYPE=QTR_STD&amp;window=popup_no_bar&amp;width=385&amp;height=120&amp;START_MAXIMIZED=FALSE&amp;creator=factset&amp;display_string=Audit"}</definedName>
    <definedName name="_2230__FDSAUDITLINK__" hidden="1">{"fdsup://IBCentral/FAT Viewer?action=UPDATE&amp;creator=factset&amp;DOC_NAME=fat:reuters_qtrly_source_window.fat&amp;display_string=Audit&amp;DYN_ARGS=TRUE&amp;VAR:ID1=34484910&amp;VAR:RCODE=LTCL&amp;VAR:SDATE=20081099&amp;VAR:FREQ=DAILY&amp;VAR:RELITEM=&amp;VAR:CURRENCY=&amp;VAR:CURRSOURCE=EXSHARE&amp;","VAR:NATFREQ=QUARTERLY&amp;VAR:RFIELD=FINALIZED&amp;VAR:DB_TYPE=&amp;VAR:UNITS=M&amp;window=popup&amp;width=450&amp;height=300&amp;START_MAXIMIZED=FALSE"}</definedName>
    <definedName name="_2231__FDSAUDITLINK__" hidden="1">{"fdsup://IBCentral/FAT Viewer?action=UPDATE&amp;creator=factset&amp;DOC_NAME=fat:reuters_qtrly_source_window.fat&amp;display_string=Audit&amp;DYN_ARGS=TRUE&amp;VAR:ID1=34484910&amp;VAR:RCODE=ATCA&amp;VAR:SDATE=20081099&amp;VAR:FREQ=DAILY&amp;VAR:RELITEM=&amp;VAR:CURRENCY=&amp;VAR:CURRSOURCE=EXSHARE&amp;","VAR:NATFREQ=QUARTERLY&amp;VAR:RFIELD=FINALIZED&amp;VAR:DB_TYPE=&amp;VAR:UNITS=M&amp;window=popup&amp;width=450&amp;height=300&amp;START_MAXIMIZED=FALSE"}</definedName>
    <definedName name="_2232__FDSAUDITLINK__" hidden="1">{"fdsup://IBCentral/FAT Viewer?action=UPDATE&amp;creator=factset&amp;DOC_NAME=fat:reuters_qtrly_source_window.fat&amp;display_string=Audit&amp;DYN_ARGS=TRUE&amp;VAR:ID1=34484910&amp;VAR:RCODE=ATOT&amp;VAR:SDATE=20081099&amp;VAR:FREQ=DAILY&amp;VAR:RELITEM=&amp;VAR:CURRENCY=&amp;VAR:CURRSOURCE=EXSHARE&amp;","VAR:NATFREQ=QUARTERLY&amp;VAR:RFIELD=FINALIZED&amp;VAR:DB_TYPE=&amp;VAR:UNITS=M&amp;window=popup&amp;width=450&amp;height=300&amp;START_MAXIMIZED=FALSE"}</definedName>
    <definedName name="_2233__FDSAUDITLINK__" hidden="1">{"fdsup://IBCentral/FAT Viewer?action=UPDATE&amp;creator=factset&amp;DOC_NAME=fat:reuters_qtrly_source_window.fat&amp;display_string=Audit&amp;DYN_ARGS=TRUE&amp;VAR:ID1=34354P10&amp;VAR:RCODE=LTLL&amp;VAR:SDATE=20081299&amp;VAR:FREQ=DAILY&amp;VAR:RELITEM=&amp;VAR:CURRENCY=&amp;VAR:CURRSOURCE=EXSHARE&amp;","VAR:NATFREQ=QUARTERLY&amp;VAR:RFIELD=FINALIZED&amp;VAR:DB_TYPE=&amp;VAR:UNITS=M&amp;window=popup&amp;width=450&amp;height=300&amp;START_MAXIMIZED=FALSE"}</definedName>
    <definedName name="_2234__FDSAUDITLINK__" hidden="1">{"fdsup://IBCentral/FAT Viewer?action=UPDATE&amp;creator=factset&amp;DOC_NAME=fat:reuters_qtrly_source_window.fat&amp;display_string=Audit&amp;DYN_ARGS=TRUE&amp;VAR:ID1=34354P10&amp;VAR:RCODE=LTCL&amp;VAR:SDATE=20081299&amp;VAR:FREQ=DAILY&amp;VAR:RELITEM=&amp;VAR:CURRENCY=&amp;VAR:CURRSOURCE=EXSHARE&amp;","VAR:NATFREQ=QUARTERLY&amp;VAR:RFIELD=FINALIZED&amp;VAR:DB_TYPE=&amp;VAR:UNITS=M&amp;window=popup&amp;width=450&amp;height=300&amp;START_MAXIMIZED=FALSE"}</definedName>
    <definedName name="_2235__FDSAUDITLINK__" hidden="1">{"fdsup://IBCentral/FAT Viewer?action=UPDATE&amp;creator=factset&amp;DOC_NAME=fat:reuters_qtrly_source_window.fat&amp;display_string=Audit&amp;DYN_ARGS=TRUE&amp;VAR:ID1=34354P10&amp;VAR:RCODE=ATCA&amp;VAR:SDATE=20081299&amp;VAR:FREQ=DAILY&amp;VAR:RELITEM=&amp;VAR:CURRENCY=&amp;VAR:CURRSOURCE=EXSHARE&amp;","VAR:NATFREQ=QUARTERLY&amp;VAR:RFIELD=FINALIZED&amp;VAR:DB_TYPE=&amp;VAR:UNITS=M&amp;window=popup&amp;width=450&amp;height=300&amp;START_MAXIMIZED=FALSE"}</definedName>
    <definedName name="_2236__FDSAUDITLINK__" hidden="1">{"fdsup://IBCentral/FAT Viewer?action=UPDATE&amp;creator=factset&amp;DOC_NAME=fat:reuters_qtrly_source_window.fat&amp;display_string=Audit&amp;DYN_ARGS=TRUE&amp;VAR:ID1=34354P10&amp;VAR:RCODE=ATOT&amp;VAR:SDATE=20081299&amp;VAR:FREQ=DAILY&amp;VAR:RELITEM=&amp;VAR:CURRENCY=&amp;VAR:CURRSOURCE=EXSHARE&amp;","VAR:NATFREQ=QUARTERLY&amp;VAR:RFIELD=FINALIZED&amp;VAR:DB_TYPE=&amp;VAR:UNITS=M&amp;window=popup&amp;width=450&amp;height=300&amp;START_MAXIMIZED=FALSE"}</definedName>
    <definedName name="_2237__FDSAUDITLINK__" hidden="1">{"fdsup://IBCentral/FAT Viewer?action=UPDATE&amp;creator=factset&amp;DOC_NAME=fat:reuters_qtrly_source_window.fat&amp;display_string=Audit&amp;DYN_ARGS=TRUE&amp;VAR:ID1=31354940&amp;VAR:RCODE=LTLL&amp;VAR:SDATE=20081299&amp;VAR:FREQ=DAILY&amp;VAR:RELITEM=&amp;VAR:CURRENCY=&amp;VAR:CURRSOURCE=EXSHARE&amp;","VAR:NATFREQ=QUARTERLY&amp;VAR:RFIELD=FINALIZED&amp;VAR:DB_TYPE=&amp;VAR:UNITS=M&amp;window=popup&amp;width=450&amp;height=300&amp;START_MAXIMIZED=FALSE"}</definedName>
    <definedName name="_2238__FDSAUDITLINK__" hidden="1">{"fdsup://IBCentral/FAT Viewer?action=UPDATE&amp;creator=factset&amp;DOC_NAME=fat:reuters_qtrly_source_window.fat&amp;display_string=Audit&amp;DYN_ARGS=TRUE&amp;VAR:ID1=31354940&amp;VAR:RCODE=LTCL&amp;VAR:SDATE=20081299&amp;VAR:FREQ=DAILY&amp;VAR:RELITEM=&amp;VAR:CURRENCY=&amp;VAR:CURRSOURCE=EXSHARE&amp;","VAR:NATFREQ=QUARTERLY&amp;VAR:RFIELD=FINALIZED&amp;VAR:DB_TYPE=&amp;VAR:UNITS=M&amp;window=popup&amp;width=450&amp;height=300&amp;START_MAXIMIZED=FALSE"}</definedName>
    <definedName name="_2239__FDSAUDITLINK__" hidden="1">{"fdsup://IBCentral/FAT Viewer?action=UPDATE&amp;creator=factset&amp;DOC_NAME=fat:reuters_qtrly_source_window.fat&amp;display_string=Audit&amp;DYN_ARGS=TRUE&amp;VAR:ID1=31354940&amp;VAR:RCODE=ATCA&amp;VAR:SDATE=20081299&amp;VAR:FREQ=DAILY&amp;VAR:RELITEM=&amp;VAR:CURRENCY=&amp;VAR:CURRSOURCE=EXSHARE&amp;","VAR:NATFREQ=QUARTERLY&amp;VAR:RFIELD=FINALIZED&amp;VAR:DB_TYPE=&amp;VAR:UNITS=M&amp;window=popup&amp;width=450&amp;height=300&amp;START_MAXIMIZED=FALSE"}</definedName>
    <definedName name="_224__FDSAUDITLINK__" hidden="1">{"fdsup://Directions/FactSet Auditing Viewer?action=AUDIT_VALUE&amp;DB=129&amp;ID1=29760210&amp;VALUEID=02999&amp;SDATE=201003&amp;PERIODTYPE=QTR_STD&amp;window=popup_no_bar&amp;width=385&amp;height=120&amp;START_MAXIMIZED=FALSE&amp;creator=factset&amp;display_string=Audit"}</definedName>
    <definedName name="_2240__FDSAUDITLINK__" hidden="1">{"fdsup://IBCentral/FAT Viewer?action=UPDATE&amp;creator=factset&amp;DOC_NAME=fat:reuters_qtrly_source_window.fat&amp;display_string=Audit&amp;DYN_ARGS=TRUE&amp;VAR:ID1=31354940&amp;VAR:RCODE=ATOT&amp;VAR:SDATE=20081299&amp;VAR:FREQ=DAILY&amp;VAR:RELITEM=&amp;VAR:CURRENCY=&amp;VAR:CURRSOURCE=EXSHARE&amp;","VAR:NATFREQ=QUARTERLY&amp;VAR:RFIELD=FINALIZED&amp;VAR:DB_TYPE=&amp;VAR:UNITS=M&amp;window=popup&amp;width=450&amp;height=300&amp;START_MAXIMIZED=FALSE"}</definedName>
    <definedName name="_2241__FDSAUDITLINK__" hidden="1">{"fdsup://IBCentral/FAT Viewer?action=UPDATE&amp;creator=factset&amp;DOC_NAME=fat:reuters_qtrly_source_window.fat&amp;display_string=Audit&amp;DYN_ARGS=TRUE&amp;VAR:ID1=30372610&amp;VAR:RCODE=LTLL&amp;VAR:SDATE=20081299&amp;VAR:FREQ=DAILY&amp;VAR:RELITEM=&amp;VAR:CURRENCY=&amp;VAR:CURRSOURCE=EXSHARE&amp;","VAR:NATFREQ=QUARTERLY&amp;VAR:RFIELD=FINALIZED&amp;VAR:DB_TYPE=&amp;VAR:UNITS=M&amp;window=popup&amp;width=450&amp;height=300&amp;START_MAXIMIZED=FALSE"}</definedName>
    <definedName name="_2242__FDSAUDITLINK__" hidden="1">{"fdsup://IBCentral/FAT Viewer?action=UPDATE&amp;creator=factset&amp;DOC_NAME=fat:reuters_qtrly_source_window.fat&amp;display_string=Audit&amp;DYN_ARGS=TRUE&amp;VAR:ID1=30372610&amp;VAR:RCODE=LTCL&amp;VAR:SDATE=20081299&amp;VAR:FREQ=DAILY&amp;VAR:RELITEM=&amp;VAR:CURRENCY=&amp;VAR:CURRSOURCE=EXSHARE&amp;","VAR:NATFREQ=QUARTERLY&amp;VAR:RFIELD=FINALIZED&amp;VAR:DB_TYPE=&amp;VAR:UNITS=M&amp;window=popup&amp;width=450&amp;height=300&amp;START_MAXIMIZED=FALSE"}</definedName>
    <definedName name="_2243__FDSAUDITLINK__" hidden="1">{"fdsup://IBCentral/FAT Viewer?action=UPDATE&amp;creator=factset&amp;DOC_NAME=fat:reuters_qtrly_source_window.fat&amp;display_string=Audit&amp;DYN_ARGS=TRUE&amp;VAR:ID1=30372610&amp;VAR:RCODE=ATCA&amp;VAR:SDATE=20081299&amp;VAR:FREQ=DAILY&amp;VAR:RELITEM=&amp;VAR:CURRENCY=&amp;VAR:CURRSOURCE=EXSHARE&amp;","VAR:NATFREQ=QUARTERLY&amp;VAR:RFIELD=FINALIZED&amp;VAR:DB_TYPE=&amp;VAR:UNITS=M&amp;window=popup&amp;width=450&amp;height=300&amp;START_MAXIMIZED=FALSE"}</definedName>
    <definedName name="_2244__FDSAUDITLINK__" hidden="1">{"fdsup://IBCentral/FAT Viewer?action=UPDATE&amp;creator=factset&amp;DOC_NAME=fat:reuters_qtrly_source_window.fat&amp;display_string=Audit&amp;DYN_ARGS=TRUE&amp;VAR:ID1=30372610&amp;VAR:RCODE=ATOT&amp;VAR:SDATE=20081299&amp;VAR:FREQ=DAILY&amp;VAR:RELITEM=&amp;VAR:CURRENCY=&amp;VAR:CURRSOURCE=EXSHARE&amp;","VAR:NATFREQ=QUARTERLY&amp;VAR:RFIELD=FINALIZED&amp;VAR:DB_TYPE=&amp;VAR:UNITS=M&amp;window=popup&amp;width=450&amp;height=300&amp;START_MAXIMIZED=FALSE"}</definedName>
    <definedName name="_2245__FDSAUDITLINK__" hidden="1">{"fdsup://IBCentral/FAT Viewer?action=UPDATE&amp;creator=factset&amp;DOC_NAME=fat:reuters_qtrly_source_window.fat&amp;display_string=Audit&amp;DYN_ARGS=TRUE&amp;VAR:ID1=29382R10&amp;VAR:RCODE=LTLL&amp;VAR:SDATE=20081299&amp;VAR:FREQ=DAILY&amp;VAR:RELITEM=&amp;VAR:CURRENCY=&amp;VAR:CURRSOURCE=EXSHARE&amp;","VAR:NATFREQ=QUARTERLY&amp;VAR:RFIELD=FINALIZED&amp;VAR:DB_TYPE=&amp;VAR:UNITS=M&amp;window=popup&amp;width=450&amp;height=300&amp;START_MAXIMIZED=FALSE"}</definedName>
    <definedName name="_2246__FDSAUDITLINK__" hidden="1">{"fdsup://IBCentral/FAT Viewer?action=UPDATE&amp;creator=factset&amp;DOC_NAME=fat:reuters_qtrly_source_window.fat&amp;display_string=Audit&amp;DYN_ARGS=TRUE&amp;VAR:ID1=29382R10&amp;VAR:RCODE=LTCL&amp;VAR:SDATE=20081299&amp;VAR:FREQ=DAILY&amp;VAR:RELITEM=&amp;VAR:CURRENCY=&amp;VAR:CURRSOURCE=EXSHARE&amp;","VAR:NATFREQ=QUARTERLY&amp;VAR:RFIELD=FINALIZED&amp;VAR:DB_TYPE=&amp;VAR:UNITS=M&amp;window=popup&amp;width=450&amp;height=300&amp;START_MAXIMIZED=FALSE"}</definedName>
    <definedName name="_2247__FDSAUDITLINK__" hidden="1">{"fdsup://IBCentral/FAT Viewer?action=UPDATE&amp;creator=factset&amp;DOC_NAME=fat:reuters_qtrly_source_window.fat&amp;display_string=Audit&amp;DYN_ARGS=TRUE&amp;VAR:ID1=29382R10&amp;VAR:RCODE=ATCA&amp;VAR:SDATE=20081299&amp;VAR:FREQ=DAILY&amp;VAR:RELITEM=&amp;VAR:CURRENCY=&amp;VAR:CURRSOURCE=EXSHARE&amp;","VAR:NATFREQ=QUARTERLY&amp;VAR:RFIELD=FINALIZED&amp;VAR:DB_TYPE=&amp;VAR:UNITS=M&amp;window=popup&amp;width=450&amp;height=300&amp;START_MAXIMIZED=FALSE"}</definedName>
    <definedName name="_2248__FDSAUDITLINK__" hidden="1">{"fdsup://IBCentral/FAT Viewer?action=UPDATE&amp;creator=factset&amp;DOC_NAME=fat:reuters_qtrly_source_window.fat&amp;display_string=Audit&amp;DYN_ARGS=TRUE&amp;VAR:ID1=29382R10&amp;VAR:RCODE=ATOT&amp;VAR:SDATE=20081299&amp;VAR:FREQ=DAILY&amp;VAR:RELITEM=&amp;VAR:CURRENCY=&amp;VAR:CURRSOURCE=EXSHARE&amp;","VAR:NATFREQ=QUARTERLY&amp;VAR:RFIELD=FINALIZED&amp;VAR:DB_TYPE=&amp;VAR:UNITS=M&amp;window=popup&amp;width=450&amp;height=300&amp;START_MAXIMIZED=FALSE"}</definedName>
    <definedName name="_2249__FDSAUDITLINK__" hidden="1">{"fdsup://IBCentral/FAT Viewer?action=UPDATE&amp;creator=factset&amp;DOC_NAME=fat:reuters_qtrly_source_window.fat&amp;display_string=Audit&amp;DYN_ARGS=TRUE&amp;VAR:ID1=29255W10&amp;VAR:RCODE=LTLL&amp;VAR:SDATE=20081299&amp;VAR:FREQ=DAILY&amp;VAR:RELITEM=&amp;VAR:CURRENCY=&amp;VAR:CURRSOURCE=EXSHARE&amp;","VAR:NATFREQ=QUARTERLY&amp;VAR:RFIELD=FINALIZED&amp;VAR:DB_TYPE=&amp;VAR:UNITS=M&amp;window=popup&amp;width=450&amp;height=300&amp;START_MAXIMIZED=FALSE"}</definedName>
    <definedName name="_225__FDSAUDITLINK__" hidden="1">{"fdsup://Directions/FactSet Auditing Viewer?action=AUDIT_VALUE&amp;DB=129&amp;ID1=29873610&amp;VALUEID=02999&amp;SDATE=201001&amp;PERIODTYPE=QTR_STD&amp;window=popup_no_bar&amp;width=385&amp;height=120&amp;START_MAXIMIZED=FALSE&amp;creator=factset&amp;display_string=Audit"}</definedName>
    <definedName name="_2250__FDSAUDITLINK__" hidden="1">{"fdsup://IBCentral/FAT Viewer?action=UPDATE&amp;creator=factset&amp;DOC_NAME=fat:reuters_qtrly_source_window.fat&amp;display_string=Audit&amp;DYN_ARGS=TRUE&amp;VAR:ID1=29255W10&amp;VAR:RCODE=LTCL&amp;VAR:SDATE=20081299&amp;VAR:FREQ=DAILY&amp;VAR:RELITEM=&amp;VAR:CURRENCY=&amp;VAR:CURRSOURCE=EXSHARE&amp;","VAR:NATFREQ=QUARTERLY&amp;VAR:RFIELD=FINALIZED&amp;VAR:DB_TYPE=&amp;VAR:UNITS=M&amp;window=popup&amp;width=450&amp;height=300&amp;START_MAXIMIZED=FALSE"}</definedName>
    <definedName name="_2251__FDSAUDITLINK__" hidden="1">{"fdsup://IBCentral/FAT Viewer?action=UPDATE&amp;creator=factset&amp;DOC_NAME=fat:reuters_qtrly_source_window.fat&amp;display_string=Audit&amp;DYN_ARGS=TRUE&amp;VAR:ID1=29255W10&amp;VAR:RCODE=ATCA&amp;VAR:SDATE=20081299&amp;VAR:FREQ=DAILY&amp;VAR:RELITEM=&amp;VAR:CURRENCY=&amp;VAR:CURRSOURCE=EXSHARE&amp;","VAR:NATFREQ=QUARTERLY&amp;VAR:RFIELD=FINALIZED&amp;VAR:DB_TYPE=&amp;VAR:UNITS=M&amp;window=popup&amp;width=450&amp;height=300&amp;START_MAXIMIZED=FALSE"}</definedName>
    <definedName name="_2252__FDSAUDITLINK__" hidden="1">{"fdsup://IBCentral/FAT Viewer?action=UPDATE&amp;creator=factset&amp;DOC_NAME=fat:reuters_qtrly_source_window.fat&amp;display_string=Audit&amp;DYN_ARGS=TRUE&amp;VAR:ID1=29255W10&amp;VAR:RCODE=ATOT&amp;VAR:SDATE=20081299&amp;VAR:FREQ=DAILY&amp;VAR:RELITEM=&amp;VAR:CURRENCY=&amp;VAR:CURRSOURCE=EXSHARE&amp;","VAR:NATFREQ=QUARTERLY&amp;VAR:RFIELD=FINALIZED&amp;VAR:DB_TYPE=&amp;VAR:UNITS=M&amp;window=popup&amp;width=450&amp;height=300&amp;START_MAXIMIZED=FALSE"}</definedName>
    <definedName name="_2253__FDSAUDITLINK__" hidden="1">{"fdsup://IBCentral/FAT Viewer?action=UPDATE&amp;creator=factset&amp;DOC_NAME=fat:reuters_qtrly_source_window.fat&amp;display_string=Audit&amp;DYN_ARGS=TRUE&amp;VAR:ID1=28660G10&amp;VAR:RCODE=LTLL&amp;VAR:SDATE=20081299&amp;VAR:FREQ=DAILY&amp;VAR:RELITEM=&amp;VAR:CURRENCY=&amp;VAR:CURRSOURCE=EXSHARE&amp;","VAR:NATFREQ=QUARTERLY&amp;VAR:RFIELD=FINALIZED&amp;VAR:DB_TYPE=&amp;VAR:UNITS=M&amp;window=popup&amp;width=450&amp;height=300&amp;START_MAXIMIZED=FALSE"}</definedName>
    <definedName name="_2254__FDSAUDITLINK__" hidden="1">{"fdsup://IBCentral/FAT Viewer?action=UPDATE&amp;creator=factset&amp;DOC_NAME=fat:reuters_qtrly_source_window.fat&amp;display_string=Audit&amp;DYN_ARGS=TRUE&amp;VAR:ID1=28660G10&amp;VAR:RCODE=LTCL&amp;VAR:SDATE=20081299&amp;VAR:FREQ=DAILY&amp;VAR:RELITEM=&amp;VAR:CURRENCY=&amp;VAR:CURRSOURCE=EXSHARE&amp;","VAR:NATFREQ=QUARTERLY&amp;VAR:RFIELD=FINALIZED&amp;VAR:DB_TYPE=&amp;VAR:UNITS=M&amp;window=popup&amp;width=450&amp;height=300&amp;START_MAXIMIZED=FALSE"}</definedName>
    <definedName name="_2255__FDSAUDITLINK__" hidden="1">{"fdsup://IBCentral/FAT Viewer?action=UPDATE&amp;creator=factset&amp;DOC_NAME=fat:reuters_qtrly_source_window.fat&amp;display_string=Audit&amp;DYN_ARGS=TRUE&amp;VAR:ID1=28660G10&amp;VAR:RCODE=ATCA&amp;VAR:SDATE=20081299&amp;VAR:FREQ=DAILY&amp;VAR:RELITEM=&amp;VAR:CURRENCY=&amp;VAR:CURRSOURCE=EXSHARE&amp;","VAR:NATFREQ=QUARTERLY&amp;VAR:RFIELD=FINALIZED&amp;VAR:DB_TYPE=&amp;VAR:UNITS=M&amp;window=popup&amp;width=450&amp;height=300&amp;START_MAXIMIZED=FALSE"}</definedName>
    <definedName name="_2256__FDSAUDITLINK__" hidden="1">{"fdsup://IBCentral/FAT Viewer?action=UPDATE&amp;creator=factset&amp;DOC_NAME=fat:reuters_qtrly_source_window.fat&amp;display_string=Audit&amp;DYN_ARGS=TRUE&amp;VAR:ID1=28660G10&amp;VAR:RCODE=ATOT&amp;VAR:SDATE=20081299&amp;VAR:FREQ=DAILY&amp;VAR:RELITEM=&amp;VAR:CURRENCY=&amp;VAR:CURRSOURCE=EXSHARE&amp;","VAR:NATFREQ=QUARTERLY&amp;VAR:RFIELD=FINALIZED&amp;VAR:DB_TYPE=&amp;VAR:UNITS=M&amp;window=popup&amp;width=450&amp;height=300&amp;START_MAXIMIZED=FALSE"}</definedName>
    <definedName name="_2257__FDSAUDITLINK__" hidden="1">{"fdsup://IBCentral/FAT Viewer?action=UPDATE&amp;creator=factset&amp;DOC_NAME=fat:reuters_qtrly_source_window.fat&amp;display_string=Audit&amp;DYN_ARGS=TRUE&amp;VAR:ID1=26160810&amp;VAR:RCODE=LTLL&amp;VAR:SDATE=20081299&amp;VAR:FREQ=DAILY&amp;VAR:RELITEM=&amp;VAR:CURRENCY=&amp;VAR:CURRSOURCE=EXSHARE&amp;","VAR:NATFREQ=QUARTERLY&amp;VAR:RFIELD=FINALIZED&amp;VAR:DB_TYPE=&amp;VAR:UNITS=M&amp;window=popup&amp;width=450&amp;height=300&amp;START_MAXIMIZED=FALSE"}</definedName>
    <definedName name="_2258__FDSAUDITLINK__" hidden="1">{"fdsup://IBCentral/FAT Viewer?action=UPDATE&amp;creator=factset&amp;DOC_NAME=fat:reuters_qtrly_source_window.fat&amp;display_string=Audit&amp;DYN_ARGS=TRUE&amp;VAR:ID1=26160810&amp;VAR:RCODE=LTCL&amp;VAR:SDATE=20081299&amp;VAR:FREQ=DAILY&amp;VAR:RELITEM=&amp;VAR:CURRENCY=&amp;VAR:CURRSOURCE=EXSHARE&amp;","VAR:NATFREQ=QUARTERLY&amp;VAR:RFIELD=FINALIZED&amp;VAR:DB_TYPE=&amp;VAR:UNITS=M&amp;window=popup&amp;width=450&amp;height=300&amp;START_MAXIMIZED=FALSE"}</definedName>
    <definedName name="_2259__FDSAUDITLINK__" hidden="1">{"fdsup://IBCentral/FAT Viewer?action=UPDATE&amp;creator=factset&amp;DOC_NAME=fat:reuters_qtrly_source_window.fat&amp;display_string=Audit&amp;DYN_ARGS=TRUE&amp;VAR:ID1=26160810&amp;VAR:RCODE=ATCA&amp;VAR:SDATE=20081299&amp;VAR:FREQ=DAILY&amp;VAR:RELITEM=&amp;VAR:CURRENCY=&amp;VAR:CURRSOURCE=EXSHARE&amp;","VAR:NATFREQ=QUARTERLY&amp;VAR:RFIELD=FINALIZED&amp;VAR:DB_TYPE=&amp;VAR:UNITS=M&amp;window=popup&amp;width=450&amp;height=300&amp;START_MAXIMIZED=FALSE"}</definedName>
    <definedName name="_226__FDSAUDITLINK__" hidden="1">{"fdsup://Directions/FactSet Auditing Viewer?action=AUDIT_VALUE&amp;DB=129&amp;ID1=26927940&amp;VALUEID=02999&amp;SDATE=201001&amp;PERIODTYPE=QTR_STD&amp;window=popup_no_bar&amp;width=385&amp;height=120&amp;START_MAXIMIZED=FALSE&amp;creator=factset&amp;display_string=Audit"}</definedName>
    <definedName name="_2260__FDSAUDITLINK__" hidden="1">{"fdsup://IBCentral/FAT Viewer?action=UPDATE&amp;creator=factset&amp;DOC_NAME=fat:reuters_qtrly_source_window.fat&amp;display_string=Audit&amp;DYN_ARGS=TRUE&amp;VAR:ID1=26160810&amp;VAR:RCODE=ATOT&amp;VAR:SDATE=20081299&amp;VAR:FREQ=DAILY&amp;VAR:RELITEM=&amp;VAR:CURRENCY=&amp;VAR:CURRSOURCE=EXSHARE&amp;","VAR:NATFREQ=QUARTERLY&amp;VAR:RFIELD=FINALIZED&amp;VAR:DB_TYPE=&amp;VAR:UNITS=M&amp;window=popup&amp;width=450&amp;height=300&amp;START_MAXIMIZED=FALSE"}</definedName>
    <definedName name="_2261__FDSAUDITLINK__" hidden="1">{"fdsup://IBCentral/FAT Viewer?action=UPDATE&amp;creator=factset&amp;DOC_NAME=fat:reuters_qtrly_source_window.fat&amp;display_string=Audit&amp;DYN_ARGS=TRUE&amp;VAR:ID1=24791620&amp;VAR:RCODE=LTLL&amp;VAR:SDATE=20081299&amp;VAR:FREQ=DAILY&amp;VAR:RELITEM=&amp;VAR:CURRENCY=&amp;VAR:CURRSOURCE=EXSHARE&amp;","VAR:NATFREQ=QUARTERLY&amp;VAR:RFIELD=FINALIZED&amp;VAR:DB_TYPE=&amp;VAR:UNITS=M&amp;window=popup&amp;width=450&amp;height=300&amp;START_MAXIMIZED=FALSE"}</definedName>
    <definedName name="_2262__FDSAUDITLINK__" hidden="1">{"fdsup://IBCentral/FAT Viewer?action=UPDATE&amp;creator=factset&amp;DOC_NAME=fat:reuters_qtrly_source_window.fat&amp;display_string=Audit&amp;DYN_ARGS=TRUE&amp;VAR:ID1=24791620&amp;VAR:RCODE=LTCL&amp;VAR:SDATE=20081299&amp;VAR:FREQ=DAILY&amp;VAR:RELITEM=&amp;VAR:CURRENCY=&amp;VAR:CURRSOURCE=EXSHARE&amp;","VAR:NATFREQ=QUARTERLY&amp;VAR:RFIELD=FINALIZED&amp;VAR:DB_TYPE=&amp;VAR:UNITS=M&amp;window=popup&amp;width=450&amp;height=300&amp;START_MAXIMIZED=FALSE"}</definedName>
    <definedName name="_2263__FDSAUDITLINK__" hidden="1">{"fdsup://IBCentral/FAT Viewer?action=UPDATE&amp;creator=factset&amp;DOC_NAME=fat:reuters_qtrly_source_window.fat&amp;display_string=Audit&amp;DYN_ARGS=TRUE&amp;VAR:ID1=24791620&amp;VAR:RCODE=ATCA&amp;VAR:SDATE=20081299&amp;VAR:FREQ=DAILY&amp;VAR:RELITEM=&amp;VAR:CURRENCY=&amp;VAR:CURRSOURCE=EXSHARE&amp;","VAR:NATFREQ=QUARTERLY&amp;VAR:RFIELD=FINALIZED&amp;VAR:DB_TYPE=&amp;VAR:UNITS=M&amp;window=popup&amp;width=450&amp;height=300&amp;START_MAXIMIZED=FALSE"}</definedName>
    <definedName name="_2264__FDSAUDITLINK__" hidden="1">{"fdsup://IBCentral/FAT Viewer?action=UPDATE&amp;creator=factset&amp;DOC_NAME=fat:reuters_qtrly_source_window.fat&amp;display_string=Audit&amp;DYN_ARGS=TRUE&amp;VAR:ID1=24791620&amp;VAR:RCODE=ATOT&amp;VAR:SDATE=20081299&amp;VAR:FREQ=DAILY&amp;VAR:RELITEM=&amp;VAR:CURRENCY=&amp;VAR:CURRSOURCE=EXSHARE&amp;","VAR:NATFREQ=QUARTERLY&amp;VAR:RFIELD=FINALIZED&amp;VAR:DB_TYPE=&amp;VAR:UNITS=M&amp;window=popup&amp;width=450&amp;height=300&amp;START_MAXIMIZED=FALSE"}</definedName>
    <definedName name="_2265__FDSAUDITLINK__" hidden="1">{"fdsup://IBCentral/FAT Viewer?action=UPDATE&amp;creator=factset&amp;DOC_NAME=fat:reuters_qtrly_source_window.fat&amp;display_string=Audit&amp;DYN_ARGS=TRUE&amp;VAR:ID1=23918K10&amp;VAR:RCODE=LTLL&amp;VAR:SDATE=20081299&amp;VAR:FREQ=DAILY&amp;VAR:RELITEM=&amp;VAR:CURRENCY=&amp;VAR:CURRSOURCE=EXSHARE&amp;","VAR:NATFREQ=QUARTERLY&amp;VAR:RFIELD=FINALIZED&amp;VAR:DB_TYPE=&amp;VAR:UNITS=M&amp;window=popup&amp;width=450&amp;height=300&amp;START_MAXIMIZED=FALSE"}</definedName>
    <definedName name="_2266__FDSAUDITLINK__" hidden="1">{"fdsup://IBCentral/FAT Viewer?action=UPDATE&amp;creator=factset&amp;DOC_NAME=fat:reuters_qtrly_source_window.fat&amp;display_string=Audit&amp;DYN_ARGS=TRUE&amp;VAR:ID1=23918K10&amp;VAR:RCODE=LTCL&amp;VAR:SDATE=20081299&amp;VAR:FREQ=DAILY&amp;VAR:RELITEM=&amp;VAR:CURRENCY=&amp;VAR:CURRSOURCE=EXSHARE&amp;","VAR:NATFREQ=QUARTERLY&amp;VAR:RFIELD=FINALIZED&amp;VAR:DB_TYPE=&amp;VAR:UNITS=M&amp;window=popup&amp;width=450&amp;height=300&amp;START_MAXIMIZED=FALSE"}</definedName>
    <definedName name="_2267__FDSAUDITLINK__" hidden="1">{"fdsup://IBCentral/FAT Viewer?action=UPDATE&amp;creator=factset&amp;DOC_NAME=fat:reuters_qtrly_source_window.fat&amp;display_string=Audit&amp;DYN_ARGS=TRUE&amp;VAR:ID1=23918K10&amp;VAR:RCODE=ATCA&amp;VAR:SDATE=20081299&amp;VAR:FREQ=DAILY&amp;VAR:RELITEM=&amp;VAR:CURRENCY=&amp;VAR:CURRSOURCE=EXSHARE&amp;","VAR:NATFREQ=QUARTERLY&amp;VAR:RFIELD=FINALIZED&amp;VAR:DB_TYPE=&amp;VAR:UNITS=M&amp;window=popup&amp;width=450&amp;height=300&amp;START_MAXIMIZED=FALSE"}</definedName>
    <definedName name="_2268__FDSAUDITLINK__" hidden="1">{"fdsup://IBCentral/FAT Viewer?action=UPDATE&amp;creator=factset&amp;DOC_NAME=fat:reuters_qtrly_source_window.fat&amp;display_string=Audit&amp;DYN_ARGS=TRUE&amp;VAR:ID1=23918K10&amp;VAR:RCODE=ATOT&amp;VAR:SDATE=20081299&amp;VAR:FREQ=DAILY&amp;VAR:RELITEM=&amp;VAR:CURRENCY=&amp;VAR:CURRSOURCE=EXSHARE&amp;","VAR:NATFREQ=QUARTERLY&amp;VAR:RFIELD=FINALIZED&amp;VAR:DB_TYPE=&amp;VAR:UNITS=M&amp;window=popup&amp;width=450&amp;height=300&amp;START_MAXIMIZED=FALSE"}</definedName>
    <definedName name="_2269__FDSAUDITLINK__" hidden="1">{"fdsup://IBCentral/FAT Viewer?action=UPDATE&amp;creator=factset&amp;DOC_NAME=fat:reuters_qtrly_source_window.fat&amp;display_string=Audit&amp;DYN_ARGS=TRUE&amp;VAR:ID1=22282E10&amp;VAR:RCODE=LTLL&amp;VAR:SDATE=20081299&amp;VAR:FREQ=DAILY&amp;VAR:RELITEM=&amp;VAR:CURRENCY=&amp;VAR:CURRSOURCE=EXSHARE&amp;","VAR:NATFREQ=QUARTERLY&amp;VAR:RFIELD=FINALIZED&amp;VAR:DB_TYPE=&amp;VAR:UNITS=M&amp;window=popup&amp;width=450&amp;height=300&amp;START_MAXIMIZED=FALSE"}</definedName>
    <definedName name="_227__FDSAUDITLINK__" hidden="1">{"fdsup://Directions/FactSet Auditing Viewer?action=AUDIT_VALUE&amp;DB=129&amp;ID1=30212P10&amp;VALUEID=02999&amp;SDATE=201001&amp;PERIODTYPE=QTR_STD&amp;window=popup_no_bar&amp;width=385&amp;height=120&amp;START_MAXIMIZED=FALSE&amp;creator=factset&amp;display_string=Audit"}</definedName>
    <definedName name="_2270__FDSAUDITLINK__" hidden="1">{"fdsup://IBCentral/FAT Viewer?action=UPDATE&amp;creator=factset&amp;DOC_NAME=fat:reuters_qtrly_source_window.fat&amp;display_string=Audit&amp;DYN_ARGS=TRUE&amp;VAR:ID1=22282E10&amp;VAR:RCODE=LTCL&amp;VAR:SDATE=20081299&amp;VAR:FREQ=DAILY&amp;VAR:RELITEM=&amp;VAR:CURRENCY=&amp;VAR:CURRSOURCE=EXSHARE&amp;","VAR:NATFREQ=QUARTERLY&amp;VAR:RFIELD=FINALIZED&amp;VAR:DB_TYPE=&amp;VAR:UNITS=M&amp;window=popup&amp;width=450&amp;height=300&amp;START_MAXIMIZED=FALSE"}</definedName>
    <definedName name="_2271__FDSAUDITLINK__" hidden="1">{"fdsup://IBCentral/FAT Viewer?action=UPDATE&amp;creator=factset&amp;DOC_NAME=fat:reuters_qtrly_source_window.fat&amp;display_string=Audit&amp;DYN_ARGS=TRUE&amp;VAR:ID1=22282E10&amp;VAR:RCODE=ATCA&amp;VAR:SDATE=20081299&amp;VAR:FREQ=DAILY&amp;VAR:RELITEM=&amp;VAR:CURRENCY=&amp;VAR:CURRSOURCE=EXSHARE&amp;","VAR:NATFREQ=QUARTERLY&amp;VAR:RFIELD=FINALIZED&amp;VAR:DB_TYPE=&amp;VAR:UNITS=M&amp;window=popup&amp;width=450&amp;height=300&amp;START_MAXIMIZED=FALSE"}</definedName>
    <definedName name="_2272__FDSAUDITLINK__" hidden="1">{"fdsup://IBCentral/FAT Viewer?action=UPDATE&amp;creator=factset&amp;DOC_NAME=fat:reuters_qtrly_source_window.fat&amp;display_string=Audit&amp;DYN_ARGS=TRUE&amp;VAR:ID1=22282E10&amp;VAR:RCODE=ATOT&amp;VAR:SDATE=20081299&amp;VAR:FREQ=DAILY&amp;VAR:RELITEM=&amp;VAR:CURRENCY=&amp;VAR:CURRSOURCE=EXSHARE&amp;","VAR:NATFREQ=QUARTERLY&amp;VAR:RFIELD=FINALIZED&amp;VAR:DB_TYPE=&amp;VAR:UNITS=M&amp;window=popup&amp;width=450&amp;height=300&amp;START_MAXIMIZED=FALSE"}</definedName>
    <definedName name="_2273__FDSAUDITLINK__" hidden="1">{"fdsup://IBCentral/FAT Viewer?action=UPDATE&amp;creator=factset&amp;DOC_NAME=fat:reuters_qtrly_source_window.fat&amp;display_string=Audit&amp;DYN_ARGS=TRUE&amp;VAR:ID1=20741010&amp;VAR:RCODE=LTLL&amp;VAR:SDATE=20081299&amp;VAR:FREQ=DAILY&amp;VAR:RELITEM=&amp;VAR:CURRENCY=&amp;VAR:CURRSOURCE=EXSHARE&amp;","VAR:NATFREQ=QUARTERLY&amp;VAR:RFIELD=FINALIZED&amp;VAR:DB_TYPE=&amp;VAR:UNITS=M&amp;window=popup&amp;width=450&amp;height=300&amp;START_MAXIMIZED=FALSE"}</definedName>
    <definedName name="_2274__FDSAUDITLINK__" hidden="1">{"fdsup://IBCentral/FAT Viewer?action=UPDATE&amp;creator=factset&amp;DOC_NAME=fat:reuters_qtrly_source_window.fat&amp;display_string=Audit&amp;DYN_ARGS=TRUE&amp;VAR:ID1=20741010&amp;VAR:RCODE=LTCL&amp;VAR:SDATE=20081299&amp;VAR:FREQ=DAILY&amp;VAR:RELITEM=&amp;VAR:CURRENCY=&amp;VAR:CURRSOURCE=EXSHARE&amp;","VAR:NATFREQ=QUARTERLY&amp;VAR:RFIELD=FINALIZED&amp;VAR:DB_TYPE=&amp;VAR:UNITS=M&amp;window=popup&amp;width=450&amp;height=300&amp;START_MAXIMIZED=FALSE"}</definedName>
    <definedName name="_2275__FDSAUDITLINK__" hidden="1">{"fdsup://IBCentral/FAT Viewer?action=UPDATE&amp;creator=factset&amp;DOC_NAME=fat:reuters_qtrly_source_window.fat&amp;display_string=Audit&amp;DYN_ARGS=TRUE&amp;VAR:ID1=20741010&amp;VAR:RCODE=ATCA&amp;VAR:SDATE=20081299&amp;VAR:FREQ=DAILY&amp;VAR:RELITEM=&amp;VAR:CURRENCY=&amp;VAR:CURRSOURCE=EXSHARE&amp;","VAR:NATFREQ=QUARTERLY&amp;VAR:RFIELD=FINALIZED&amp;VAR:DB_TYPE=&amp;VAR:UNITS=M&amp;window=popup&amp;width=450&amp;height=300&amp;START_MAXIMIZED=FALSE"}</definedName>
    <definedName name="_2276__FDSAUDITLINK__" hidden="1">{"fdsup://IBCentral/FAT Viewer?action=UPDATE&amp;creator=factset&amp;DOC_NAME=fat:reuters_qtrly_source_window.fat&amp;display_string=Audit&amp;DYN_ARGS=TRUE&amp;VAR:ID1=20741010&amp;VAR:RCODE=ATOT&amp;VAR:SDATE=20081299&amp;VAR:FREQ=DAILY&amp;VAR:RELITEM=&amp;VAR:CURRENCY=&amp;VAR:CURRSOURCE=EXSHARE&amp;","VAR:NATFREQ=QUARTERLY&amp;VAR:RFIELD=FINALIZED&amp;VAR:DB_TYPE=&amp;VAR:UNITS=M&amp;window=popup&amp;width=450&amp;height=300&amp;START_MAXIMIZED=FALSE"}</definedName>
    <definedName name="_2277__FDSAUDITLINK__" hidden="1">{"fdsup://IBCentral/FAT Viewer?action=UPDATE&amp;creator=factset&amp;DOC_NAME=fat:reuters_qtrly_source_window.fat&amp;display_string=Audit&amp;DYN_ARGS=TRUE&amp;VAR:ID1=20451Q10&amp;VAR:RCODE=LTLL&amp;VAR:SDATE=20081299&amp;VAR:FREQ=DAILY&amp;VAR:RELITEM=&amp;VAR:CURRENCY=&amp;VAR:CURRSOURCE=EXSHARE&amp;","VAR:NATFREQ=QUARTERLY&amp;VAR:RFIELD=FINALIZED&amp;VAR:DB_TYPE=&amp;VAR:UNITS=M&amp;window=popup&amp;width=450&amp;height=300&amp;START_MAXIMIZED=FALSE"}</definedName>
    <definedName name="_2278__FDSAUDITLINK__" hidden="1">{"fdsup://IBCentral/FAT Viewer?action=UPDATE&amp;creator=factset&amp;DOC_NAME=fat:reuters_qtrly_source_window.fat&amp;display_string=Audit&amp;DYN_ARGS=TRUE&amp;VAR:ID1=20451Q10&amp;VAR:RCODE=LTCL&amp;VAR:SDATE=20081299&amp;VAR:FREQ=DAILY&amp;VAR:RELITEM=&amp;VAR:CURRENCY=&amp;VAR:CURRSOURCE=EXSHARE&amp;","VAR:NATFREQ=QUARTERLY&amp;VAR:RFIELD=FINALIZED&amp;VAR:DB_TYPE=&amp;VAR:UNITS=M&amp;window=popup&amp;width=450&amp;height=300&amp;START_MAXIMIZED=FALSE"}</definedName>
    <definedName name="_2279__FDSAUDITLINK__" hidden="1">{"fdsup://IBCentral/FAT Viewer?action=UPDATE&amp;creator=factset&amp;DOC_NAME=fat:reuters_qtrly_source_window.fat&amp;display_string=Audit&amp;DYN_ARGS=TRUE&amp;VAR:ID1=20451Q10&amp;VAR:RCODE=ATCA&amp;VAR:SDATE=20081299&amp;VAR:FREQ=DAILY&amp;VAR:RELITEM=&amp;VAR:CURRENCY=&amp;VAR:CURRSOURCE=EXSHARE&amp;","VAR:NATFREQ=QUARTERLY&amp;VAR:RFIELD=FINALIZED&amp;VAR:DB_TYPE=&amp;VAR:UNITS=M&amp;window=popup&amp;width=450&amp;height=300&amp;START_MAXIMIZED=FALSE"}</definedName>
    <definedName name="_228__FDSAUDITLINK__" hidden="1">{"fdsup://Directions/FactSet Auditing Viewer?action=AUDIT_VALUE&amp;DB=129&amp;ID1=30218210&amp;VALUEID=02999&amp;SDATE=201001&amp;PERIODTYPE=QTR_STD&amp;window=popup_no_bar&amp;width=385&amp;height=120&amp;START_MAXIMIZED=FALSE&amp;creator=factset&amp;display_string=Audit"}</definedName>
    <definedName name="_2280__FDSAUDITLINK__" hidden="1">{"fdsup://IBCentral/FAT Viewer?action=UPDATE&amp;creator=factset&amp;DOC_NAME=fat:reuters_qtrly_source_window.fat&amp;display_string=Audit&amp;DYN_ARGS=TRUE&amp;VAR:ID1=20451Q10&amp;VAR:RCODE=ATOT&amp;VAR:SDATE=20081299&amp;VAR:FREQ=DAILY&amp;VAR:RELITEM=&amp;VAR:CURRENCY=&amp;VAR:CURRSOURCE=EXSHARE&amp;","VAR:NATFREQ=QUARTERLY&amp;VAR:RFIELD=FINALIZED&amp;VAR:DB_TYPE=&amp;VAR:UNITS=M&amp;window=popup&amp;width=450&amp;height=300&amp;START_MAXIMIZED=FALSE"}</definedName>
    <definedName name="_2281__FDSAUDITLINK__" hidden="1">{"fdsup://IBCentral/FAT Viewer?action=UPDATE&amp;creator=factset&amp;DOC_NAME=fat:reuters_qtrly_source_window.fat&amp;display_string=Audit&amp;DYN_ARGS=TRUE&amp;VAR:ID1=20337210&amp;VAR:RCODE=LTLL&amp;VAR:SDATE=20081299&amp;VAR:FREQ=DAILY&amp;VAR:RELITEM=&amp;VAR:CURRENCY=&amp;VAR:CURRSOURCE=EXSHARE&amp;","VAR:NATFREQ=QUARTERLY&amp;VAR:RFIELD=FINALIZED&amp;VAR:DB_TYPE=&amp;VAR:UNITS=M&amp;window=popup&amp;width=450&amp;height=300&amp;START_MAXIMIZED=FALSE"}</definedName>
    <definedName name="_2282__FDSAUDITLINK__" hidden="1">{"fdsup://IBCentral/FAT Viewer?action=UPDATE&amp;creator=factset&amp;DOC_NAME=fat:reuters_qtrly_source_window.fat&amp;display_string=Audit&amp;DYN_ARGS=TRUE&amp;VAR:ID1=20337210&amp;VAR:RCODE=LTCL&amp;VAR:SDATE=20081299&amp;VAR:FREQ=DAILY&amp;VAR:RELITEM=&amp;VAR:CURRENCY=&amp;VAR:CURRSOURCE=EXSHARE&amp;","VAR:NATFREQ=QUARTERLY&amp;VAR:RFIELD=FINALIZED&amp;VAR:DB_TYPE=&amp;VAR:UNITS=M&amp;window=popup&amp;width=450&amp;height=300&amp;START_MAXIMIZED=FALSE"}</definedName>
    <definedName name="_2283__FDSAUDITLINK__" hidden="1">{"fdsup://IBCentral/FAT Viewer?action=UPDATE&amp;creator=factset&amp;DOC_NAME=fat:reuters_qtrly_source_window.fat&amp;display_string=Audit&amp;DYN_ARGS=TRUE&amp;VAR:ID1=20337210&amp;VAR:RCODE=ATCA&amp;VAR:SDATE=20081299&amp;VAR:FREQ=DAILY&amp;VAR:RELITEM=&amp;VAR:CURRENCY=&amp;VAR:CURRSOURCE=EXSHARE&amp;","VAR:NATFREQ=QUARTERLY&amp;VAR:RFIELD=FINALIZED&amp;VAR:DB_TYPE=&amp;VAR:UNITS=M&amp;window=popup&amp;width=450&amp;height=300&amp;START_MAXIMIZED=FALSE"}</definedName>
    <definedName name="_2284__FDSAUDITLINK__" hidden="1">{"fdsup://IBCentral/FAT Viewer?action=UPDATE&amp;creator=factset&amp;DOC_NAME=fat:reuters_qtrly_source_window.fat&amp;display_string=Audit&amp;DYN_ARGS=TRUE&amp;VAR:ID1=20337210&amp;VAR:RCODE=ATOT&amp;VAR:SDATE=20081299&amp;VAR:FREQ=DAILY&amp;VAR:RELITEM=&amp;VAR:CURRENCY=&amp;VAR:CURRSOURCE=EXSHARE&amp;","VAR:NATFREQ=QUARTERLY&amp;VAR:RFIELD=FINALIZED&amp;VAR:DB_TYPE=&amp;VAR:UNITS=M&amp;window=popup&amp;width=450&amp;height=300&amp;START_MAXIMIZED=FALSE"}</definedName>
    <definedName name="_2285__FDSAUDITLINK__" hidden="1">{"fdsup://IBCentral/FAT Viewer?action=UPDATE&amp;creator=factset&amp;DOC_NAME=fat:reuters_qtrly_source_window.fat&amp;display_string=Audit&amp;DYN_ARGS=TRUE&amp;VAR:ID1=19933310&amp;VAR:RCODE=LTLL&amp;VAR:SDATE=20081299&amp;VAR:FREQ=DAILY&amp;VAR:RELITEM=&amp;VAR:CURRENCY=&amp;VAR:CURRSOURCE=EXSHARE&amp;","VAR:NATFREQ=QUARTERLY&amp;VAR:RFIELD=FINALIZED&amp;VAR:DB_TYPE=&amp;VAR:UNITS=M&amp;window=popup&amp;width=450&amp;height=300&amp;START_MAXIMIZED=FALSE"}</definedName>
    <definedName name="_2286__FDSAUDITLINK__" hidden="1">{"fdsup://IBCentral/FAT Viewer?action=UPDATE&amp;creator=factset&amp;DOC_NAME=fat:reuters_qtrly_source_window.fat&amp;display_string=Audit&amp;DYN_ARGS=TRUE&amp;VAR:ID1=19933310&amp;VAR:RCODE=LTCL&amp;VAR:SDATE=20081299&amp;VAR:FREQ=DAILY&amp;VAR:RELITEM=&amp;VAR:CURRENCY=&amp;VAR:CURRSOURCE=EXSHARE&amp;","VAR:NATFREQ=QUARTERLY&amp;VAR:RFIELD=FINALIZED&amp;VAR:DB_TYPE=&amp;VAR:UNITS=M&amp;window=popup&amp;width=450&amp;height=300&amp;START_MAXIMIZED=FALSE"}</definedName>
    <definedName name="_2287__FDSAUDITLINK__" hidden="1">{"fdsup://IBCentral/FAT Viewer?action=UPDATE&amp;creator=factset&amp;DOC_NAME=fat:reuters_qtrly_source_window.fat&amp;display_string=Audit&amp;DYN_ARGS=TRUE&amp;VAR:ID1=19933310&amp;VAR:RCODE=ATCA&amp;VAR:SDATE=20081299&amp;VAR:FREQ=DAILY&amp;VAR:RELITEM=&amp;VAR:CURRENCY=&amp;VAR:CURRSOURCE=EXSHARE&amp;","VAR:NATFREQ=QUARTERLY&amp;VAR:RFIELD=FINALIZED&amp;VAR:DB_TYPE=&amp;VAR:UNITS=M&amp;window=popup&amp;width=450&amp;height=300&amp;START_MAXIMIZED=FALSE"}</definedName>
    <definedName name="_2288__FDSAUDITLINK__" hidden="1">{"fdsup://IBCentral/FAT Viewer?action=UPDATE&amp;creator=factset&amp;DOC_NAME=fat:reuters_qtrly_source_window.fat&amp;display_string=Audit&amp;DYN_ARGS=TRUE&amp;VAR:ID1=19933310&amp;VAR:RCODE=ATOT&amp;VAR:SDATE=20081299&amp;VAR:FREQ=DAILY&amp;VAR:RELITEM=&amp;VAR:CURRENCY=&amp;VAR:CURRSOURCE=EXSHARE&amp;","VAR:NATFREQ=QUARTERLY&amp;VAR:RFIELD=FINALIZED&amp;VAR:DB_TYPE=&amp;VAR:UNITS=M&amp;window=popup&amp;width=450&amp;height=300&amp;START_MAXIMIZED=FALSE"}</definedName>
    <definedName name="_2289__FDSAUDITLINK__" hidden="1">{"fdsup://IBCentral/FAT Viewer?action=UPDATE&amp;creator=factset&amp;DOC_NAME=fat:reuters_qtrly_source_window.fat&amp;display_string=Audit&amp;DYN_ARGS=TRUE&amp;VAR:ID1=18449610&amp;VAR:RCODE=LTLL&amp;VAR:SDATE=20081299&amp;VAR:FREQ=DAILY&amp;VAR:RELITEM=&amp;VAR:CURRENCY=&amp;VAR:CURRSOURCE=EXSHARE&amp;","VAR:NATFREQ=QUARTERLY&amp;VAR:RFIELD=FINALIZED&amp;VAR:DB_TYPE=&amp;VAR:UNITS=M&amp;window=popup&amp;width=450&amp;height=300&amp;START_MAXIMIZED=FALSE"}</definedName>
    <definedName name="_229__FDSAUDITLINK__" hidden="1">{"fdsup://Directions/FactSet Auditing Viewer?action=AUDIT_VALUE&amp;DB=129&amp;ID1=30231G10&amp;VALUEID=02999&amp;SDATE=201001&amp;PERIODTYPE=QTR_STD&amp;window=popup_no_bar&amp;width=385&amp;height=120&amp;START_MAXIMIZED=FALSE&amp;creator=factset&amp;display_string=Audit"}</definedName>
    <definedName name="_2290__FDSAUDITLINK__" hidden="1">{"fdsup://IBCentral/FAT Viewer?action=UPDATE&amp;creator=factset&amp;DOC_NAME=fat:reuters_qtrly_source_window.fat&amp;display_string=Audit&amp;DYN_ARGS=TRUE&amp;VAR:ID1=18449610&amp;VAR:RCODE=LTCL&amp;VAR:SDATE=20081299&amp;VAR:FREQ=DAILY&amp;VAR:RELITEM=&amp;VAR:CURRENCY=&amp;VAR:CURRSOURCE=EXSHARE&amp;","VAR:NATFREQ=QUARTERLY&amp;VAR:RFIELD=FINALIZED&amp;VAR:DB_TYPE=&amp;VAR:UNITS=M&amp;window=popup&amp;width=450&amp;height=300&amp;START_MAXIMIZED=FALSE"}</definedName>
    <definedName name="_2291__FDSAUDITLINK__" hidden="1">{"fdsup://IBCentral/FAT Viewer?action=UPDATE&amp;creator=factset&amp;DOC_NAME=fat:reuters_qtrly_source_window.fat&amp;display_string=Audit&amp;DYN_ARGS=TRUE&amp;VAR:ID1=18449610&amp;VAR:RCODE=ATCA&amp;VAR:SDATE=20081299&amp;VAR:FREQ=DAILY&amp;VAR:RELITEM=&amp;VAR:CURRENCY=&amp;VAR:CURRSOURCE=EXSHARE&amp;","VAR:NATFREQ=QUARTERLY&amp;VAR:RFIELD=FINALIZED&amp;VAR:DB_TYPE=&amp;VAR:UNITS=M&amp;window=popup&amp;width=450&amp;height=300&amp;START_MAXIMIZED=FALSE"}</definedName>
    <definedName name="_2292__FDSAUDITLINK__" hidden="1">{"fdsup://IBCentral/FAT Viewer?action=UPDATE&amp;creator=factset&amp;DOC_NAME=fat:reuters_qtrly_source_window.fat&amp;display_string=Audit&amp;DYN_ARGS=TRUE&amp;VAR:ID1=18449610&amp;VAR:RCODE=ATOT&amp;VAR:SDATE=20081299&amp;VAR:FREQ=DAILY&amp;VAR:RELITEM=&amp;VAR:CURRENCY=&amp;VAR:CURRSOURCE=EXSHARE&amp;","VAR:NATFREQ=QUARTERLY&amp;VAR:RFIELD=FINALIZED&amp;VAR:DB_TYPE=&amp;VAR:UNITS=M&amp;window=popup&amp;width=450&amp;height=300&amp;START_MAXIMIZED=FALSE"}</definedName>
    <definedName name="_2293__FDSAUDITLINK__" hidden="1">{"fdsup://IBCentral/FAT Viewer?action=UPDATE&amp;creator=factset&amp;DOC_NAME=fat:reuters_qtrly_source_window.fat&amp;display_string=Audit&amp;DYN_ARGS=TRUE&amp;VAR:ID1=12561E10&amp;VAR:RCODE=LTLL&amp;VAR:SDATE=20081099&amp;VAR:FREQ=DAILY&amp;VAR:RELITEM=&amp;VAR:CURRENCY=&amp;VAR:CURRSOURCE=EXSHARE&amp;","VAR:NATFREQ=QUARTERLY&amp;VAR:RFIELD=FINALIZED&amp;VAR:DB_TYPE=&amp;VAR:UNITS=M&amp;window=popup&amp;width=450&amp;height=300&amp;START_MAXIMIZED=FALSE"}</definedName>
    <definedName name="_2294__FDSAUDITLINK__" hidden="1">{"fdsup://IBCentral/FAT Viewer?action=UPDATE&amp;creator=factset&amp;DOC_NAME=fat:reuters_qtrly_source_window.fat&amp;display_string=Audit&amp;DYN_ARGS=TRUE&amp;VAR:ID1=12561E10&amp;VAR:RCODE=LTCL&amp;VAR:SDATE=20081099&amp;VAR:FREQ=DAILY&amp;VAR:RELITEM=&amp;VAR:CURRENCY=&amp;VAR:CURRSOURCE=EXSHARE&amp;","VAR:NATFREQ=QUARTERLY&amp;VAR:RFIELD=FINALIZED&amp;VAR:DB_TYPE=&amp;VAR:UNITS=M&amp;window=popup&amp;width=450&amp;height=300&amp;START_MAXIMIZED=FALSE"}</definedName>
    <definedName name="_2295__FDSAUDITLINK__" hidden="1">{"fdsup://IBCentral/FAT Viewer?action=UPDATE&amp;creator=factset&amp;DOC_NAME=fat:reuters_qtrly_source_window.fat&amp;display_string=Audit&amp;DYN_ARGS=TRUE&amp;VAR:ID1=12561E10&amp;VAR:RCODE=ATCA&amp;VAR:SDATE=20081099&amp;VAR:FREQ=DAILY&amp;VAR:RELITEM=&amp;VAR:CURRENCY=&amp;VAR:CURRSOURCE=EXSHARE&amp;","VAR:NATFREQ=QUARTERLY&amp;VAR:RFIELD=FINALIZED&amp;VAR:DB_TYPE=&amp;VAR:UNITS=M&amp;window=popup&amp;width=450&amp;height=300&amp;START_MAXIMIZED=FALSE"}</definedName>
    <definedName name="_2296__FDSAUDITLINK__" hidden="1">{"fdsup://IBCentral/FAT Viewer?action=UPDATE&amp;creator=factset&amp;DOC_NAME=fat:reuters_qtrly_source_window.fat&amp;display_string=Audit&amp;DYN_ARGS=TRUE&amp;VAR:ID1=12561E10&amp;VAR:RCODE=ATOT&amp;VAR:SDATE=20081099&amp;VAR:FREQ=DAILY&amp;VAR:RELITEM=&amp;VAR:CURRENCY=&amp;VAR:CURRSOURCE=EXSHARE&amp;","VAR:NATFREQ=QUARTERLY&amp;VAR:RFIELD=FINALIZED&amp;VAR:DB_TYPE=&amp;VAR:UNITS=M&amp;window=popup&amp;width=450&amp;height=300&amp;START_MAXIMIZED=FALSE"}</definedName>
    <definedName name="_2297__FDSAUDITLINK__" hidden="1">{"fdsup://IBCentral/FAT Viewer?action=UPDATE&amp;creator=factset&amp;DOC_NAME=fat:reuters_qtrly_source_window.fat&amp;display_string=Audit&amp;DYN_ARGS=TRUE&amp;VAR:ID1=16245610&amp;VAR:RCODE=LTLL&amp;VAR:SDATE=20081199&amp;VAR:FREQ=DAILY&amp;VAR:RELITEM=&amp;VAR:CURRENCY=&amp;VAR:CURRSOURCE=EXSHARE&amp;","VAR:NATFREQ=QUARTERLY&amp;VAR:RFIELD=FINALIZED&amp;VAR:DB_TYPE=&amp;VAR:UNITS=M&amp;window=popup&amp;width=450&amp;height=300&amp;START_MAXIMIZED=FALSE"}</definedName>
    <definedName name="_2298__FDSAUDITLINK__" hidden="1">{"fdsup://IBCentral/FAT Viewer?action=UPDATE&amp;creator=factset&amp;DOC_NAME=fat:reuters_qtrly_source_window.fat&amp;display_string=Audit&amp;DYN_ARGS=TRUE&amp;VAR:ID1=16245610&amp;VAR:RCODE=LTCL&amp;VAR:SDATE=20081199&amp;VAR:FREQ=DAILY&amp;VAR:RELITEM=&amp;VAR:CURRENCY=&amp;VAR:CURRSOURCE=EXSHARE&amp;","VAR:NATFREQ=QUARTERLY&amp;VAR:RFIELD=FINALIZED&amp;VAR:DB_TYPE=&amp;VAR:UNITS=M&amp;window=popup&amp;width=450&amp;height=300&amp;START_MAXIMIZED=FALSE"}</definedName>
    <definedName name="_2299__FDSAUDITLINK__" hidden="1">{"fdsup://IBCentral/FAT Viewer?action=UPDATE&amp;creator=factset&amp;DOC_NAME=fat:reuters_qtrly_source_window.fat&amp;display_string=Audit&amp;DYN_ARGS=TRUE&amp;VAR:ID1=16245610&amp;VAR:RCODE=ATCA&amp;VAR:SDATE=20081199&amp;VAR:FREQ=DAILY&amp;VAR:RELITEM=&amp;VAR:CURRENCY=&amp;VAR:CURRSOURCE=EXSHARE&amp;","VAR:NATFREQ=QUARTERLY&amp;VAR:RFIELD=FINALIZED&amp;VAR:DB_TYPE=&amp;VAR:UNITS=M&amp;window=popup&amp;width=450&amp;height=300&amp;START_MAXIMIZED=FALSE"}</definedName>
    <definedName name="_23__FDSAUDITLINK__" hidden="1">{"fdsup://Directions/FactSet Auditing Viewer?action=AUDIT_VALUE&amp;DB=129&amp;ID1=01448210&amp;VALUEID=02999&amp;SDATE=201001&amp;PERIODTYPE=QTR_STD&amp;window=popup_no_bar&amp;width=385&amp;height=120&amp;START_MAXIMIZED=FALSE&amp;creator=factset&amp;display_string=Audit"}</definedName>
    <definedName name="_230__FDSAUDITLINK__" hidden="1">{"fdsup://Directions/FactSet Auditing Viewer?action=AUDIT_VALUE&amp;DB=129&amp;ID1=30372610&amp;VALUEID=02999&amp;SDATE=201001&amp;PERIODTYPE=QTR_STD&amp;window=popup_no_bar&amp;width=385&amp;height=120&amp;START_MAXIMIZED=FALSE&amp;creator=factset&amp;display_string=Audit"}</definedName>
    <definedName name="_2300__FDSAUDITLINK__" hidden="1">{"fdsup://IBCentral/FAT Viewer?action=UPDATE&amp;creator=factset&amp;DOC_NAME=fat:reuters_qtrly_source_window.fat&amp;display_string=Audit&amp;DYN_ARGS=TRUE&amp;VAR:ID1=16245610&amp;VAR:RCODE=ATOT&amp;VAR:SDATE=20081199&amp;VAR:FREQ=DAILY&amp;VAR:RELITEM=&amp;VAR:CURRENCY=&amp;VAR:CURRSOURCE=EXSHARE&amp;","VAR:NATFREQ=QUARTERLY&amp;VAR:RFIELD=FINALIZED&amp;VAR:DB_TYPE=&amp;VAR:UNITS=M&amp;window=popup&amp;width=450&amp;height=300&amp;START_MAXIMIZED=FALSE"}</definedName>
    <definedName name="_2301__FDSAUDITLINK__" hidden="1">{"fdsup://IBCentral/FAT Viewer?action=UPDATE&amp;creator=factset&amp;DOC_NAME=fat:reuters_qtrly_source_window.fat&amp;display_string=Audit&amp;DYN_ARGS=TRUE&amp;VAR:ID1=11573610&amp;VAR:RCODE=LTLL&amp;VAR:SDATE=20081099&amp;VAR:FREQ=DAILY&amp;VAR:RELITEM=&amp;VAR:CURRENCY=&amp;VAR:CURRSOURCE=EXSHARE&amp;","VAR:NATFREQ=QUARTERLY&amp;VAR:RFIELD=FINALIZED&amp;VAR:DB_TYPE=&amp;VAR:UNITS=M&amp;window=popup&amp;width=450&amp;height=300&amp;START_MAXIMIZED=FALSE"}</definedName>
    <definedName name="_2302__FDSAUDITLINK__" hidden="1">{"fdsup://IBCentral/FAT Viewer?action=UPDATE&amp;creator=factset&amp;DOC_NAME=fat:reuters_qtrly_source_window.fat&amp;display_string=Audit&amp;DYN_ARGS=TRUE&amp;VAR:ID1=11573610&amp;VAR:RCODE=LTCL&amp;VAR:SDATE=20081099&amp;VAR:FREQ=DAILY&amp;VAR:RELITEM=&amp;VAR:CURRENCY=&amp;VAR:CURRSOURCE=EXSHARE&amp;","VAR:NATFREQ=QUARTERLY&amp;VAR:RFIELD=FINALIZED&amp;VAR:DB_TYPE=&amp;VAR:UNITS=M&amp;window=popup&amp;width=450&amp;height=300&amp;START_MAXIMIZED=FALSE"}</definedName>
    <definedName name="_2303__FDSAUDITLINK__" hidden="1">{"fdsup://IBCentral/FAT Viewer?action=UPDATE&amp;creator=factset&amp;DOC_NAME=fat:reuters_qtrly_source_window.fat&amp;display_string=Audit&amp;DYN_ARGS=TRUE&amp;VAR:ID1=11573610&amp;VAR:RCODE=ATCA&amp;VAR:SDATE=20081099&amp;VAR:FREQ=DAILY&amp;VAR:RELITEM=&amp;VAR:CURRENCY=&amp;VAR:CURRSOURCE=EXSHARE&amp;","VAR:NATFREQ=QUARTERLY&amp;VAR:RFIELD=FINALIZED&amp;VAR:DB_TYPE=&amp;VAR:UNITS=M&amp;window=popup&amp;width=450&amp;height=300&amp;START_MAXIMIZED=FALSE"}</definedName>
    <definedName name="_2304__FDSAUDITLINK__" hidden="1">{"fdsup://IBCentral/FAT Viewer?action=UPDATE&amp;creator=factset&amp;DOC_NAME=fat:reuters_qtrly_source_window.fat&amp;display_string=Audit&amp;DYN_ARGS=TRUE&amp;VAR:ID1=11573610&amp;VAR:RCODE=ATOT&amp;VAR:SDATE=20081099&amp;VAR:FREQ=DAILY&amp;VAR:RELITEM=&amp;VAR:CURRENCY=&amp;VAR:CURRSOURCE=EXSHARE&amp;","VAR:NATFREQ=QUARTERLY&amp;VAR:RFIELD=FINALIZED&amp;VAR:DB_TYPE=&amp;VAR:UNITS=M&amp;window=popup&amp;width=450&amp;height=300&amp;START_MAXIMIZED=FALSE"}</definedName>
    <definedName name="_2305__FDSAUDITLINK__" hidden="1">{"fdsup://IBCentral/FAT Viewer?action=UPDATE&amp;creator=factset&amp;DOC_NAME=fat:reuters_qtrly_source_window.fat&amp;display_string=Audit&amp;DYN_ARGS=TRUE&amp;VAR:ID1=10330410&amp;VAR:RCODE=LTLL&amp;VAR:SDATE=20081299&amp;VAR:FREQ=DAILY&amp;VAR:RELITEM=&amp;VAR:CURRENCY=&amp;VAR:CURRSOURCE=EXSHARE&amp;","VAR:NATFREQ=QUARTERLY&amp;VAR:RFIELD=FINALIZED&amp;VAR:DB_TYPE=&amp;VAR:UNITS=M&amp;window=popup&amp;width=450&amp;height=300&amp;START_MAXIMIZED=FALSE"}</definedName>
    <definedName name="_2306__FDSAUDITLINK__" hidden="1">{"fdsup://IBCentral/FAT Viewer?action=UPDATE&amp;creator=factset&amp;DOC_NAME=fat:reuters_qtrly_source_window.fat&amp;display_string=Audit&amp;DYN_ARGS=TRUE&amp;VAR:ID1=10330410&amp;VAR:RCODE=LTCL&amp;VAR:SDATE=20081299&amp;VAR:FREQ=DAILY&amp;VAR:RELITEM=&amp;VAR:CURRENCY=&amp;VAR:CURRSOURCE=EXSHARE&amp;","VAR:NATFREQ=QUARTERLY&amp;VAR:RFIELD=FINALIZED&amp;VAR:DB_TYPE=&amp;VAR:UNITS=M&amp;window=popup&amp;width=450&amp;height=300&amp;START_MAXIMIZED=FALSE"}</definedName>
    <definedName name="_2307__FDSAUDITLINK__" hidden="1">{"fdsup://IBCentral/FAT Viewer?action=UPDATE&amp;creator=factset&amp;DOC_NAME=fat:reuters_qtrly_source_window.fat&amp;display_string=Audit&amp;DYN_ARGS=TRUE&amp;VAR:ID1=10330410&amp;VAR:RCODE=ATCA&amp;VAR:SDATE=20081299&amp;VAR:FREQ=DAILY&amp;VAR:RELITEM=&amp;VAR:CURRENCY=&amp;VAR:CURRSOURCE=EXSHARE&amp;","VAR:NATFREQ=QUARTERLY&amp;VAR:RFIELD=FINALIZED&amp;VAR:DB_TYPE=&amp;VAR:UNITS=M&amp;window=popup&amp;width=450&amp;height=300&amp;START_MAXIMIZED=FALSE"}</definedName>
    <definedName name="_2308__FDSAUDITLINK__" hidden="1">{"fdsup://IBCentral/FAT Viewer?action=UPDATE&amp;creator=factset&amp;DOC_NAME=fat:reuters_qtrly_source_window.fat&amp;display_string=Audit&amp;DYN_ARGS=TRUE&amp;VAR:ID1=10330410&amp;VAR:RCODE=ATOT&amp;VAR:SDATE=20081299&amp;VAR:FREQ=DAILY&amp;VAR:RELITEM=&amp;VAR:CURRENCY=&amp;VAR:CURRSOURCE=EXSHARE&amp;","VAR:NATFREQ=QUARTERLY&amp;VAR:RFIELD=FINALIZED&amp;VAR:DB_TYPE=&amp;VAR:UNITS=M&amp;window=popup&amp;width=450&amp;height=300&amp;START_MAXIMIZED=FALSE"}</definedName>
    <definedName name="_2309__FDSAUDITLINK__" hidden="1">{"fdsup://IBCentral/FAT Viewer?action=UPDATE&amp;creator=factset&amp;DOC_NAME=fat:reuters_qtrly_source_window.fat&amp;display_string=Audit&amp;DYN_ARGS=TRUE&amp;VAR:ID1=10304310&amp;VAR:RCODE=LTLL&amp;VAR:SDATE=20081299&amp;VAR:FREQ=DAILY&amp;VAR:RELITEM=&amp;VAR:CURRENCY=&amp;VAR:CURRSOURCE=EXSHARE&amp;","VAR:NATFREQ=QUARTERLY&amp;VAR:RFIELD=FINALIZED&amp;VAR:DB_TYPE=&amp;VAR:UNITS=M&amp;window=popup&amp;width=450&amp;height=300&amp;START_MAXIMIZED=FALSE"}</definedName>
    <definedName name="_231__FDSAUDITLINK__" hidden="1">{"fdsup://Directions/FactSet Auditing Viewer?action=AUDIT_VALUE&amp;DB=129&amp;ID1=30556010&amp;VALUEID=02999&amp;SDATE=201001&amp;PERIODTYPE=QTR_STD&amp;window=popup_no_bar&amp;width=385&amp;height=120&amp;START_MAXIMIZED=FALSE&amp;creator=factset&amp;display_string=Audit"}</definedName>
    <definedName name="_2310__FDSAUDITLINK__" hidden="1">{"fdsup://IBCentral/FAT Viewer?action=UPDATE&amp;creator=factset&amp;DOC_NAME=fat:reuters_qtrly_source_window.fat&amp;display_string=Audit&amp;DYN_ARGS=TRUE&amp;VAR:ID1=10304310&amp;VAR:RCODE=LTCL&amp;VAR:SDATE=20081299&amp;VAR:FREQ=DAILY&amp;VAR:RELITEM=&amp;VAR:CURRENCY=&amp;VAR:CURRSOURCE=EXSHARE&amp;","VAR:NATFREQ=QUARTERLY&amp;VAR:RFIELD=FINALIZED&amp;VAR:DB_TYPE=&amp;VAR:UNITS=M&amp;window=popup&amp;width=450&amp;height=300&amp;START_MAXIMIZED=FALSE"}</definedName>
    <definedName name="_2311__FDSAUDITLINK__" hidden="1">{"fdsup://IBCentral/FAT Viewer?action=UPDATE&amp;creator=factset&amp;DOC_NAME=fat:reuters_qtrly_source_window.fat&amp;display_string=Audit&amp;DYN_ARGS=TRUE&amp;VAR:ID1=10304310&amp;VAR:RCODE=ATCA&amp;VAR:SDATE=20081299&amp;VAR:FREQ=DAILY&amp;VAR:RELITEM=&amp;VAR:CURRENCY=&amp;VAR:CURRSOURCE=EXSHARE&amp;","VAR:NATFREQ=QUARTERLY&amp;VAR:RFIELD=FINALIZED&amp;VAR:DB_TYPE=&amp;VAR:UNITS=M&amp;window=popup&amp;width=450&amp;height=300&amp;START_MAXIMIZED=FALSE"}</definedName>
    <definedName name="_2312__FDSAUDITLINK__" hidden="1">{"fdsup://IBCentral/FAT Viewer?action=UPDATE&amp;creator=factset&amp;DOC_NAME=fat:reuters_qtrly_source_window.fat&amp;display_string=Audit&amp;DYN_ARGS=TRUE&amp;VAR:ID1=10304310&amp;VAR:RCODE=ATOT&amp;VAR:SDATE=20081299&amp;VAR:FREQ=DAILY&amp;VAR:RELITEM=&amp;VAR:CURRENCY=&amp;VAR:CURRSOURCE=EXSHARE&amp;","VAR:NATFREQ=QUARTERLY&amp;VAR:RFIELD=FINALIZED&amp;VAR:DB_TYPE=&amp;VAR:UNITS=M&amp;window=popup&amp;width=450&amp;height=300&amp;START_MAXIMIZED=FALSE"}</definedName>
    <definedName name="_2313__FDSAUDITLINK__" hidden="1">{"fdsup://IBCentral/FAT Viewer?action=UPDATE&amp;creator=factset&amp;DOC_NAME=fat:reuters_qtrly_source_window.fat&amp;display_string=Audit&amp;DYN_ARGS=TRUE&amp;VAR:ID1=08160H10&amp;VAR:RCODE=LTLL&amp;VAR:SDATE=20081299&amp;VAR:FREQ=DAILY&amp;VAR:RELITEM=&amp;VAR:CURRENCY=&amp;VAR:CURRSOURCE=EXSHARE&amp;","VAR:NATFREQ=QUARTERLY&amp;VAR:RFIELD=FINALIZED&amp;VAR:DB_TYPE=&amp;VAR:UNITS=M&amp;window=popup&amp;width=450&amp;height=300&amp;START_MAXIMIZED=FALSE"}</definedName>
    <definedName name="_2314__FDSAUDITLINK__" hidden="1">{"fdsup://IBCentral/FAT Viewer?action=UPDATE&amp;creator=factset&amp;DOC_NAME=fat:reuters_qtrly_source_window.fat&amp;display_string=Audit&amp;DYN_ARGS=TRUE&amp;VAR:ID1=08160H10&amp;VAR:RCODE=LTCL&amp;VAR:SDATE=20081299&amp;VAR:FREQ=DAILY&amp;VAR:RELITEM=&amp;VAR:CURRENCY=&amp;VAR:CURRSOURCE=EXSHARE&amp;","VAR:NATFREQ=QUARTERLY&amp;VAR:RFIELD=FINALIZED&amp;VAR:DB_TYPE=&amp;VAR:UNITS=M&amp;window=popup&amp;width=450&amp;height=300&amp;START_MAXIMIZED=FALSE"}</definedName>
    <definedName name="_2315__FDSAUDITLINK__" hidden="1">{"fdsup://IBCentral/FAT Viewer?action=UPDATE&amp;creator=factset&amp;DOC_NAME=fat:reuters_qtrly_source_window.fat&amp;display_string=Audit&amp;DYN_ARGS=TRUE&amp;VAR:ID1=08160H10&amp;VAR:RCODE=ATCA&amp;VAR:SDATE=20081299&amp;VAR:FREQ=DAILY&amp;VAR:RELITEM=&amp;VAR:CURRENCY=&amp;VAR:CURRSOURCE=EXSHARE&amp;","VAR:NATFREQ=QUARTERLY&amp;VAR:RFIELD=FINALIZED&amp;VAR:DB_TYPE=&amp;VAR:UNITS=M&amp;window=popup&amp;width=450&amp;height=300&amp;START_MAXIMIZED=FALSE"}</definedName>
    <definedName name="_2316__FDSAUDITLINK__" hidden="1">{"fdsup://IBCentral/FAT Viewer?action=UPDATE&amp;creator=factset&amp;DOC_NAME=fat:reuters_qtrly_source_window.fat&amp;display_string=Audit&amp;DYN_ARGS=TRUE&amp;VAR:ID1=08160H10&amp;VAR:RCODE=ATOT&amp;VAR:SDATE=20081299&amp;VAR:FREQ=DAILY&amp;VAR:RELITEM=&amp;VAR:CURRENCY=&amp;VAR:CURRSOURCE=EXSHARE&amp;","VAR:NATFREQ=QUARTERLY&amp;VAR:RFIELD=FINALIZED&amp;VAR:DB_TYPE=&amp;VAR:UNITS=M&amp;window=popup&amp;width=450&amp;height=300&amp;START_MAXIMIZED=FALSE"}</definedName>
    <definedName name="_2317__FDSAUDITLINK__" hidden="1">{"fdsup://IBCentral/FAT Viewer?action=UPDATE&amp;creator=factset&amp;DOC_NAME=fat:reuters_qtrly_source_window.fat&amp;display_string=Audit&amp;DYN_ARGS=TRUE&amp;VAR:ID1=06985P10&amp;VAR:RCODE=LTLL&amp;VAR:SDATE=20081299&amp;VAR:FREQ=DAILY&amp;VAR:RELITEM=&amp;VAR:CURRENCY=&amp;VAR:CURRSOURCE=EXSHARE&amp;","VAR:NATFREQ=QUARTERLY&amp;VAR:RFIELD=FINALIZED&amp;VAR:DB_TYPE=&amp;VAR:UNITS=M&amp;window=popup&amp;width=450&amp;height=300&amp;START_MAXIMIZED=FALSE"}</definedName>
    <definedName name="_2318__FDSAUDITLINK__" hidden="1">{"fdsup://IBCentral/FAT Viewer?action=UPDATE&amp;creator=factset&amp;DOC_NAME=fat:reuters_qtrly_source_window.fat&amp;display_string=Audit&amp;DYN_ARGS=TRUE&amp;VAR:ID1=06985P10&amp;VAR:RCODE=LTCL&amp;VAR:SDATE=20081299&amp;VAR:FREQ=DAILY&amp;VAR:RELITEM=&amp;VAR:CURRENCY=&amp;VAR:CURRSOURCE=EXSHARE&amp;","VAR:NATFREQ=QUARTERLY&amp;VAR:RFIELD=FINALIZED&amp;VAR:DB_TYPE=&amp;VAR:UNITS=M&amp;window=popup&amp;width=450&amp;height=300&amp;START_MAXIMIZED=FALSE"}</definedName>
    <definedName name="_2319__FDSAUDITLINK__" hidden="1">{"fdsup://IBCentral/FAT Viewer?action=UPDATE&amp;creator=factset&amp;DOC_NAME=fat:reuters_qtrly_source_window.fat&amp;display_string=Audit&amp;DYN_ARGS=TRUE&amp;VAR:ID1=06985P10&amp;VAR:RCODE=ATCA&amp;VAR:SDATE=20081299&amp;VAR:FREQ=DAILY&amp;VAR:RELITEM=&amp;VAR:CURRENCY=&amp;VAR:CURRSOURCE=EXSHARE&amp;","VAR:NATFREQ=QUARTERLY&amp;VAR:RFIELD=FINALIZED&amp;VAR:DB_TYPE=&amp;VAR:UNITS=M&amp;window=popup&amp;width=450&amp;height=300&amp;START_MAXIMIZED=FALSE"}</definedName>
    <definedName name="_232__FDSAUDITLINK__" hidden="1">{"fdsup://Directions/FactSet Auditing Viewer?action=AUDIT_VALUE&amp;DB=129&amp;ID1=31540510&amp;VALUEID=02999&amp;SDATE=201001&amp;PERIODTYPE=QTR_STD&amp;window=popup_no_bar&amp;width=385&amp;height=120&amp;START_MAXIMIZED=FALSE&amp;creator=factset&amp;display_string=Audit"}</definedName>
    <definedName name="_2320__FDSAUDITLINK__" hidden="1">{"fdsup://IBCentral/FAT Viewer?action=UPDATE&amp;creator=factset&amp;DOC_NAME=fat:reuters_qtrly_source_window.fat&amp;display_string=Audit&amp;DYN_ARGS=TRUE&amp;VAR:ID1=06985P10&amp;VAR:RCODE=ATOT&amp;VAR:SDATE=20081299&amp;VAR:FREQ=DAILY&amp;VAR:RELITEM=&amp;VAR:CURRENCY=&amp;VAR:CURRSOURCE=EXSHARE&amp;","VAR:NATFREQ=QUARTERLY&amp;VAR:RFIELD=FINALIZED&amp;VAR:DB_TYPE=&amp;VAR:UNITS=M&amp;window=popup&amp;width=450&amp;height=300&amp;START_MAXIMIZED=FALSE"}</definedName>
    <definedName name="_2321__FDSAUDITLINK__" hidden="1">{"fdsup://IBCentral/FAT Viewer?action=UPDATE&amp;creator=factset&amp;DOC_NAME=fat:reuters_qtrly_source_window.fat&amp;display_string=Audit&amp;DYN_ARGS=TRUE&amp;VAR:ID1=06751110&amp;VAR:RCODE=LTLL&amp;VAR:SDATE=20081299&amp;VAR:FREQ=DAILY&amp;VAR:RELITEM=&amp;VAR:CURRENCY=&amp;VAR:CURRSOURCE=EXSHARE&amp;","VAR:NATFREQ=QUARTERLY&amp;VAR:RFIELD=FINALIZED&amp;VAR:DB_TYPE=&amp;VAR:UNITS=M&amp;window=popup&amp;width=450&amp;height=300&amp;START_MAXIMIZED=FALSE"}</definedName>
    <definedName name="_2322__FDSAUDITLINK__" hidden="1">{"fdsup://IBCentral/FAT Viewer?action=UPDATE&amp;creator=factset&amp;DOC_NAME=fat:reuters_qtrly_source_window.fat&amp;display_string=Audit&amp;DYN_ARGS=TRUE&amp;VAR:ID1=06751110&amp;VAR:RCODE=LTCL&amp;VAR:SDATE=20081299&amp;VAR:FREQ=DAILY&amp;VAR:RELITEM=&amp;VAR:CURRENCY=&amp;VAR:CURRSOURCE=EXSHARE&amp;","VAR:NATFREQ=QUARTERLY&amp;VAR:RFIELD=FINALIZED&amp;VAR:DB_TYPE=&amp;VAR:UNITS=M&amp;window=popup&amp;width=450&amp;height=300&amp;START_MAXIMIZED=FALSE"}</definedName>
    <definedName name="_2323__FDSAUDITLINK__" hidden="1">{"fdsup://IBCentral/FAT Viewer?action=UPDATE&amp;creator=factset&amp;DOC_NAME=fat:reuters_qtrly_source_window.fat&amp;display_string=Audit&amp;DYN_ARGS=TRUE&amp;VAR:ID1=06751110&amp;VAR:RCODE=ATCA&amp;VAR:SDATE=20081299&amp;VAR:FREQ=DAILY&amp;VAR:RELITEM=&amp;VAR:CURRENCY=&amp;VAR:CURRSOURCE=EXSHARE&amp;","VAR:NATFREQ=QUARTERLY&amp;VAR:RFIELD=FINALIZED&amp;VAR:DB_TYPE=&amp;VAR:UNITS=M&amp;window=popup&amp;width=450&amp;height=300&amp;START_MAXIMIZED=FALSE"}</definedName>
    <definedName name="_2324__FDSAUDITLINK__" hidden="1">{"fdsup://IBCentral/FAT Viewer?action=UPDATE&amp;creator=factset&amp;DOC_NAME=fat:reuters_qtrly_source_window.fat&amp;display_string=Audit&amp;DYN_ARGS=TRUE&amp;VAR:ID1=06751110&amp;VAR:RCODE=ATOT&amp;VAR:SDATE=20081299&amp;VAR:FREQ=DAILY&amp;VAR:RELITEM=&amp;VAR:CURRENCY=&amp;VAR:CURRSOURCE=EXSHARE&amp;","VAR:NATFREQ=QUARTERLY&amp;VAR:RFIELD=FINALIZED&amp;VAR:DB_TYPE=&amp;VAR:UNITS=M&amp;window=popup&amp;width=450&amp;height=300&amp;START_MAXIMIZED=FALSE"}</definedName>
    <definedName name="_2325__FDSAUDITLINK__" hidden="1">{"fdsup://IBCentral/FAT Viewer?action=UPDATE&amp;creator=factset&amp;DOC_NAME=fat:reuters_qtrly_source_window.fat&amp;display_string=Audit&amp;DYN_ARGS=TRUE&amp;VAR:ID1=05874B10&amp;VAR:RCODE=LTLL&amp;VAR:SDATE=20081299&amp;VAR:FREQ=DAILY&amp;VAR:RELITEM=&amp;VAR:CURRENCY=&amp;VAR:CURRSOURCE=EXSHARE&amp;","VAR:NATFREQ=QUARTERLY&amp;VAR:RFIELD=FINALIZED&amp;VAR:DB_TYPE=&amp;VAR:UNITS=M&amp;window=popup&amp;width=450&amp;height=300&amp;START_MAXIMIZED=FALSE"}</definedName>
    <definedName name="_2326__FDSAUDITLINK__" hidden="1">{"fdsup://IBCentral/FAT Viewer?action=UPDATE&amp;creator=factset&amp;DOC_NAME=fat:reuters_qtrly_source_window.fat&amp;display_string=Audit&amp;DYN_ARGS=TRUE&amp;VAR:ID1=05874B10&amp;VAR:RCODE=LTCL&amp;VAR:SDATE=20081299&amp;VAR:FREQ=DAILY&amp;VAR:RELITEM=&amp;VAR:CURRENCY=&amp;VAR:CURRSOURCE=EXSHARE&amp;","VAR:NATFREQ=QUARTERLY&amp;VAR:RFIELD=FINALIZED&amp;VAR:DB_TYPE=&amp;VAR:UNITS=M&amp;window=popup&amp;width=450&amp;height=300&amp;START_MAXIMIZED=FALSE"}</definedName>
    <definedName name="_2327__FDSAUDITLINK__" hidden="1">{"fdsup://IBCentral/FAT Viewer?action=UPDATE&amp;creator=factset&amp;DOC_NAME=fat:reuters_qtrly_source_window.fat&amp;display_string=Audit&amp;DYN_ARGS=TRUE&amp;VAR:ID1=05874B10&amp;VAR:RCODE=ATCA&amp;VAR:SDATE=20081299&amp;VAR:FREQ=DAILY&amp;VAR:RELITEM=&amp;VAR:CURRENCY=&amp;VAR:CURRSOURCE=EXSHARE&amp;","VAR:NATFREQ=QUARTERLY&amp;VAR:RFIELD=FINALIZED&amp;VAR:DB_TYPE=&amp;VAR:UNITS=M&amp;window=popup&amp;width=450&amp;height=300&amp;START_MAXIMIZED=FALSE"}</definedName>
    <definedName name="_2328__FDSAUDITLINK__" hidden="1">{"fdsup://IBCentral/FAT Viewer?action=UPDATE&amp;creator=factset&amp;DOC_NAME=fat:reuters_qtrly_source_window.fat&amp;display_string=Audit&amp;DYN_ARGS=TRUE&amp;VAR:ID1=05874B10&amp;VAR:RCODE=ATOT&amp;VAR:SDATE=20081299&amp;VAR:FREQ=DAILY&amp;VAR:RELITEM=&amp;VAR:CURRENCY=&amp;VAR:CURRSOURCE=EXSHARE&amp;","VAR:NATFREQ=QUARTERLY&amp;VAR:RFIELD=FINALIZED&amp;VAR:DB_TYPE=&amp;VAR:UNITS=M&amp;window=popup&amp;width=450&amp;height=300&amp;START_MAXIMIZED=FALSE"}</definedName>
    <definedName name="_2329__FDSAUDITLINK__" hidden="1">{"fdsup://IBCentral/FAT Viewer?action=UPDATE&amp;creator=factset&amp;DOC_NAME=fat:reuters_qtrly_source_window.fat&amp;display_string=Audit&amp;DYN_ARGS=TRUE&amp;VAR:ID1=03938010&amp;VAR:RCODE=LTLL&amp;VAR:SDATE=20081299&amp;VAR:FREQ=DAILY&amp;VAR:RELITEM=&amp;VAR:CURRENCY=&amp;VAR:CURRSOURCE=EXSHARE&amp;","VAR:NATFREQ=QUARTERLY&amp;VAR:RFIELD=FINALIZED&amp;VAR:DB_TYPE=&amp;VAR:UNITS=M&amp;window=popup&amp;width=450&amp;height=300&amp;START_MAXIMIZED=FALSE"}</definedName>
    <definedName name="_233__FDSAUDITLINK__" hidden="1">{"fdsup://Directions/FactSet Auditing Viewer?action=AUDIT_VALUE&amp;DB=129&amp;ID1=31620M10&amp;VALUEID=02999&amp;SDATE=201001&amp;PERIODTYPE=QTR_STD&amp;window=popup_no_bar&amp;width=385&amp;height=120&amp;START_MAXIMIZED=FALSE&amp;creator=factset&amp;display_string=Audit"}</definedName>
    <definedName name="_2330__FDSAUDITLINK__" hidden="1">{"fdsup://IBCentral/FAT Viewer?action=UPDATE&amp;creator=factset&amp;DOC_NAME=fat:reuters_qtrly_source_window.fat&amp;display_string=Audit&amp;DYN_ARGS=TRUE&amp;VAR:ID1=03938010&amp;VAR:RCODE=LTCL&amp;VAR:SDATE=20081299&amp;VAR:FREQ=DAILY&amp;VAR:RELITEM=&amp;VAR:CURRENCY=&amp;VAR:CURRSOURCE=EXSHARE&amp;","VAR:NATFREQ=QUARTERLY&amp;VAR:RFIELD=FINALIZED&amp;VAR:DB_TYPE=&amp;VAR:UNITS=M&amp;window=popup&amp;width=450&amp;height=300&amp;START_MAXIMIZED=FALSE"}</definedName>
    <definedName name="_2331__FDSAUDITLINK__" hidden="1">{"fdsup://IBCentral/FAT Viewer?action=UPDATE&amp;creator=factset&amp;DOC_NAME=fat:reuters_qtrly_source_window.fat&amp;display_string=Audit&amp;DYN_ARGS=TRUE&amp;VAR:ID1=03938010&amp;VAR:RCODE=ATCA&amp;VAR:SDATE=20081299&amp;VAR:FREQ=DAILY&amp;VAR:RELITEM=&amp;VAR:CURRENCY=&amp;VAR:CURRSOURCE=EXSHARE&amp;","VAR:NATFREQ=QUARTERLY&amp;VAR:RFIELD=FINALIZED&amp;VAR:DB_TYPE=&amp;VAR:UNITS=M&amp;window=popup&amp;width=450&amp;height=300&amp;START_MAXIMIZED=FALSE"}</definedName>
    <definedName name="_2332__FDSAUDITLINK__" hidden="1">{"fdsup://IBCentral/FAT Viewer?action=UPDATE&amp;creator=factset&amp;DOC_NAME=fat:reuters_qtrly_source_window.fat&amp;display_string=Audit&amp;DYN_ARGS=TRUE&amp;VAR:ID1=03938010&amp;VAR:RCODE=ATOT&amp;VAR:SDATE=20081299&amp;VAR:FREQ=DAILY&amp;VAR:RELITEM=&amp;VAR:CURRENCY=&amp;VAR:CURRSOURCE=EXSHARE&amp;","VAR:NATFREQ=QUARTERLY&amp;VAR:RFIELD=FINALIZED&amp;VAR:DB_TYPE=&amp;VAR:UNITS=M&amp;window=popup&amp;width=450&amp;height=300&amp;START_MAXIMIZED=FALSE"}</definedName>
    <definedName name="_2333__FDSAUDITLINK__" hidden="1">{"fdsup://IBCentral/FAT Viewer?action=UPDATE&amp;creator=factset&amp;DOC_NAME=fat:reuters_qtrly_source_window.fat&amp;display_string=Audit&amp;DYN_ARGS=TRUE&amp;VAR:ID1=03529010&amp;VAR:RCODE=LTLL&amp;VAR:SDATE=20081299&amp;VAR:FREQ=DAILY&amp;VAR:RELITEM=&amp;VAR:CURRENCY=&amp;VAR:CURRSOURCE=EXSHARE&amp;","VAR:NATFREQ=QUARTERLY&amp;VAR:RFIELD=FINALIZED&amp;VAR:DB_TYPE=&amp;VAR:UNITS=M&amp;window=popup&amp;width=450&amp;height=300&amp;START_MAXIMIZED=FALSE"}</definedName>
    <definedName name="_2334__FDSAUDITLINK__" hidden="1">{"fdsup://IBCentral/FAT Viewer?action=UPDATE&amp;creator=factset&amp;DOC_NAME=fat:reuters_qtrly_source_window.fat&amp;display_string=Audit&amp;DYN_ARGS=TRUE&amp;VAR:ID1=03529010&amp;VAR:RCODE=LTCL&amp;VAR:SDATE=20081299&amp;VAR:FREQ=DAILY&amp;VAR:RELITEM=&amp;VAR:CURRENCY=&amp;VAR:CURRSOURCE=EXSHARE&amp;","VAR:NATFREQ=QUARTERLY&amp;VAR:RFIELD=FINALIZED&amp;VAR:DB_TYPE=&amp;VAR:UNITS=M&amp;window=popup&amp;width=450&amp;height=300&amp;START_MAXIMIZED=FALSE"}</definedName>
    <definedName name="_2335__FDSAUDITLINK__" hidden="1">{"fdsup://IBCentral/FAT Viewer?action=UPDATE&amp;creator=factset&amp;DOC_NAME=fat:reuters_qtrly_source_window.fat&amp;display_string=Audit&amp;DYN_ARGS=TRUE&amp;VAR:ID1=03529010&amp;VAR:RCODE=ATCA&amp;VAR:SDATE=20081299&amp;VAR:FREQ=DAILY&amp;VAR:RELITEM=&amp;VAR:CURRENCY=&amp;VAR:CURRSOURCE=EXSHARE&amp;","VAR:NATFREQ=QUARTERLY&amp;VAR:RFIELD=FINALIZED&amp;VAR:DB_TYPE=&amp;VAR:UNITS=M&amp;window=popup&amp;width=450&amp;height=300&amp;START_MAXIMIZED=FALSE"}</definedName>
    <definedName name="_2336__FDSAUDITLINK__" hidden="1">{"fdsup://IBCentral/FAT Viewer?action=UPDATE&amp;creator=factset&amp;DOC_NAME=fat:reuters_qtrly_source_window.fat&amp;display_string=Audit&amp;DYN_ARGS=TRUE&amp;VAR:ID1=03529010&amp;VAR:RCODE=ATOT&amp;VAR:SDATE=20081299&amp;VAR:FREQ=DAILY&amp;VAR:RELITEM=&amp;VAR:CURRENCY=&amp;VAR:CURRSOURCE=EXSHARE&amp;","VAR:NATFREQ=QUARTERLY&amp;VAR:RFIELD=FINALIZED&amp;VAR:DB_TYPE=&amp;VAR:UNITS=M&amp;window=popup&amp;width=450&amp;height=300&amp;START_MAXIMIZED=FALSE"}</definedName>
    <definedName name="_2337__FDSAUDITLINK__" hidden="1">{"fdsup://IBCentral/FAT Viewer?action=UPDATE&amp;creator=factset&amp;DOC_NAME=fat:reuters_qtrly_source_window.fat&amp;display_string=Audit&amp;DYN_ARGS=TRUE&amp;VAR:ID1=03165210&amp;VAR:RCODE=LTLL&amp;VAR:SDATE=20081299&amp;VAR:FREQ=DAILY&amp;VAR:RELITEM=&amp;VAR:CURRENCY=&amp;VAR:CURRSOURCE=EXSHARE&amp;","VAR:NATFREQ=QUARTERLY&amp;VAR:RFIELD=FINALIZED&amp;VAR:DB_TYPE=&amp;VAR:UNITS=M&amp;window=popup&amp;width=450&amp;height=300&amp;START_MAXIMIZED=FALSE"}</definedName>
    <definedName name="_2338__FDSAUDITLINK__" hidden="1">{"fdsup://IBCentral/FAT Viewer?action=UPDATE&amp;creator=factset&amp;DOC_NAME=fat:reuters_qtrly_source_window.fat&amp;display_string=Audit&amp;DYN_ARGS=TRUE&amp;VAR:ID1=03165210&amp;VAR:RCODE=LTCL&amp;VAR:SDATE=20081299&amp;VAR:FREQ=DAILY&amp;VAR:RELITEM=&amp;VAR:CURRENCY=&amp;VAR:CURRSOURCE=EXSHARE&amp;","VAR:NATFREQ=QUARTERLY&amp;VAR:RFIELD=FINALIZED&amp;VAR:DB_TYPE=&amp;VAR:UNITS=M&amp;window=popup&amp;width=450&amp;height=300&amp;START_MAXIMIZED=FALSE"}</definedName>
    <definedName name="_2339__FDSAUDITLINK__" hidden="1">{"fdsup://IBCentral/FAT Viewer?action=UPDATE&amp;creator=factset&amp;DOC_NAME=fat:reuters_qtrly_source_window.fat&amp;display_string=Audit&amp;DYN_ARGS=TRUE&amp;VAR:ID1=03165210&amp;VAR:RCODE=ATCA&amp;VAR:SDATE=20081299&amp;VAR:FREQ=DAILY&amp;VAR:RELITEM=&amp;VAR:CURRENCY=&amp;VAR:CURRSOURCE=EXSHARE&amp;","VAR:NATFREQ=QUARTERLY&amp;VAR:RFIELD=FINALIZED&amp;VAR:DB_TYPE=&amp;VAR:UNITS=M&amp;window=popup&amp;width=450&amp;height=300&amp;START_MAXIMIZED=FALSE"}</definedName>
    <definedName name="_234__FDSAUDITLINK__" hidden="1">{"fdsup://Directions/FactSet Auditing Viewer?action=AUDIT_VALUE&amp;DB=129&amp;ID1=88579Y10&amp;VALUEID=02999&amp;SDATE=201001&amp;PERIODTYPE=QTR_STD&amp;window=popup_no_bar&amp;width=385&amp;height=120&amp;START_MAXIMIZED=FALSE&amp;creator=factset&amp;display_string=Audit"}</definedName>
    <definedName name="_2340__FDSAUDITLINK__" hidden="1">{"fdsup://IBCentral/FAT Viewer?action=UPDATE&amp;creator=factset&amp;DOC_NAME=fat:reuters_qtrly_source_window.fat&amp;display_string=Audit&amp;DYN_ARGS=TRUE&amp;VAR:ID1=03165210&amp;VAR:RCODE=ATOT&amp;VAR:SDATE=20081299&amp;VAR:FREQ=DAILY&amp;VAR:RELITEM=&amp;VAR:CURRENCY=&amp;VAR:CURRSOURCE=EXSHARE&amp;","VAR:NATFREQ=QUARTERLY&amp;VAR:RFIELD=FINALIZED&amp;VAR:DB_TYPE=&amp;VAR:UNITS=M&amp;window=popup&amp;width=450&amp;height=300&amp;START_MAXIMIZED=FALSE"}</definedName>
    <definedName name="_2341__FDSAUDITLINK__" hidden="1">{"fdsup://IBCentral/FAT Viewer?action=UPDATE&amp;creator=factset&amp;DOC_NAME=fat:reuters_qtrly_source_window.fat&amp;display_string=Audit&amp;DYN_ARGS=TRUE&amp;VAR:ID1=03070Q10&amp;VAR:RCODE=LTLL&amp;VAR:SDATE=20081299&amp;VAR:FREQ=DAILY&amp;VAR:RELITEM=&amp;VAR:CURRENCY=&amp;VAR:CURRSOURCE=EXSHARE&amp;","VAR:NATFREQ=QUARTERLY&amp;VAR:RFIELD=FINALIZED&amp;VAR:DB_TYPE=&amp;VAR:UNITS=M&amp;window=popup&amp;width=450&amp;height=300&amp;START_MAXIMIZED=FALSE"}</definedName>
    <definedName name="_2342__FDSAUDITLINK__" hidden="1">{"fdsup://IBCentral/FAT Viewer?action=UPDATE&amp;creator=factset&amp;DOC_NAME=fat:reuters_qtrly_source_window.fat&amp;display_string=Audit&amp;DYN_ARGS=TRUE&amp;VAR:ID1=03070Q10&amp;VAR:RCODE=LTCL&amp;VAR:SDATE=20081299&amp;VAR:FREQ=DAILY&amp;VAR:RELITEM=&amp;VAR:CURRENCY=&amp;VAR:CURRSOURCE=EXSHARE&amp;","VAR:NATFREQ=QUARTERLY&amp;VAR:RFIELD=FINALIZED&amp;VAR:DB_TYPE=&amp;VAR:UNITS=M&amp;window=popup&amp;width=450&amp;height=300&amp;START_MAXIMIZED=FALSE"}</definedName>
    <definedName name="_2343__FDSAUDITLINK__" hidden="1">{"fdsup://IBCentral/FAT Viewer?action=UPDATE&amp;creator=factset&amp;DOC_NAME=fat:reuters_qtrly_source_window.fat&amp;display_string=Audit&amp;DYN_ARGS=TRUE&amp;VAR:ID1=03070Q10&amp;VAR:RCODE=ATCA&amp;VAR:SDATE=20081299&amp;VAR:FREQ=DAILY&amp;VAR:RELITEM=&amp;VAR:CURRENCY=&amp;VAR:CURRSOURCE=EXSHARE&amp;","VAR:NATFREQ=QUARTERLY&amp;VAR:RFIELD=FINALIZED&amp;VAR:DB_TYPE=&amp;VAR:UNITS=M&amp;window=popup&amp;width=450&amp;height=300&amp;START_MAXIMIZED=FALSE"}</definedName>
    <definedName name="_2344__FDSAUDITLINK__" hidden="1">{"fdsup://IBCentral/FAT Viewer?action=UPDATE&amp;creator=factset&amp;DOC_NAME=fat:reuters_qtrly_source_window.fat&amp;display_string=Audit&amp;DYN_ARGS=TRUE&amp;VAR:ID1=03070Q10&amp;VAR:RCODE=ATOT&amp;VAR:SDATE=20081299&amp;VAR:FREQ=DAILY&amp;VAR:RELITEM=&amp;VAR:CURRENCY=&amp;VAR:CURRSOURCE=EXSHARE&amp;","VAR:NATFREQ=QUARTERLY&amp;VAR:RFIELD=FINALIZED&amp;VAR:DB_TYPE=&amp;VAR:UNITS=M&amp;window=popup&amp;width=450&amp;height=300&amp;START_MAXIMIZED=FALSE"}</definedName>
    <definedName name="_2345__FDSAUDITLINK__" hidden="1">{"fdsup://IBCentral/FAT Viewer?action=UPDATE&amp;creator=factset&amp;DOC_NAME=fat:reuters_qtrly_source_window.fat&amp;display_string=Audit&amp;DYN_ARGS=TRUE&amp;VAR:ID1=03073T10&amp;VAR:RCODE=LTLL&amp;VAR:SDATE=20081299&amp;VAR:FREQ=DAILY&amp;VAR:RELITEM=&amp;VAR:CURRENCY=&amp;VAR:CURRSOURCE=EXSHARE&amp;","VAR:NATFREQ=QUARTERLY&amp;VAR:RFIELD=FINALIZED&amp;VAR:DB_TYPE=&amp;VAR:UNITS=M&amp;window=popup&amp;width=450&amp;height=300&amp;START_MAXIMIZED=FALSE"}</definedName>
    <definedName name="_2346__FDSAUDITLINK__" hidden="1">{"fdsup://IBCentral/FAT Viewer?action=UPDATE&amp;creator=factset&amp;DOC_NAME=fat:reuters_qtrly_source_window.fat&amp;display_string=Audit&amp;DYN_ARGS=TRUE&amp;VAR:ID1=03073T10&amp;VAR:RCODE=LTCL&amp;VAR:SDATE=20081299&amp;VAR:FREQ=DAILY&amp;VAR:RELITEM=&amp;VAR:CURRENCY=&amp;VAR:CURRSOURCE=EXSHARE&amp;","VAR:NATFREQ=QUARTERLY&amp;VAR:RFIELD=FINALIZED&amp;VAR:DB_TYPE=&amp;VAR:UNITS=M&amp;window=popup&amp;width=450&amp;height=300&amp;START_MAXIMIZED=FALSE"}</definedName>
    <definedName name="_2347__FDSAUDITLINK__" hidden="1">{"fdsup://IBCentral/FAT Viewer?action=UPDATE&amp;creator=factset&amp;DOC_NAME=fat:reuters_qtrly_source_window.fat&amp;display_string=Audit&amp;DYN_ARGS=TRUE&amp;VAR:ID1=03073T10&amp;VAR:RCODE=ATCA&amp;VAR:SDATE=20081299&amp;VAR:FREQ=DAILY&amp;VAR:RELITEM=&amp;VAR:CURRENCY=&amp;VAR:CURRSOURCE=EXSHARE&amp;","VAR:NATFREQ=QUARTERLY&amp;VAR:RFIELD=FINALIZED&amp;VAR:DB_TYPE=&amp;VAR:UNITS=M&amp;window=popup&amp;width=450&amp;height=300&amp;START_MAXIMIZED=FALSE"}</definedName>
    <definedName name="_2348__FDSAUDITLINK__" hidden="1">{"fdsup://IBCentral/FAT Viewer?action=UPDATE&amp;creator=factset&amp;DOC_NAME=fat:reuters_qtrly_source_window.fat&amp;display_string=Audit&amp;DYN_ARGS=TRUE&amp;VAR:ID1=03073T10&amp;VAR:RCODE=ATOT&amp;VAR:SDATE=20081299&amp;VAR:FREQ=DAILY&amp;VAR:RELITEM=&amp;VAR:CURRENCY=&amp;VAR:CURRSOURCE=EXSHARE&amp;","VAR:NATFREQ=QUARTERLY&amp;VAR:RFIELD=FINALIZED&amp;VAR:DB_TYPE=&amp;VAR:UNITS=M&amp;window=popup&amp;width=450&amp;height=300&amp;START_MAXIMIZED=FALSE"}</definedName>
    <definedName name="_2349__FDSAUDITLINK__" hidden="1">{"fdsup://IBCentral/FAT Viewer?action=UPDATE&amp;creator=factset&amp;DOC_NAME=fat:reuters_qtrly_source_window.fat&amp;display_string=Audit&amp;DYN_ARGS=TRUE&amp;VAR:ID1=02926310&amp;VAR:RCODE=LTLL&amp;VAR:SDATE=20081299&amp;VAR:FREQ=DAILY&amp;VAR:RELITEM=&amp;VAR:CURRENCY=&amp;VAR:CURRSOURCE=EXSHARE&amp;","VAR:NATFREQ=QUARTERLY&amp;VAR:RFIELD=FINALIZED&amp;VAR:DB_TYPE=&amp;VAR:UNITS=M&amp;window=popup&amp;width=450&amp;height=300&amp;START_MAXIMIZED=FALSE"}</definedName>
    <definedName name="_235__FDSAUDITLINK__" hidden="1">{"fdsup://Directions/FactSet Auditing Viewer?action=AUDIT_VALUE&amp;DB=129&amp;ID1=00282410&amp;VALUEID=02999&amp;SDATE=201001&amp;PERIODTYPE=QTR_STD&amp;window=popup_no_bar&amp;width=385&amp;height=120&amp;START_MAXIMIZED=FALSE&amp;creator=factset&amp;display_string=Audit"}</definedName>
    <definedName name="_2350__FDSAUDITLINK__" hidden="1">{"fdsup://IBCentral/FAT Viewer?action=UPDATE&amp;creator=factset&amp;DOC_NAME=fat:reuters_qtrly_source_window.fat&amp;display_string=Audit&amp;DYN_ARGS=TRUE&amp;VAR:ID1=02926310&amp;VAR:RCODE=LTCL&amp;VAR:SDATE=20081299&amp;VAR:FREQ=DAILY&amp;VAR:RELITEM=&amp;VAR:CURRENCY=&amp;VAR:CURRSOURCE=EXSHARE&amp;","VAR:NATFREQ=QUARTERLY&amp;VAR:RFIELD=FINALIZED&amp;VAR:DB_TYPE=&amp;VAR:UNITS=M&amp;window=popup&amp;width=450&amp;height=300&amp;START_MAXIMIZED=FALSE"}</definedName>
    <definedName name="_2351__FDSAUDITLINK__" hidden="1">{"fdsup://IBCentral/FAT Viewer?action=UPDATE&amp;creator=factset&amp;DOC_NAME=fat:reuters_qtrly_source_window.fat&amp;display_string=Audit&amp;DYN_ARGS=TRUE&amp;VAR:ID1=02926310&amp;VAR:RCODE=ATCA&amp;VAR:SDATE=20081299&amp;VAR:FREQ=DAILY&amp;VAR:RELITEM=&amp;VAR:CURRENCY=&amp;VAR:CURRSOURCE=EXSHARE&amp;","VAR:NATFREQ=QUARTERLY&amp;VAR:RFIELD=FINALIZED&amp;VAR:DB_TYPE=&amp;VAR:UNITS=M&amp;window=popup&amp;width=450&amp;height=300&amp;START_MAXIMIZED=FALSE"}</definedName>
    <definedName name="_2352__FDSAUDITLINK__" hidden="1">{"fdsup://IBCentral/FAT Viewer?action=UPDATE&amp;creator=factset&amp;DOC_NAME=fat:reuters_qtrly_source_window.fat&amp;display_string=Audit&amp;DYN_ARGS=TRUE&amp;VAR:ID1=02926310&amp;VAR:RCODE=ATOT&amp;VAR:SDATE=20081299&amp;VAR:FREQ=DAILY&amp;VAR:RELITEM=&amp;VAR:CURRENCY=&amp;VAR:CURRSOURCE=EXSHARE&amp;","VAR:NATFREQ=QUARTERLY&amp;VAR:RFIELD=FINALIZED&amp;VAR:DB_TYPE=&amp;VAR:UNITS=M&amp;window=popup&amp;width=450&amp;height=300&amp;START_MAXIMIZED=FALSE"}</definedName>
    <definedName name="_2353__FDSAUDITLINK__" hidden="1">{"fdsup://IBCentral/FAT Viewer?action=UPDATE&amp;creator=factset&amp;DOC_NAME=fat:reuters_qtrly_source_window.fat&amp;display_string=Audit&amp;DYN_ARGS=TRUE&amp;VAR:ID1=02916P10&amp;VAR:RCODE=LTLL&amp;VAR:SDATE=20081299&amp;VAR:FREQ=DAILY&amp;VAR:RELITEM=&amp;VAR:CURRENCY=&amp;VAR:CURRSOURCE=EXSHARE&amp;","VAR:NATFREQ=QUARTERLY&amp;VAR:RFIELD=FINALIZED&amp;VAR:DB_TYPE=&amp;VAR:UNITS=M&amp;window=popup&amp;width=450&amp;height=300&amp;START_MAXIMIZED=FALSE"}</definedName>
    <definedName name="_2354__FDSAUDITLINK__" hidden="1">{"fdsup://IBCentral/FAT Viewer?action=UPDATE&amp;creator=factset&amp;DOC_NAME=fat:reuters_qtrly_source_window.fat&amp;display_string=Audit&amp;DYN_ARGS=TRUE&amp;VAR:ID1=02916P10&amp;VAR:RCODE=LTCL&amp;VAR:SDATE=20081299&amp;VAR:FREQ=DAILY&amp;VAR:RELITEM=&amp;VAR:CURRENCY=&amp;VAR:CURRSOURCE=EXSHARE&amp;","VAR:NATFREQ=QUARTERLY&amp;VAR:RFIELD=FINALIZED&amp;VAR:DB_TYPE=&amp;VAR:UNITS=M&amp;window=popup&amp;width=450&amp;height=300&amp;START_MAXIMIZED=FALSE"}</definedName>
    <definedName name="_2355__FDSAUDITLINK__" hidden="1">{"fdsup://IBCentral/FAT Viewer?action=UPDATE&amp;creator=factset&amp;DOC_NAME=fat:reuters_qtrly_source_window.fat&amp;display_string=Audit&amp;DYN_ARGS=TRUE&amp;VAR:ID1=02916P10&amp;VAR:RCODE=ATCA&amp;VAR:SDATE=20081299&amp;VAR:FREQ=DAILY&amp;VAR:RELITEM=&amp;VAR:CURRENCY=&amp;VAR:CURRSOURCE=EXSHARE&amp;","VAR:NATFREQ=QUARTERLY&amp;VAR:RFIELD=FINALIZED&amp;VAR:DB_TYPE=&amp;VAR:UNITS=M&amp;window=popup&amp;width=450&amp;height=300&amp;START_MAXIMIZED=FALSE"}</definedName>
    <definedName name="_2356__FDSAUDITLINK__" hidden="1">{"fdsup://IBCentral/FAT Viewer?action=UPDATE&amp;creator=factset&amp;DOC_NAME=fat:reuters_qtrly_source_window.fat&amp;display_string=Audit&amp;DYN_ARGS=TRUE&amp;VAR:ID1=02916P10&amp;VAR:RCODE=ATOT&amp;VAR:SDATE=20081299&amp;VAR:FREQ=DAILY&amp;VAR:RELITEM=&amp;VAR:CURRENCY=&amp;VAR:CURRSOURCE=EXSHARE&amp;","VAR:NATFREQ=QUARTERLY&amp;VAR:RFIELD=FINALIZED&amp;VAR:DB_TYPE=&amp;VAR:UNITS=M&amp;window=popup&amp;width=450&amp;height=300&amp;START_MAXIMIZED=FALSE"}</definedName>
    <definedName name="_2357__FDSAUDITLINK__" hidden="1">{"fdsup://IBCentral/FAT Viewer?action=UPDATE&amp;creator=factset&amp;DOC_NAME=fat:reuters_qtrly_source_window.fat&amp;display_string=Audit&amp;DYN_ARGS=TRUE&amp;VAR:ID1=01880410&amp;VAR:RCODE=LTLL&amp;VAR:SDATE=20081299&amp;VAR:FREQ=DAILY&amp;VAR:RELITEM=&amp;VAR:CURRENCY=&amp;VAR:CURRSOURCE=EXSHARE&amp;","VAR:NATFREQ=QUARTERLY&amp;VAR:RFIELD=FINALIZED&amp;VAR:DB_TYPE=&amp;VAR:UNITS=M&amp;window=popup&amp;width=450&amp;height=300&amp;START_MAXIMIZED=FALSE"}</definedName>
    <definedName name="_2358__FDSAUDITLINK__" hidden="1">{"fdsup://IBCentral/FAT Viewer?action=UPDATE&amp;creator=factset&amp;DOC_NAME=fat:reuters_qtrly_source_window.fat&amp;display_string=Audit&amp;DYN_ARGS=TRUE&amp;VAR:ID1=01880410&amp;VAR:RCODE=LTCL&amp;VAR:SDATE=20081299&amp;VAR:FREQ=DAILY&amp;VAR:RELITEM=&amp;VAR:CURRENCY=&amp;VAR:CURRSOURCE=EXSHARE&amp;","VAR:NATFREQ=QUARTERLY&amp;VAR:RFIELD=FINALIZED&amp;VAR:DB_TYPE=&amp;VAR:UNITS=M&amp;window=popup&amp;width=450&amp;height=300&amp;START_MAXIMIZED=FALSE"}</definedName>
    <definedName name="_2359__FDSAUDITLINK__" hidden="1">{"fdsup://IBCentral/FAT Viewer?action=UPDATE&amp;creator=factset&amp;DOC_NAME=fat:reuters_qtrly_source_window.fat&amp;display_string=Audit&amp;DYN_ARGS=TRUE&amp;VAR:ID1=01880410&amp;VAR:RCODE=ATCA&amp;VAR:SDATE=20081299&amp;VAR:FREQ=DAILY&amp;VAR:RELITEM=&amp;VAR:CURRENCY=&amp;VAR:CURRSOURCE=EXSHARE&amp;","VAR:NATFREQ=QUARTERLY&amp;VAR:RFIELD=FINALIZED&amp;VAR:DB_TYPE=&amp;VAR:UNITS=M&amp;window=popup&amp;width=450&amp;height=300&amp;START_MAXIMIZED=FALSE"}</definedName>
    <definedName name="_236__FDSAUDITLINK__" hidden="1">{"fdsup://Directions/FactSet Auditing Viewer?action=AUDIT_VALUE&amp;DB=129&amp;ID1=G1151C10&amp;VALUEID=02999&amp;SDATE=201003&amp;PERIODTYPE=QTR_STD&amp;window=popup_no_bar&amp;width=385&amp;height=120&amp;START_MAXIMIZED=FALSE&amp;creator=factset&amp;display_string=Audit"}</definedName>
    <definedName name="_2360__FDSAUDITLINK__" hidden="1">{"fdsup://IBCentral/FAT Viewer?action=UPDATE&amp;creator=factset&amp;DOC_NAME=fat:reuters_qtrly_source_window.fat&amp;display_string=Audit&amp;DYN_ARGS=TRUE&amp;VAR:ID1=01880410&amp;VAR:RCODE=ATOT&amp;VAR:SDATE=20081299&amp;VAR:FREQ=DAILY&amp;VAR:RELITEM=&amp;VAR:CURRENCY=&amp;VAR:CURRSOURCE=EXSHARE&amp;","VAR:NATFREQ=QUARTERLY&amp;VAR:RFIELD=FINALIZED&amp;VAR:DB_TYPE=&amp;VAR:UNITS=M&amp;window=popup&amp;width=450&amp;height=300&amp;START_MAXIMIZED=FALSE"}</definedName>
    <definedName name="_2361__FDSAUDITLINK__" hidden="1">{"fdsup://IBCentral/FAT Viewer?action=UPDATE&amp;creator=factset&amp;DOC_NAME=fat:reuters_qtrly_source_window.fat&amp;display_string=Audit&amp;DYN_ARGS=TRUE&amp;VAR:ID1=00130H10&amp;VAR:RCODE=LTLL&amp;VAR:SDATE=20081299&amp;VAR:FREQ=DAILY&amp;VAR:RELITEM=&amp;VAR:CURRENCY=&amp;VAR:CURRSOURCE=EXSHARE&amp;","VAR:NATFREQ=QUARTERLY&amp;VAR:RFIELD=FINALIZED&amp;VAR:DB_TYPE=&amp;VAR:UNITS=M&amp;window=popup&amp;width=450&amp;height=300&amp;START_MAXIMIZED=FALSE"}</definedName>
    <definedName name="_2362__FDSAUDITLINK__" hidden="1">{"fdsup://IBCentral/FAT Viewer?action=UPDATE&amp;creator=factset&amp;DOC_NAME=fat:reuters_qtrly_source_window.fat&amp;display_string=Audit&amp;DYN_ARGS=TRUE&amp;VAR:ID1=00130H10&amp;VAR:RCODE=LTCL&amp;VAR:SDATE=20081299&amp;VAR:FREQ=DAILY&amp;VAR:RELITEM=&amp;VAR:CURRENCY=&amp;VAR:CURRSOURCE=EXSHARE&amp;","VAR:NATFREQ=QUARTERLY&amp;VAR:RFIELD=FINALIZED&amp;VAR:DB_TYPE=&amp;VAR:UNITS=M&amp;window=popup&amp;width=450&amp;height=300&amp;START_MAXIMIZED=FALSE"}</definedName>
    <definedName name="_2363__FDSAUDITLINK__" hidden="1">{"fdsup://IBCentral/FAT Viewer?action=UPDATE&amp;creator=factset&amp;DOC_NAME=fat:reuters_qtrly_source_window.fat&amp;display_string=Audit&amp;DYN_ARGS=TRUE&amp;VAR:ID1=00130H10&amp;VAR:RCODE=ATCA&amp;VAR:SDATE=20081299&amp;VAR:FREQ=DAILY&amp;VAR:RELITEM=&amp;VAR:CURRENCY=&amp;VAR:CURRSOURCE=EXSHARE&amp;","VAR:NATFREQ=QUARTERLY&amp;VAR:RFIELD=FINALIZED&amp;VAR:DB_TYPE=&amp;VAR:UNITS=M&amp;window=popup&amp;width=450&amp;height=300&amp;START_MAXIMIZED=FALSE"}</definedName>
    <definedName name="_2364__FDSAUDITLINK__" hidden="1">{"fdsup://IBCentral/FAT Viewer?action=UPDATE&amp;creator=factset&amp;DOC_NAME=fat:reuters_qtrly_source_window.fat&amp;display_string=Audit&amp;DYN_ARGS=TRUE&amp;VAR:ID1=00130H10&amp;VAR:RCODE=ATOT&amp;VAR:SDATE=20081299&amp;VAR:FREQ=DAILY&amp;VAR:RELITEM=&amp;VAR:CURRENCY=&amp;VAR:CURRSOURCE=EXSHARE&amp;","VAR:NATFREQ=QUARTERLY&amp;VAR:RFIELD=FINALIZED&amp;VAR:DB_TYPE=&amp;VAR:UNITS=M&amp;window=popup&amp;width=450&amp;height=300&amp;START_MAXIMIZED=FALSE"}</definedName>
    <definedName name="_2365__FDSAUDITLINK__" hidden="1">{"fdsup://IBCentral/FAT Viewer?action=UPDATE&amp;creator=factset&amp;DOC_NAME=fat:reuters_qtrly_source_window.fat&amp;display_string=Audit&amp;DYN_ARGS=TRUE&amp;VAR:ID1=47816010&amp;VAR:RCODE=LTLL&amp;VAR:SDATE=20081299&amp;VAR:FREQ=DAILY&amp;VAR:RELITEM=&amp;VAR:CURRENCY=&amp;VAR:CURRSOURCE=EXSHARE&amp;","VAR:NATFREQ=QUARTERLY&amp;VAR:RFIELD=FINALIZED&amp;VAR:DB_TYPE=&amp;VAR:UNITS=M&amp;window=popup&amp;width=450&amp;height=300&amp;START_MAXIMIZED=FALSE"}</definedName>
    <definedName name="_2366__FDSAUDITLINK__" hidden="1">{"fdsup://IBCentral/FAT Viewer?action=UPDATE&amp;creator=factset&amp;DOC_NAME=fat:reuters_qtrly_source_window.fat&amp;display_string=Audit&amp;DYN_ARGS=TRUE&amp;VAR:ID1=47816010&amp;VAR:RCODE=LTCL&amp;VAR:SDATE=20081299&amp;VAR:FREQ=DAILY&amp;VAR:RELITEM=&amp;VAR:CURRENCY=&amp;VAR:CURRSOURCE=EXSHARE&amp;","VAR:NATFREQ=QUARTERLY&amp;VAR:RFIELD=FINALIZED&amp;VAR:DB_TYPE=&amp;VAR:UNITS=M&amp;window=popup&amp;width=450&amp;height=300&amp;START_MAXIMIZED=FALSE"}</definedName>
    <definedName name="_2367__FDSAUDITLINK__" hidden="1">{"fdsup://IBCentral/FAT Viewer?action=UPDATE&amp;creator=factset&amp;DOC_NAME=fat:reuters_qtrly_source_window.fat&amp;display_string=Audit&amp;DYN_ARGS=TRUE&amp;VAR:ID1=47816010&amp;VAR:RCODE=ATCA&amp;VAR:SDATE=20081299&amp;VAR:FREQ=DAILY&amp;VAR:RELITEM=&amp;VAR:CURRENCY=&amp;VAR:CURRSOURCE=EXSHARE&amp;","VAR:NATFREQ=QUARTERLY&amp;VAR:RFIELD=FINALIZED&amp;VAR:DB_TYPE=&amp;VAR:UNITS=M&amp;window=popup&amp;width=450&amp;height=300&amp;START_MAXIMIZED=FALSE"}</definedName>
    <definedName name="_2368__FDSAUDITLINK__" hidden="1">{"fdsup://IBCentral/FAT Viewer?action=UPDATE&amp;creator=factset&amp;DOC_NAME=fat:reuters_qtrly_source_window.fat&amp;display_string=Audit&amp;DYN_ARGS=TRUE&amp;VAR:ID1=47816010&amp;VAR:RCODE=ATOT&amp;VAR:SDATE=20081299&amp;VAR:FREQ=DAILY&amp;VAR:RELITEM=&amp;VAR:CURRENCY=&amp;VAR:CURRSOURCE=EXSHARE&amp;","VAR:NATFREQ=QUARTERLY&amp;VAR:RFIELD=FINALIZED&amp;VAR:DB_TYPE=&amp;VAR:UNITS=M&amp;window=popup&amp;width=450&amp;height=300&amp;START_MAXIMIZED=FALSE"}</definedName>
    <definedName name="_2369__FDSAUDITLINK__" hidden="1">{"fdsup://IBCentral/FAT Viewer?action=UPDATE&amp;creator=factset&amp;DOC_NAME=fat:reuters_qtrly_source_window.fat&amp;display_string=Audit&amp;DYN_ARGS=TRUE&amp;VAR:ID1=30231G10&amp;VAR:RCODE=LTLL&amp;VAR:SDATE=20081299&amp;VAR:FREQ=DAILY&amp;VAR:RELITEM=&amp;VAR:CURRENCY=&amp;VAR:CURRSOURCE=EXSHARE&amp;","VAR:NATFREQ=QUARTERLY&amp;VAR:RFIELD=FINALIZED&amp;VAR:DB_TYPE=&amp;VAR:UNITS=M&amp;window=popup&amp;width=450&amp;height=300&amp;START_MAXIMIZED=FALSE"}</definedName>
    <definedName name="_237__FDSAUDITLINK__" hidden="1">{"fdsup://Directions/FactSet Auditing Viewer?action=AUDIT_VALUE&amp;DB=129&amp;ID1=00751Y10&amp;VALUEID=02999&amp;SDATE=201001&amp;PERIODTYPE=QTR_STD&amp;window=popup_no_bar&amp;width=385&amp;height=120&amp;START_MAXIMIZED=FALSE&amp;creator=factset&amp;display_string=Audit"}</definedName>
    <definedName name="_2370__FDSAUDITLINK__" hidden="1">{"fdsup://IBCentral/FAT Viewer?action=UPDATE&amp;creator=factset&amp;DOC_NAME=fat:reuters_qtrly_source_window.fat&amp;display_string=Audit&amp;DYN_ARGS=TRUE&amp;VAR:ID1=30231G10&amp;VAR:RCODE=LTCL&amp;VAR:SDATE=20081299&amp;VAR:FREQ=DAILY&amp;VAR:RELITEM=&amp;VAR:CURRENCY=&amp;VAR:CURRSOURCE=EXSHARE&amp;","VAR:NATFREQ=QUARTERLY&amp;VAR:RFIELD=FINALIZED&amp;VAR:DB_TYPE=&amp;VAR:UNITS=M&amp;window=popup&amp;width=450&amp;height=300&amp;START_MAXIMIZED=FALSE"}</definedName>
    <definedName name="_2371__FDSAUDITLINK__" hidden="1">{"fdsup://IBCentral/FAT Viewer?action=UPDATE&amp;creator=factset&amp;DOC_NAME=fat:reuters_qtrly_source_window.fat&amp;display_string=Audit&amp;DYN_ARGS=TRUE&amp;VAR:ID1=30231G10&amp;VAR:RCODE=ATCA&amp;VAR:SDATE=20081299&amp;VAR:FREQ=DAILY&amp;VAR:RELITEM=&amp;VAR:CURRENCY=&amp;VAR:CURRSOURCE=EXSHARE&amp;","VAR:NATFREQ=QUARTERLY&amp;VAR:RFIELD=FINALIZED&amp;VAR:DB_TYPE=&amp;VAR:UNITS=M&amp;window=popup&amp;width=450&amp;height=300&amp;START_MAXIMIZED=FALSE"}</definedName>
    <definedName name="_2372__FDSAUDITLINK__" hidden="1">{"fdsup://IBCentral/FAT Viewer?action=UPDATE&amp;creator=factset&amp;DOC_NAME=fat:reuters_qtrly_source_window.fat&amp;display_string=Audit&amp;DYN_ARGS=TRUE&amp;VAR:ID1=30231G10&amp;VAR:RCODE=ATOT&amp;VAR:SDATE=20081299&amp;VAR:FREQ=DAILY&amp;VAR:RELITEM=&amp;VAR:CURRENCY=&amp;VAR:CURRSOURCE=EXSHARE&amp;","VAR:NATFREQ=QUARTERLY&amp;VAR:RFIELD=FINALIZED&amp;VAR:DB_TYPE=&amp;VAR:UNITS=M&amp;window=popup&amp;width=450&amp;height=300&amp;START_MAXIMIZED=FALSE"}</definedName>
    <definedName name="_2373__FDSAUDITLINK__" hidden="1">{"fdsup://IBCentral/FAT Viewer?action=UPDATE&amp;creator=factset&amp;DOC_NAME=fat:reuters_qtrly_source_window.fat&amp;display_string=Audit&amp;DYN_ARGS=TRUE&amp;VAR:ID1=74271810&amp;VAR:RCODE=LTLL&amp;VAR:SDATE=20081299&amp;VAR:FREQ=DAILY&amp;VAR:RELITEM=&amp;VAR:CURRENCY=&amp;VAR:CURRSOURCE=EXSHARE&amp;","VAR:NATFREQ=QUARTERLY&amp;VAR:RFIELD=FINALIZED&amp;VAR:DB_TYPE=&amp;VAR:UNITS=M&amp;window=popup&amp;width=450&amp;height=300&amp;START_MAXIMIZED=FALSE"}</definedName>
    <definedName name="_2374__FDSAUDITLINK__" hidden="1">{"fdsup://IBCentral/FAT Viewer?action=UPDATE&amp;creator=factset&amp;DOC_NAME=fat:reuters_qtrly_source_window.fat&amp;display_string=Audit&amp;DYN_ARGS=TRUE&amp;VAR:ID1=74271810&amp;VAR:RCODE=LTCL&amp;VAR:SDATE=20081299&amp;VAR:FREQ=DAILY&amp;VAR:RELITEM=&amp;VAR:CURRENCY=&amp;VAR:CURRSOURCE=EXSHARE&amp;","VAR:NATFREQ=QUARTERLY&amp;VAR:RFIELD=FINALIZED&amp;VAR:DB_TYPE=&amp;VAR:UNITS=M&amp;window=popup&amp;width=450&amp;height=300&amp;START_MAXIMIZED=FALSE"}</definedName>
    <definedName name="_2375__FDSAUDITLINK__" hidden="1">{"fdsup://IBCentral/FAT Viewer?action=UPDATE&amp;creator=factset&amp;DOC_NAME=fat:reuters_qtrly_source_window.fat&amp;display_string=Audit&amp;DYN_ARGS=TRUE&amp;VAR:ID1=74271810&amp;VAR:RCODE=ATCA&amp;VAR:SDATE=20081299&amp;VAR:FREQ=DAILY&amp;VAR:RELITEM=&amp;VAR:CURRENCY=&amp;VAR:CURRSOURCE=EXSHARE&amp;","VAR:NATFREQ=QUARTERLY&amp;VAR:RFIELD=FINALIZED&amp;VAR:DB_TYPE=&amp;VAR:UNITS=M&amp;window=popup&amp;width=450&amp;height=300&amp;START_MAXIMIZED=FALSE"}</definedName>
    <definedName name="_2376__FDSAUDITLINK__" hidden="1">{"fdsup://IBCentral/FAT Viewer?action=UPDATE&amp;creator=factset&amp;DOC_NAME=fat:reuters_qtrly_source_window.fat&amp;display_string=Audit&amp;DYN_ARGS=TRUE&amp;VAR:ID1=74271810&amp;VAR:RCODE=ATOT&amp;VAR:SDATE=20081299&amp;VAR:FREQ=DAILY&amp;VAR:RELITEM=&amp;VAR:CURRENCY=&amp;VAR:CURRSOURCE=EXSHARE&amp;","VAR:NATFREQ=QUARTERLY&amp;VAR:RFIELD=FINALIZED&amp;VAR:DB_TYPE=&amp;VAR:UNITS=M&amp;window=popup&amp;width=450&amp;height=300&amp;START_MAXIMIZED=FALSE"}</definedName>
    <definedName name="_2377__FDSAUDITLINK__" hidden="1">{"fdsup://IBCentral/FAT Viewer?action=UPDATE&amp;creator=factset&amp;DOC_NAME=fat:reuters_qtrly_source_window.fat&amp;display_string=Audit&amp;DYN_ARGS=TRUE&amp;VAR:ID1=58933110&amp;VAR:RCODE=LTLL&amp;VAR:SDATE=20081299&amp;VAR:FREQ=DAILY&amp;VAR:RELITEM=&amp;VAR:CURRENCY=&amp;VAR:CURRSOURCE=EXSHARE&amp;","VAR:NATFREQ=QUARTERLY&amp;VAR:RFIELD=FINALIZED&amp;VAR:DB_TYPE=&amp;VAR:UNITS=M&amp;window=popup&amp;width=450&amp;height=300&amp;START_MAXIMIZED=FALSE"}</definedName>
    <definedName name="_2378__FDSAUDITLINK__" hidden="1">{"fdsup://IBCentral/FAT Viewer?action=UPDATE&amp;creator=factset&amp;DOC_NAME=fat:reuters_qtrly_source_window.fat&amp;display_string=Audit&amp;DYN_ARGS=TRUE&amp;VAR:ID1=58933110&amp;VAR:RCODE=LTCL&amp;VAR:SDATE=20081299&amp;VAR:FREQ=DAILY&amp;VAR:RELITEM=&amp;VAR:CURRENCY=&amp;VAR:CURRSOURCE=EXSHARE&amp;","VAR:NATFREQ=QUARTERLY&amp;VAR:RFIELD=FINALIZED&amp;VAR:DB_TYPE=&amp;VAR:UNITS=M&amp;window=popup&amp;width=450&amp;height=300&amp;START_MAXIMIZED=FALSE"}</definedName>
    <definedName name="_2379__FDSAUDITLINK__" hidden="1">{"fdsup://IBCentral/FAT Viewer?action=UPDATE&amp;creator=factset&amp;DOC_NAME=fat:reuters_qtrly_source_window.fat&amp;display_string=Audit&amp;DYN_ARGS=TRUE&amp;VAR:ID1=58933110&amp;VAR:RCODE=ATCA&amp;VAR:SDATE=20081299&amp;VAR:FREQ=DAILY&amp;VAR:RELITEM=&amp;VAR:CURRENCY=&amp;VAR:CURRSOURCE=EXSHARE&amp;","VAR:NATFREQ=QUARTERLY&amp;VAR:RFIELD=FINALIZED&amp;VAR:DB_TYPE=&amp;VAR:UNITS=M&amp;window=popup&amp;width=450&amp;height=300&amp;START_MAXIMIZED=FALSE"}</definedName>
    <definedName name="_238__FDSAUDITLINK__" hidden="1">{"fdsup://Directions/FactSet Auditing Viewer?action=AUDIT_VALUE&amp;DB=129&amp;ID1=00103110&amp;VALUEID=02999&amp;SDATE=201002&amp;PERIODTYPE=QTR_STD&amp;window=popup_no_bar&amp;width=385&amp;height=120&amp;START_MAXIMIZED=FALSE&amp;creator=factset&amp;display_string=Audit"}</definedName>
    <definedName name="_2380__FDSAUDITLINK__" hidden="1">{"fdsup://IBCentral/FAT Viewer?action=UPDATE&amp;creator=factset&amp;DOC_NAME=fat:reuters_qtrly_source_window.fat&amp;display_string=Audit&amp;DYN_ARGS=TRUE&amp;VAR:ID1=58933110&amp;VAR:RCODE=ATOT&amp;VAR:SDATE=20081299&amp;VAR:FREQ=DAILY&amp;VAR:RELITEM=&amp;VAR:CURRENCY=&amp;VAR:CURRSOURCE=EXSHARE&amp;","VAR:NATFREQ=QUARTERLY&amp;VAR:RFIELD=FINALIZED&amp;VAR:DB_TYPE=&amp;VAR:UNITS=M&amp;window=popup&amp;width=450&amp;height=300&amp;START_MAXIMIZED=FALSE"}</definedName>
    <definedName name="_2381__FDSAUDITLINK__" hidden="1">{"fdsup://IBCentral/FAT Viewer?action=UPDATE&amp;creator=factset&amp;DOC_NAME=fat:reuters_qtrly_source_window.fat&amp;display_string=Audit&amp;DYN_ARGS=TRUE&amp;VAR:ID1=45230810&amp;VAR:RCODE=LTLL&amp;VAR:SDATE=20081299&amp;VAR:FREQ=DAILY&amp;VAR:RELITEM=&amp;VAR:CURRENCY=&amp;VAR:CURRSOURCE=EXSHARE&amp;","VAR:NATFREQ=QUARTERLY&amp;VAR:RFIELD=FINALIZED&amp;VAR:DB_TYPE=&amp;VAR:UNITS=M&amp;window=popup&amp;width=450&amp;height=300&amp;START_MAXIMIZED=FALSE"}</definedName>
    <definedName name="_2382__FDSAUDITLINK__" hidden="1">{"fdsup://IBCentral/FAT Viewer?action=UPDATE&amp;creator=factset&amp;DOC_NAME=fat:reuters_qtrly_source_window.fat&amp;display_string=Audit&amp;DYN_ARGS=TRUE&amp;VAR:ID1=45230810&amp;VAR:RCODE=LTCL&amp;VAR:SDATE=20081299&amp;VAR:FREQ=DAILY&amp;VAR:RELITEM=&amp;VAR:CURRENCY=&amp;VAR:CURRSOURCE=EXSHARE&amp;","VAR:NATFREQ=QUARTERLY&amp;VAR:RFIELD=FINALIZED&amp;VAR:DB_TYPE=&amp;VAR:UNITS=M&amp;window=popup&amp;width=450&amp;height=300&amp;START_MAXIMIZED=FALSE"}</definedName>
    <definedName name="_2383__FDSAUDITLINK__" hidden="1">{"fdsup://IBCentral/FAT Viewer?action=UPDATE&amp;creator=factset&amp;DOC_NAME=fat:reuters_qtrly_source_window.fat&amp;display_string=Audit&amp;DYN_ARGS=TRUE&amp;VAR:ID1=45230810&amp;VAR:RCODE=ATCA&amp;VAR:SDATE=20081299&amp;VAR:FREQ=DAILY&amp;VAR:RELITEM=&amp;VAR:CURRENCY=&amp;VAR:CURRSOURCE=EXSHARE&amp;","VAR:NATFREQ=QUARTERLY&amp;VAR:RFIELD=FINALIZED&amp;VAR:DB_TYPE=&amp;VAR:UNITS=M&amp;window=popup&amp;width=450&amp;height=300&amp;START_MAXIMIZED=FALSE"}</definedName>
    <definedName name="_2384__FDSAUDITLINK__" hidden="1">{"fdsup://IBCentral/FAT Viewer?action=UPDATE&amp;creator=factset&amp;DOC_NAME=fat:reuters_qtrly_source_window.fat&amp;display_string=Audit&amp;DYN_ARGS=TRUE&amp;VAR:ID1=45230810&amp;VAR:RCODE=ATOT&amp;VAR:SDATE=20081299&amp;VAR:FREQ=DAILY&amp;VAR:RELITEM=&amp;VAR:CURRENCY=&amp;VAR:CURRSOURCE=EXSHARE&amp;","VAR:NATFREQ=QUARTERLY&amp;VAR:RFIELD=FINALIZED&amp;VAR:DB_TYPE=&amp;VAR:UNITS=M&amp;window=popup&amp;width=450&amp;height=300&amp;START_MAXIMIZED=FALSE"}</definedName>
    <definedName name="_2385__FDSAUDITLINK__" hidden="1">{"fdsup://IBCentral/FAT Viewer?action=UPDATE&amp;creator=factset&amp;DOC_NAME=fat:reuters_qtrly_source_window.fat&amp;display_string=Audit&amp;DYN_ARGS=TRUE&amp;VAR:ID1=19416210&amp;VAR:RCODE=LTLL&amp;VAR:SDATE=20081299&amp;VAR:FREQ=DAILY&amp;VAR:RELITEM=&amp;VAR:CURRENCY=&amp;VAR:CURRSOURCE=EXSHARE&amp;","VAR:NATFREQ=QUARTERLY&amp;VAR:RFIELD=FINALIZED&amp;VAR:DB_TYPE=&amp;VAR:UNITS=M&amp;window=popup&amp;width=450&amp;height=300&amp;START_MAXIMIZED=FALSE"}</definedName>
    <definedName name="_2386__FDSAUDITLINK__" hidden="1">{"fdsup://IBCentral/FAT Viewer?action=UPDATE&amp;creator=factset&amp;DOC_NAME=fat:reuters_qtrly_source_window.fat&amp;display_string=Audit&amp;DYN_ARGS=TRUE&amp;VAR:ID1=19416210&amp;VAR:RCODE=LTCL&amp;VAR:SDATE=20081299&amp;VAR:FREQ=DAILY&amp;VAR:RELITEM=&amp;VAR:CURRENCY=&amp;VAR:CURRSOURCE=EXSHARE&amp;","VAR:NATFREQ=QUARTERLY&amp;VAR:RFIELD=FINALIZED&amp;VAR:DB_TYPE=&amp;VAR:UNITS=M&amp;window=popup&amp;width=450&amp;height=300&amp;START_MAXIMIZED=FALSE"}</definedName>
    <definedName name="_2387__FDSAUDITLINK__" hidden="1">{"fdsup://IBCentral/FAT Viewer?action=UPDATE&amp;creator=factset&amp;DOC_NAME=fat:reuters_qtrly_source_window.fat&amp;display_string=Audit&amp;DYN_ARGS=TRUE&amp;VAR:ID1=19416210&amp;VAR:RCODE=ATCA&amp;VAR:SDATE=20081299&amp;VAR:FREQ=DAILY&amp;VAR:RELITEM=&amp;VAR:CURRENCY=&amp;VAR:CURRSOURCE=EXSHARE&amp;","VAR:NATFREQ=QUARTERLY&amp;VAR:RFIELD=FINALIZED&amp;VAR:DB_TYPE=&amp;VAR:UNITS=M&amp;window=popup&amp;width=450&amp;height=300&amp;START_MAXIMIZED=FALSE"}</definedName>
    <definedName name="_2388__FDSAUDITLINK__" hidden="1">{"fdsup://IBCentral/FAT Viewer?action=UPDATE&amp;creator=factset&amp;DOC_NAME=fat:reuters_qtrly_source_window.fat&amp;display_string=Audit&amp;DYN_ARGS=TRUE&amp;VAR:ID1=19416210&amp;VAR:RCODE=ATOT&amp;VAR:SDATE=20081299&amp;VAR:FREQ=DAILY&amp;VAR:RELITEM=&amp;VAR:CURRENCY=&amp;VAR:CURRSOURCE=EXSHARE&amp;","VAR:NATFREQ=QUARTERLY&amp;VAR:RFIELD=FINALIZED&amp;VAR:DB_TYPE=&amp;VAR:UNITS=M&amp;window=popup&amp;width=450&amp;height=300&amp;START_MAXIMIZED=FALSE"}</definedName>
    <definedName name="_2389__FDSAUDITLINK__" hidden="1">{"fdsup://IBCentral/FAT Viewer?action=UPDATE&amp;creator=factset&amp;DOC_NAME=fat:reuters_qtrly_source_window.fat&amp;display_string=Audit&amp;DYN_ARGS=TRUE&amp;VAR:ID1=19121610&amp;VAR:RCODE=LTLL&amp;VAR:SDATE=20081299&amp;VAR:FREQ=DAILY&amp;VAR:RELITEM=&amp;VAR:CURRENCY=&amp;VAR:CURRSOURCE=EXSHARE&amp;","VAR:NATFREQ=QUARTERLY&amp;VAR:RFIELD=FINALIZED&amp;VAR:DB_TYPE=&amp;VAR:UNITS=M&amp;window=popup&amp;width=450&amp;height=300&amp;START_MAXIMIZED=FALSE"}</definedName>
    <definedName name="_239__FDSAUDITLINK__" hidden="1">{"fdsup://Directions/FactSet Auditing Viewer?action=AUDIT_VALUE&amp;DB=129&amp;ID1=00104Q10&amp;VALUEID=02999&amp;SDATE=201001&amp;PERIODTYPE=QTR_STD&amp;window=popup_no_bar&amp;width=385&amp;height=120&amp;START_MAXIMIZED=FALSE&amp;creator=factset&amp;display_string=Audit"}</definedName>
    <definedName name="_2390__FDSAUDITLINK__" hidden="1">{"fdsup://IBCentral/FAT Viewer?action=UPDATE&amp;creator=factset&amp;DOC_NAME=fat:reuters_qtrly_source_window.fat&amp;display_string=Audit&amp;DYN_ARGS=TRUE&amp;VAR:ID1=19121610&amp;VAR:RCODE=LTCL&amp;VAR:SDATE=20081299&amp;VAR:FREQ=DAILY&amp;VAR:RELITEM=&amp;VAR:CURRENCY=&amp;VAR:CURRSOURCE=EXSHARE&amp;","VAR:NATFREQ=QUARTERLY&amp;VAR:RFIELD=FINALIZED&amp;VAR:DB_TYPE=&amp;VAR:UNITS=M&amp;window=popup&amp;width=450&amp;height=300&amp;START_MAXIMIZED=FALSE"}</definedName>
    <definedName name="_2391__FDSAUDITLINK__" hidden="1">{"fdsup://IBCentral/FAT Viewer?action=UPDATE&amp;creator=factset&amp;DOC_NAME=fat:reuters_qtrly_source_window.fat&amp;display_string=Audit&amp;DYN_ARGS=TRUE&amp;VAR:ID1=19121610&amp;VAR:RCODE=ATCA&amp;VAR:SDATE=20081299&amp;VAR:FREQ=DAILY&amp;VAR:RELITEM=&amp;VAR:CURRENCY=&amp;VAR:CURRSOURCE=EXSHARE&amp;","VAR:NATFREQ=QUARTERLY&amp;VAR:RFIELD=FINALIZED&amp;VAR:DB_TYPE=&amp;VAR:UNITS=M&amp;window=popup&amp;width=450&amp;height=300&amp;START_MAXIMIZED=FALSE"}</definedName>
    <definedName name="_2392__FDSAUDITLINK__" hidden="1">{"fdsup://IBCentral/FAT Viewer?action=UPDATE&amp;creator=factset&amp;DOC_NAME=fat:reuters_qtrly_source_window.fat&amp;display_string=Audit&amp;DYN_ARGS=TRUE&amp;VAR:ID1=19121610&amp;VAR:RCODE=ATOT&amp;VAR:SDATE=20081299&amp;VAR:FREQ=DAILY&amp;VAR:RELITEM=&amp;VAR:CURRENCY=&amp;VAR:CURRSOURCE=EXSHARE&amp;","VAR:NATFREQ=QUARTERLY&amp;VAR:RFIELD=FINALIZED&amp;VAR:DB_TYPE=&amp;VAR:UNITS=M&amp;window=popup&amp;width=450&amp;height=300&amp;START_MAXIMIZED=FALSE"}</definedName>
    <definedName name="_2393__FDSAUDITLINK__" hidden="1">{"fdsup://IBCentral/FAT Viewer?action=UPDATE&amp;creator=factset&amp;DOC_NAME=fat:reuters_qtrly_source_window.fat&amp;display_string=Audit&amp;DYN_ARGS=TRUE&amp;VAR:ID1=12572Q10&amp;VAR:RCODE=LTLL&amp;VAR:SDATE=20081299&amp;VAR:FREQ=DAILY&amp;VAR:RELITEM=&amp;VAR:CURRENCY=&amp;VAR:CURRSOURCE=EXSHARE&amp;","VAR:NATFREQ=QUARTERLY&amp;VAR:RFIELD=FINALIZED&amp;VAR:DB_TYPE=&amp;VAR:UNITS=M&amp;window=popup&amp;width=450&amp;height=300&amp;START_MAXIMIZED=FALSE"}</definedName>
    <definedName name="_2394__FDSAUDITLINK__" hidden="1">{"fdsup://IBCentral/FAT Viewer?action=UPDATE&amp;creator=factset&amp;DOC_NAME=fat:reuters_qtrly_source_window.fat&amp;display_string=Audit&amp;DYN_ARGS=TRUE&amp;VAR:ID1=12572Q10&amp;VAR:RCODE=LTCL&amp;VAR:SDATE=20081299&amp;VAR:FREQ=DAILY&amp;VAR:RELITEM=&amp;VAR:CURRENCY=&amp;VAR:CURRSOURCE=EXSHARE&amp;","VAR:NATFREQ=QUARTERLY&amp;VAR:RFIELD=FINALIZED&amp;VAR:DB_TYPE=&amp;VAR:UNITS=M&amp;window=popup&amp;width=450&amp;height=300&amp;START_MAXIMIZED=FALSE"}</definedName>
    <definedName name="_2395__FDSAUDITLINK__" hidden="1">{"fdsup://IBCentral/FAT Viewer?action=UPDATE&amp;creator=factset&amp;DOC_NAME=fat:reuters_qtrly_source_window.fat&amp;display_string=Audit&amp;DYN_ARGS=TRUE&amp;VAR:ID1=12572Q10&amp;VAR:RCODE=ATCA&amp;VAR:SDATE=20081299&amp;VAR:FREQ=DAILY&amp;VAR:RELITEM=&amp;VAR:CURRENCY=&amp;VAR:CURRSOURCE=EXSHARE&amp;","VAR:NATFREQ=QUARTERLY&amp;VAR:RFIELD=FINALIZED&amp;VAR:DB_TYPE=&amp;VAR:UNITS=M&amp;window=popup&amp;width=450&amp;height=300&amp;START_MAXIMIZED=FALSE"}</definedName>
    <definedName name="_2396__FDSAUDITLINK__" hidden="1">{"fdsup://IBCentral/FAT Viewer?action=UPDATE&amp;creator=factset&amp;DOC_NAME=fat:reuters_qtrly_source_window.fat&amp;display_string=Audit&amp;DYN_ARGS=TRUE&amp;VAR:ID1=12572Q10&amp;VAR:RCODE=ATOT&amp;VAR:SDATE=20081299&amp;VAR:FREQ=DAILY&amp;VAR:RELITEM=&amp;VAR:CURRENCY=&amp;VAR:CURRSOURCE=EXSHARE&amp;","VAR:NATFREQ=QUARTERLY&amp;VAR:RFIELD=FINALIZED&amp;VAR:DB_TYPE=&amp;VAR:UNITS=M&amp;window=popup&amp;width=450&amp;height=300&amp;START_MAXIMIZED=FALSE"}</definedName>
    <definedName name="_2397__FDSAUDITLINK__" hidden="1">{"fdsup://IBCentral/FAT Viewer?action=UPDATE&amp;creator=factset&amp;DOC_NAME=fat:reuters_qtrly_source_window.fat&amp;display_string=Audit&amp;DYN_ARGS=TRUE&amp;VAR:ID1=93114210&amp;VAR:RCODE=LTLL&amp;VAR:SDATE=20081099&amp;VAR:FREQ=DAILY&amp;VAR:RELITEM=&amp;VAR:CURRENCY=&amp;VAR:CURRSOURCE=EXSHARE&amp;","VAR:NATFREQ=QUARTERLY&amp;VAR:RFIELD=FINALIZED&amp;VAR:DB_TYPE=&amp;VAR:UNITS=M&amp;window=popup&amp;width=450&amp;height=300&amp;START_MAXIMIZED=FALSE"}</definedName>
    <definedName name="_2398__FDSAUDITLINK__" hidden="1">{"fdsup://IBCentral/FAT Viewer?action=UPDATE&amp;creator=factset&amp;DOC_NAME=fat:reuters_qtrly_source_window.fat&amp;display_string=Audit&amp;DYN_ARGS=TRUE&amp;VAR:ID1=93114210&amp;VAR:RCODE=LTCL&amp;VAR:SDATE=20081099&amp;VAR:FREQ=DAILY&amp;VAR:RELITEM=&amp;VAR:CURRENCY=&amp;VAR:CURRSOURCE=EXSHARE&amp;","VAR:NATFREQ=QUARTERLY&amp;VAR:RFIELD=FINALIZED&amp;VAR:DB_TYPE=&amp;VAR:UNITS=M&amp;window=popup&amp;width=450&amp;height=300&amp;START_MAXIMIZED=FALSE"}</definedName>
    <definedName name="_2399__FDSAUDITLINK__" hidden="1">{"fdsup://IBCentral/FAT Viewer?action=UPDATE&amp;creator=factset&amp;DOC_NAME=fat:reuters_qtrly_source_window.fat&amp;display_string=Audit&amp;DYN_ARGS=TRUE&amp;VAR:ID1=93114210&amp;VAR:RCODE=ATCA&amp;VAR:SDATE=20081099&amp;VAR:FREQ=DAILY&amp;VAR:RELITEM=&amp;VAR:CURRENCY=&amp;VAR:CURRSOURCE=EXSHARE&amp;","VAR:NATFREQ=QUARTERLY&amp;VAR:RFIELD=FINALIZED&amp;VAR:DB_TYPE=&amp;VAR:UNITS=M&amp;window=popup&amp;width=450&amp;height=300&amp;START_MAXIMIZED=FALSE"}</definedName>
    <definedName name="_24__FDSAUDITLINK__" hidden="1">{"fdsup://Directions/FactSet Auditing Viewer?action=AUDIT_VALUE&amp;DB=129&amp;ID1=01741R10&amp;VALUEID=02999&amp;SDATE=201001&amp;PERIODTYPE=QTR_STD&amp;window=popup_no_bar&amp;width=385&amp;height=120&amp;START_MAXIMIZED=FALSE&amp;creator=factset&amp;display_string=Audit"}</definedName>
    <definedName name="_240__FDSAUDITLINK__" hidden="1">{"fdsup://Directions/FactSet Auditing Viewer?action=AUDIT_VALUE&amp;DB=129&amp;ID1=00108410&amp;VALUEID=02999&amp;SDATE=201001&amp;PERIODTYPE=QTR_STD&amp;window=popup_no_bar&amp;width=385&amp;height=120&amp;START_MAXIMIZED=FALSE&amp;creator=factset&amp;display_string=Audit"}</definedName>
    <definedName name="_2400__FDSAUDITLINK__" hidden="1">{"fdsup://IBCentral/FAT Viewer?action=UPDATE&amp;creator=factset&amp;DOC_NAME=fat:reuters_qtrly_source_window.fat&amp;display_string=Audit&amp;DYN_ARGS=TRUE&amp;VAR:ID1=93114210&amp;VAR:RCODE=ATOT&amp;VAR:SDATE=20081099&amp;VAR:FREQ=DAILY&amp;VAR:RELITEM=&amp;VAR:CURRENCY=&amp;VAR:CURRSOURCE=EXSHARE&amp;","VAR:NATFREQ=QUARTERLY&amp;VAR:RFIELD=FINALIZED&amp;VAR:DB_TYPE=&amp;VAR:UNITS=M&amp;window=popup&amp;width=450&amp;height=300&amp;START_MAXIMIZED=FALSE"}</definedName>
    <definedName name="_2401__FDSAUDITLINK__" hidden="1">{"fdsup://IBCentral/FAT Viewer?action=UPDATE&amp;creator=factset&amp;DOC_NAME=fat:reuters_qtrly_source_window.fat&amp;display_string=Audit&amp;DYN_ARGS=TRUE&amp;VAR:ID1=91131210&amp;VAR:RCODE=LTLL&amp;VAR:SDATE=20081299&amp;VAR:FREQ=DAILY&amp;VAR:RELITEM=&amp;VAR:CURRENCY=&amp;VAR:CURRSOURCE=EXSHARE&amp;","VAR:NATFREQ=QUARTERLY&amp;VAR:RFIELD=FINALIZED&amp;VAR:DB_TYPE=&amp;VAR:UNITS=M&amp;window=popup&amp;width=450&amp;height=300&amp;START_MAXIMIZED=FALSE"}</definedName>
    <definedName name="_2402__FDSAUDITLINK__" hidden="1">{"fdsup://IBCentral/FAT Viewer?action=UPDATE&amp;creator=factset&amp;DOC_NAME=fat:reuters_qtrly_source_window.fat&amp;display_string=Audit&amp;DYN_ARGS=TRUE&amp;VAR:ID1=91131210&amp;VAR:RCODE=LTCL&amp;VAR:SDATE=20081299&amp;VAR:FREQ=DAILY&amp;VAR:RELITEM=&amp;VAR:CURRENCY=&amp;VAR:CURRSOURCE=EXSHARE&amp;","VAR:NATFREQ=QUARTERLY&amp;VAR:RFIELD=FINALIZED&amp;VAR:DB_TYPE=&amp;VAR:UNITS=M&amp;window=popup&amp;width=450&amp;height=300&amp;START_MAXIMIZED=FALSE"}</definedName>
    <definedName name="_2403__FDSAUDITLINK__" hidden="1">{"fdsup://IBCentral/FAT Viewer?action=UPDATE&amp;creator=factset&amp;DOC_NAME=fat:reuters_qtrly_source_window.fat&amp;display_string=Audit&amp;DYN_ARGS=TRUE&amp;VAR:ID1=91131210&amp;VAR:RCODE=ATCA&amp;VAR:SDATE=20081299&amp;VAR:FREQ=DAILY&amp;VAR:RELITEM=&amp;VAR:CURRENCY=&amp;VAR:CURRSOURCE=EXSHARE&amp;","VAR:NATFREQ=QUARTERLY&amp;VAR:RFIELD=FINALIZED&amp;VAR:DB_TYPE=&amp;VAR:UNITS=M&amp;window=popup&amp;width=450&amp;height=300&amp;START_MAXIMIZED=FALSE"}</definedName>
    <definedName name="_2404__FDSAUDITLINK__" hidden="1">{"fdsup://IBCentral/FAT Viewer?action=UPDATE&amp;creator=factset&amp;DOC_NAME=fat:reuters_qtrly_source_window.fat&amp;display_string=Audit&amp;DYN_ARGS=TRUE&amp;VAR:ID1=91131210&amp;VAR:RCODE=ATOT&amp;VAR:SDATE=20081299&amp;VAR:FREQ=DAILY&amp;VAR:RELITEM=&amp;VAR:CURRENCY=&amp;VAR:CURRSOURCE=EXSHARE&amp;","VAR:NATFREQ=QUARTERLY&amp;VAR:RFIELD=FINALIZED&amp;VAR:DB_TYPE=&amp;VAR:UNITS=M&amp;window=popup&amp;width=450&amp;height=300&amp;START_MAXIMIZED=FALSE"}</definedName>
    <definedName name="_2405__FDSAUDITLINK__" hidden="1">{"fdsup://IBCentral/FAT Viewer?action=UPDATE&amp;creator=factset&amp;DOC_NAME=fat:reuters_qtrly_source_window.fat&amp;display_string=Audit&amp;DYN_ARGS=TRUE&amp;VAR:ID1=71344810&amp;VAR:RCODE=LTLL&amp;VAR:SDATE=20081299&amp;VAR:FREQ=DAILY&amp;VAR:RELITEM=&amp;VAR:CURRENCY=&amp;VAR:CURRSOURCE=EXSHARE&amp;","VAR:NATFREQ=QUARTERLY&amp;VAR:RFIELD=FINALIZED&amp;VAR:DB_TYPE=&amp;VAR:UNITS=M&amp;window=popup&amp;width=450&amp;height=300&amp;START_MAXIMIZED=FALSE"}</definedName>
    <definedName name="_2406__FDSAUDITLINK__" hidden="1">{"fdsup://IBCentral/FAT Viewer?action=UPDATE&amp;creator=factset&amp;DOC_NAME=fat:reuters_qtrly_source_window.fat&amp;display_string=Audit&amp;DYN_ARGS=TRUE&amp;VAR:ID1=71344810&amp;VAR:RCODE=LTCL&amp;VAR:SDATE=20081299&amp;VAR:FREQ=DAILY&amp;VAR:RELITEM=&amp;VAR:CURRENCY=&amp;VAR:CURRSOURCE=EXSHARE&amp;","VAR:NATFREQ=QUARTERLY&amp;VAR:RFIELD=FINALIZED&amp;VAR:DB_TYPE=&amp;VAR:UNITS=M&amp;window=popup&amp;width=450&amp;height=300&amp;START_MAXIMIZED=FALSE"}</definedName>
    <definedName name="_2407__FDSAUDITLINK__" hidden="1">{"fdsup://IBCentral/FAT Viewer?action=UPDATE&amp;creator=factset&amp;DOC_NAME=fat:reuters_qtrly_source_window.fat&amp;display_string=Audit&amp;DYN_ARGS=TRUE&amp;VAR:ID1=71344810&amp;VAR:RCODE=ATCA&amp;VAR:SDATE=20081299&amp;VAR:FREQ=DAILY&amp;VAR:RELITEM=&amp;VAR:CURRENCY=&amp;VAR:CURRSOURCE=EXSHARE&amp;","VAR:NATFREQ=QUARTERLY&amp;VAR:RFIELD=FINALIZED&amp;VAR:DB_TYPE=&amp;VAR:UNITS=M&amp;window=popup&amp;width=450&amp;height=300&amp;START_MAXIMIZED=FALSE"}</definedName>
    <definedName name="_2408__FDSAUDITLINK__" hidden="1">{"fdsup://IBCentral/FAT Viewer?action=UPDATE&amp;creator=factset&amp;DOC_NAME=fat:reuters_qtrly_source_window.fat&amp;display_string=Audit&amp;DYN_ARGS=TRUE&amp;VAR:ID1=71344810&amp;VAR:RCODE=ATOT&amp;VAR:SDATE=20081299&amp;VAR:FREQ=DAILY&amp;VAR:RELITEM=&amp;VAR:CURRENCY=&amp;VAR:CURRSOURCE=EXSHARE&amp;","VAR:NATFREQ=QUARTERLY&amp;VAR:RFIELD=FINALIZED&amp;VAR:DB_TYPE=&amp;VAR:UNITS=M&amp;window=popup&amp;width=450&amp;height=300&amp;START_MAXIMIZED=FALSE"}</definedName>
    <definedName name="_2409__FDSAUDITLINK__" hidden="1">{"fdsup://IBCentral/FAT Viewer?action=UPDATE&amp;creator=factset&amp;DOC_NAME=fat:reuters_qtrly_source_window.fat&amp;display_string=Audit&amp;DYN_ARGS=TRUE&amp;VAR:ID1=71708110&amp;VAR:RCODE=LTLL&amp;VAR:SDATE=20081299&amp;VAR:FREQ=DAILY&amp;VAR:RELITEM=&amp;VAR:CURRENCY=&amp;VAR:CURRSOURCE=EXSHARE&amp;","VAR:NATFREQ=QUARTERLY&amp;VAR:RFIELD=FINALIZED&amp;VAR:DB_TYPE=&amp;VAR:UNITS=M&amp;window=popup&amp;width=450&amp;height=300&amp;START_MAXIMIZED=FALSE"}</definedName>
    <definedName name="_241__FDSAUDITLINK__" hidden="1">{"fdsup://Directions/FactSet Auditing Viewer?action=AUDIT_VALUE&amp;DB=129&amp;ID1=00915810&amp;VALUEID=02999&amp;SDATE=201002&amp;PERIODTYPE=QTR_STD&amp;window=popup_no_bar&amp;width=385&amp;height=120&amp;START_MAXIMIZED=FALSE&amp;creator=factset&amp;display_string=Audit"}</definedName>
    <definedName name="_2410__FDSAUDITLINK__" hidden="1">{"fdsup://IBCentral/FAT Viewer?action=UPDATE&amp;creator=factset&amp;DOC_NAME=fat:reuters_qtrly_source_window.fat&amp;display_string=Audit&amp;DYN_ARGS=TRUE&amp;VAR:ID1=71708110&amp;VAR:RCODE=LTCL&amp;VAR:SDATE=20081299&amp;VAR:FREQ=DAILY&amp;VAR:RELITEM=&amp;VAR:CURRENCY=&amp;VAR:CURRSOURCE=EXSHARE&amp;","VAR:NATFREQ=QUARTERLY&amp;VAR:RFIELD=FINALIZED&amp;VAR:DB_TYPE=&amp;VAR:UNITS=M&amp;window=popup&amp;width=450&amp;height=300&amp;START_MAXIMIZED=FALSE"}</definedName>
    <definedName name="_2411__FDSAUDITLINK__" hidden="1">{"fdsup://IBCentral/FAT Viewer?action=UPDATE&amp;creator=factset&amp;DOC_NAME=fat:reuters_qtrly_source_window.fat&amp;display_string=Audit&amp;DYN_ARGS=TRUE&amp;VAR:ID1=71708110&amp;VAR:RCODE=ATCA&amp;VAR:SDATE=20081299&amp;VAR:FREQ=DAILY&amp;VAR:RELITEM=&amp;VAR:CURRENCY=&amp;VAR:CURRSOURCE=EXSHARE&amp;","VAR:NATFREQ=QUARTERLY&amp;VAR:RFIELD=FINALIZED&amp;VAR:DB_TYPE=&amp;VAR:UNITS=M&amp;window=popup&amp;width=450&amp;height=300&amp;START_MAXIMIZED=FALSE"}</definedName>
    <definedName name="_2412__FDSAUDITLINK__" hidden="1">{"fdsup://IBCentral/FAT Viewer?action=UPDATE&amp;creator=factset&amp;DOC_NAME=fat:reuters_qtrly_source_window.fat&amp;display_string=Audit&amp;DYN_ARGS=TRUE&amp;VAR:ID1=71708110&amp;VAR:RCODE=ATOT&amp;VAR:SDATE=20081299&amp;VAR:FREQ=DAILY&amp;VAR:RELITEM=&amp;VAR:CURRENCY=&amp;VAR:CURRSOURCE=EXSHARE&amp;","VAR:NATFREQ=QUARTERLY&amp;VAR:RFIELD=FINALIZED&amp;VAR:DB_TYPE=&amp;VAR:UNITS=M&amp;window=popup&amp;width=450&amp;height=300&amp;START_MAXIMIZED=FALSE"}</definedName>
    <definedName name="_2413__FDSAUDITLINK__" hidden="1">{"fdsup://IBCentral/FAT Viewer?action=UPDATE&amp;creator=factset&amp;DOC_NAME=fat:reuters_qtrly_source_window.fat&amp;display_string=Audit&amp;DYN_ARGS=TRUE&amp;VAR:ID1=16676410&amp;VAR:RCODE=LTLL&amp;VAR:SDATE=20081299&amp;VAR:FREQ=DAILY&amp;VAR:RELITEM=&amp;VAR:CURRENCY=&amp;VAR:CURRSOURCE=EXSHARE&amp;","VAR:NATFREQ=QUARTERLY&amp;VAR:RFIELD=FINALIZED&amp;VAR:DB_TYPE=&amp;VAR:UNITS=M&amp;window=popup&amp;width=450&amp;height=300&amp;START_MAXIMIZED=FALSE"}</definedName>
    <definedName name="_2414__FDSAUDITLINK__" hidden="1">{"fdsup://IBCentral/FAT Viewer?action=UPDATE&amp;creator=factset&amp;DOC_NAME=fat:reuters_qtrly_source_window.fat&amp;display_string=Audit&amp;DYN_ARGS=TRUE&amp;VAR:ID1=16676410&amp;VAR:RCODE=LTCL&amp;VAR:SDATE=20081299&amp;VAR:FREQ=DAILY&amp;VAR:RELITEM=&amp;VAR:CURRENCY=&amp;VAR:CURRSOURCE=EXSHARE&amp;","VAR:NATFREQ=QUARTERLY&amp;VAR:RFIELD=FINALIZED&amp;VAR:DB_TYPE=&amp;VAR:UNITS=M&amp;window=popup&amp;width=450&amp;height=300&amp;START_MAXIMIZED=FALSE"}</definedName>
    <definedName name="_2415__FDSAUDITLINK__" hidden="1">{"fdsup://IBCentral/FAT Viewer?action=UPDATE&amp;creator=factset&amp;DOC_NAME=fat:reuters_qtrly_source_window.fat&amp;display_string=Audit&amp;DYN_ARGS=TRUE&amp;VAR:ID1=16676410&amp;VAR:RCODE=ATCA&amp;VAR:SDATE=20081299&amp;VAR:FREQ=DAILY&amp;VAR:RELITEM=&amp;VAR:CURRENCY=&amp;VAR:CURRSOURCE=EXSHARE&amp;","VAR:NATFREQ=QUARTERLY&amp;VAR:RFIELD=FINALIZED&amp;VAR:DB_TYPE=&amp;VAR:UNITS=M&amp;window=popup&amp;width=450&amp;height=300&amp;START_MAXIMIZED=FALSE"}</definedName>
    <definedName name="_2416__FDSAUDITLINK__" hidden="1">{"fdsup://IBCentral/FAT Viewer?action=UPDATE&amp;creator=factset&amp;DOC_NAME=fat:reuters_qtrly_source_window.fat&amp;display_string=Audit&amp;DYN_ARGS=TRUE&amp;VAR:ID1=16676410&amp;VAR:RCODE=ATOT&amp;VAR:SDATE=20081299&amp;VAR:FREQ=DAILY&amp;VAR:RELITEM=&amp;VAR:CURRENCY=&amp;VAR:CURRSOURCE=EXSHARE&amp;","VAR:NATFREQ=QUARTERLY&amp;VAR:RFIELD=FINALIZED&amp;VAR:DB_TYPE=&amp;VAR:UNITS=M&amp;window=popup&amp;width=450&amp;height=300&amp;START_MAXIMIZED=FALSE"}</definedName>
    <definedName name="_2417__FDSAUDITLINK__" hidden="1">{"fdsup://IBCentral/FAT Viewer?action=UPDATE&amp;creator=factset&amp;DOC_NAME=fat:reuters_qtrly_source_window.fat&amp;display_string=Audit&amp;DYN_ARGS=TRUE&amp;VAR:ID1=88579Y10&amp;VAR:RCODE=LTLL&amp;VAR:SDATE=20081299&amp;VAR:FREQ=DAILY&amp;VAR:RELITEM=&amp;VAR:CURRENCY=&amp;VAR:CURRSOURCE=EXSHARE&amp;","VAR:NATFREQ=QUARTERLY&amp;VAR:RFIELD=FINALIZED&amp;VAR:DB_TYPE=&amp;VAR:UNITS=M&amp;window=popup&amp;width=450&amp;height=300&amp;START_MAXIMIZED=FALSE"}</definedName>
    <definedName name="_2418__FDSAUDITLINK__" hidden="1">{"fdsup://IBCentral/FAT Viewer?action=UPDATE&amp;creator=factset&amp;DOC_NAME=fat:reuters_qtrly_source_window.fat&amp;display_string=Audit&amp;DYN_ARGS=TRUE&amp;VAR:ID1=88579Y10&amp;VAR:RCODE=LTCL&amp;VAR:SDATE=20081299&amp;VAR:FREQ=DAILY&amp;VAR:RELITEM=&amp;VAR:CURRENCY=&amp;VAR:CURRSOURCE=EXSHARE&amp;","VAR:NATFREQ=QUARTERLY&amp;VAR:RFIELD=FINALIZED&amp;VAR:DB_TYPE=&amp;VAR:UNITS=M&amp;window=popup&amp;width=450&amp;height=300&amp;START_MAXIMIZED=FALSE"}</definedName>
    <definedName name="_2419__FDSAUDITLINK__" hidden="1">{"fdsup://IBCentral/FAT Viewer?action=UPDATE&amp;creator=factset&amp;DOC_NAME=fat:reuters_qtrly_source_window.fat&amp;display_string=Audit&amp;DYN_ARGS=TRUE&amp;VAR:ID1=88579Y10&amp;VAR:RCODE=ATCA&amp;VAR:SDATE=20081299&amp;VAR:FREQ=DAILY&amp;VAR:RELITEM=&amp;VAR:CURRENCY=&amp;VAR:CURRSOURCE=EXSHARE&amp;","VAR:NATFREQ=QUARTERLY&amp;VAR:RFIELD=FINALIZED&amp;VAR:DB_TYPE=&amp;VAR:UNITS=M&amp;window=popup&amp;width=450&amp;height=300&amp;START_MAXIMIZED=FALSE"}</definedName>
    <definedName name="_242__FDSAUDITLINK__" hidden="1">{"fdsup://Directions/FactSet Auditing Viewer?action=AUDIT_VALUE&amp;DB=129&amp;ID1=01167P10&amp;VALUEID=02999&amp;SDATE=201001&amp;PERIODTYPE=QTR_STD&amp;window=popup_no_bar&amp;width=385&amp;height=120&amp;START_MAXIMIZED=FALSE&amp;creator=factset&amp;display_string=Audit"}</definedName>
    <definedName name="_2420__FDSAUDITLINK__" hidden="1">{"fdsup://IBCentral/FAT Viewer?action=UPDATE&amp;creator=factset&amp;DOC_NAME=fat:reuters_qtrly_source_window.fat&amp;display_string=Audit&amp;DYN_ARGS=TRUE&amp;VAR:ID1=88579Y10&amp;VAR:RCODE=ATOT&amp;VAR:SDATE=20081299&amp;VAR:FREQ=DAILY&amp;VAR:RELITEM=&amp;VAR:CURRENCY=&amp;VAR:CURRSOURCE=EXSHARE&amp;","VAR:NATFREQ=QUARTERLY&amp;VAR:RFIELD=FINALIZED&amp;VAR:DB_TYPE=&amp;VAR:UNITS=M&amp;window=popup&amp;width=450&amp;height=300&amp;START_MAXIMIZED=FALSE"}</definedName>
    <definedName name="_2421__FDSAUDITLINK__" hidden="1">{"fdsup://IBCentral/FAT Viewer?action=UPDATE&amp;creator=factset&amp;DOC_NAME=fat:reuters_qtrly_source_window.fat&amp;display_string=Audit&amp;DYN_ARGS=TRUE&amp;VAR:ID1=98302410&amp;VAR:RCODE=LTLL&amp;VAR:SDATE=20081299&amp;VAR:FREQ=DAILY&amp;VAR:RELITEM=&amp;VAR:CURRENCY=&amp;VAR:CURRSOURCE=EXSHARE&amp;","VAR:NATFREQ=QUARTERLY&amp;VAR:RFIELD=FINALIZED&amp;VAR:DB_TYPE=&amp;VAR:UNITS=M&amp;window=popup&amp;width=450&amp;height=300&amp;START_MAXIMIZED=FALSE"}</definedName>
    <definedName name="_2422__FDSAUDITLINK__" hidden="1">{"fdsup://IBCentral/FAT Viewer?action=UPDATE&amp;creator=factset&amp;DOC_NAME=fat:reuters_qtrly_source_window.fat&amp;display_string=Audit&amp;DYN_ARGS=TRUE&amp;VAR:ID1=98302410&amp;VAR:RCODE=LTCL&amp;VAR:SDATE=20081299&amp;VAR:FREQ=DAILY&amp;VAR:RELITEM=&amp;VAR:CURRENCY=&amp;VAR:CURRSOURCE=EXSHARE&amp;","VAR:NATFREQ=QUARTERLY&amp;VAR:RFIELD=FINALIZED&amp;VAR:DB_TYPE=&amp;VAR:UNITS=M&amp;window=popup&amp;width=450&amp;height=300&amp;START_MAXIMIZED=FALSE"}</definedName>
    <definedName name="_2423__FDSAUDITLINK__" hidden="1">{"fdsup://IBCentral/FAT Viewer?action=UPDATE&amp;creator=factset&amp;DOC_NAME=fat:reuters_qtrly_source_window.fat&amp;display_string=Audit&amp;DYN_ARGS=TRUE&amp;VAR:ID1=98302410&amp;VAR:RCODE=ATCA&amp;VAR:SDATE=20081299&amp;VAR:FREQ=DAILY&amp;VAR:RELITEM=&amp;VAR:CURRENCY=&amp;VAR:CURRSOURCE=EXSHARE&amp;","VAR:NATFREQ=QUARTERLY&amp;VAR:RFIELD=FINALIZED&amp;VAR:DB_TYPE=&amp;VAR:UNITS=M&amp;window=popup&amp;width=450&amp;height=300&amp;START_MAXIMIZED=FALSE"}</definedName>
    <definedName name="_2424__FDSAUDITLINK__" hidden="1">{"fdsup://IBCentral/FAT Viewer?action=UPDATE&amp;creator=factset&amp;DOC_NAME=fat:reuters_qtrly_source_window.fat&amp;display_string=Audit&amp;DYN_ARGS=TRUE&amp;VAR:ID1=98302410&amp;VAR:RCODE=ATOT&amp;VAR:SDATE=20081299&amp;VAR:FREQ=DAILY&amp;VAR:RELITEM=&amp;VAR:CURRENCY=&amp;VAR:CURRSOURCE=EXSHARE&amp;","VAR:NATFREQ=QUARTERLY&amp;VAR:RFIELD=FINALIZED&amp;VAR:DB_TYPE=&amp;VAR:UNITS=M&amp;window=popup&amp;width=450&amp;height=300&amp;START_MAXIMIZED=FALSE"}</definedName>
    <definedName name="_2425__FDSAUDITLINK__" hidden="1">{"fdsup://IBCentral/FAT Viewer?action=UPDATE&amp;creator=factset&amp;DOC_NAME=fat:reuters_qtrly_source_window.fat&amp;display_string=Audit&amp;DYN_ARGS=TRUE&amp;VAR:ID1=97665710&amp;VAR:RCODE=LTLL&amp;VAR:SDATE=20081299&amp;VAR:FREQ=DAILY&amp;VAR:RELITEM=&amp;VAR:CURRENCY=&amp;VAR:CURRSOURCE=EXSHARE&amp;","VAR:NATFREQ=QUARTERLY&amp;VAR:RFIELD=FINALIZED&amp;VAR:DB_TYPE=&amp;VAR:UNITS=M&amp;window=popup&amp;width=450&amp;height=300&amp;START_MAXIMIZED=FALSE"}</definedName>
    <definedName name="_2426__FDSAUDITLINK__" hidden="1">{"fdsup://IBCentral/FAT Viewer?action=UPDATE&amp;creator=factset&amp;DOC_NAME=fat:reuters_qtrly_source_window.fat&amp;display_string=Audit&amp;DYN_ARGS=TRUE&amp;VAR:ID1=97665710&amp;VAR:RCODE=LTCL&amp;VAR:SDATE=20081299&amp;VAR:FREQ=DAILY&amp;VAR:RELITEM=&amp;VAR:CURRENCY=&amp;VAR:CURRSOURCE=EXSHARE&amp;","VAR:NATFREQ=QUARTERLY&amp;VAR:RFIELD=FINALIZED&amp;VAR:DB_TYPE=&amp;VAR:UNITS=M&amp;window=popup&amp;width=450&amp;height=300&amp;START_MAXIMIZED=FALSE"}</definedName>
    <definedName name="_2427__FDSAUDITLINK__" hidden="1">{"fdsup://IBCentral/FAT Viewer?action=UPDATE&amp;creator=factset&amp;DOC_NAME=fat:reuters_qtrly_source_window.fat&amp;display_string=Audit&amp;DYN_ARGS=TRUE&amp;VAR:ID1=97665710&amp;VAR:RCODE=ATCA&amp;VAR:SDATE=20081299&amp;VAR:FREQ=DAILY&amp;VAR:RELITEM=&amp;VAR:CURRENCY=&amp;VAR:CURRSOURCE=EXSHARE&amp;","VAR:NATFREQ=QUARTERLY&amp;VAR:RFIELD=FINALIZED&amp;VAR:DB_TYPE=&amp;VAR:UNITS=M&amp;window=popup&amp;width=450&amp;height=300&amp;START_MAXIMIZED=FALSE"}</definedName>
    <definedName name="_2428__FDSAUDITLINK__" hidden="1">{"fdsup://IBCentral/FAT Viewer?action=UPDATE&amp;creator=factset&amp;DOC_NAME=fat:reuters_qtrly_source_window.fat&amp;display_string=Audit&amp;DYN_ARGS=TRUE&amp;VAR:ID1=97665710&amp;VAR:RCODE=ATOT&amp;VAR:SDATE=20081299&amp;VAR:FREQ=DAILY&amp;VAR:RELITEM=&amp;VAR:CURRENCY=&amp;VAR:CURRSOURCE=EXSHARE&amp;","VAR:NATFREQ=QUARTERLY&amp;VAR:RFIELD=FINALIZED&amp;VAR:DB_TYPE=&amp;VAR:UNITS=M&amp;window=popup&amp;width=450&amp;height=300&amp;START_MAXIMIZED=FALSE"}</definedName>
    <definedName name="_2429__FDSAUDITLINK__" hidden="1">{"fdsup://IBCentral/FAT Viewer?action=UPDATE&amp;creator=factset&amp;DOC_NAME=fat:reuters_qtrly_source_window.fat&amp;display_string=Audit&amp;DYN_ARGS=TRUE&amp;VAR:ID1=91820410&amp;VAR:RCODE=LTLL&amp;VAR:SDATE=20081299&amp;VAR:FREQ=DAILY&amp;VAR:RELITEM=&amp;VAR:CURRENCY=&amp;VAR:CURRSOURCE=EXSHARE&amp;","VAR:NATFREQ=QUARTERLY&amp;VAR:RFIELD=FINALIZED&amp;VAR:DB_TYPE=&amp;VAR:UNITS=M&amp;window=popup&amp;width=450&amp;height=300&amp;START_MAXIMIZED=FALSE"}</definedName>
    <definedName name="_243__FDSAUDITLINK__" hidden="1">{"fdsup://Directions/FactSet Auditing Viewer?action=AUDIT_VALUE&amp;DB=129&amp;ID1=33773810&amp;VALUEID=02999&amp;SDATE=201001&amp;PERIODTYPE=QTR_STD&amp;window=popup_no_bar&amp;width=385&amp;height=120&amp;START_MAXIMIZED=FALSE&amp;creator=factset&amp;display_string=Audit"}</definedName>
    <definedName name="_2430__FDSAUDITLINK__" hidden="1">{"fdsup://IBCentral/FAT Viewer?action=UPDATE&amp;creator=factset&amp;DOC_NAME=fat:reuters_qtrly_source_window.fat&amp;display_string=Audit&amp;DYN_ARGS=TRUE&amp;VAR:ID1=91820410&amp;VAR:RCODE=LTCL&amp;VAR:SDATE=20081299&amp;VAR:FREQ=DAILY&amp;VAR:RELITEM=&amp;VAR:CURRENCY=&amp;VAR:CURRSOURCE=EXSHARE&amp;","VAR:NATFREQ=QUARTERLY&amp;VAR:RFIELD=FINALIZED&amp;VAR:DB_TYPE=&amp;VAR:UNITS=M&amp;window=popup&amp;width=450&amp;height=300&amp;START_MAXIMIZED=FALSE"}</definedName>
    <definedName name="_2431__FDSAUDITLINK__" hidden="1">{"fdsup://IBCentral/FAT Viewer?action=UPDATE&amp;creator=factset&amp;DOC_NAME=fat:reuters_qtrly_source_window.fat&amp;display_string=Audit&amp;DYN_ARGS=TRUE&amp;VAR:ID1=91820410&amp;VAR:RCODE=ATCA&amp;VAR:SDATE=20081299&amp;VAR:FREQ=DAILY&amp;VAR:RELITEM=&amp;VAR:CURRENCY=&amp;VAR:CURRSOURCE=EXSHARE&amp;","VAR:NATFREQ=QUARTERLY&amp;VAR:RFIELD=FINALIZED&amp;VAR:DB_TYPE=&amp;VAR:UNITS=M&amp;window=popup&amp;width=450&amp;height=300&amp;START_MAXIMIZED=FALSE"}</definedName>
    <definedName name="_2432__FDSAUDITLINK__" hidden="1">{"fdsup://IBCentral/FAT Viewer?action=UPDATE&amp;creator=factset&amp;DOC_NAME=fat:reuters_qtrly_source_window.fat&amp;display_string=Audit&amp;DYN_ARGS=TRUE&amp;VAR:ID1=91820410&amp;VAR:RCODE=ATOT&amp;VAR:SDATE=20081299&amp;VAR:FREQ=DAILY&amp;VAR:RELITEM=&amp;VAR:CURRENCY=&amp;VAR:CURRSOURCE=EXSHARE&amp;","VAR:NATFREQ=QUARTERLY&amp;VAR:RFIELD=FINALIZED&amp;VAR:DB_TYPE=&amp;VAR:UNITS=M&amp;window=popup&amp;width=450&amp;height=300&amp;START_MAXIMIZED=FALSE"}</definedName>
    <definedName name="_2433__FDSAUDITLINK__" hidden="1">{"fdsup://IBCentral/FAT Viewer?action=UPDATE&amp;creator=factset&amp;DOC_NAME=fat:reuters_qtrly_source_window.fat&amp;display_string=Audit&amp;DYN_ARGS=TRUE&amp;VAR:ID1=92343V10&amp;VAR:RCODE=LTLL&amp;VAR:SDATE=20081299&amp;VAR:FREQ=DAILY&amp;VAR:RELITEM=&amp;VAR:CURRENCY=&amp;VAR:CURRSOURCE=EXSHARE&amp;","VAR:NATFREQ=QUARTERLY&amp;VAR:RFIELD=FINALIZED&amp;VAR:DB_TYPE=&amp;VAR:UNITS=M&amp;window=popup&amp;width=450&amp;height=300&amp;START_MAXIMIZED=FALSE"}</definedName>
    <definedName name="_2434__FDSAUDITLINK__" hidden="1">{"fdsup://IBCentral/FAT Viewer?action=UPDATE&amp;creator=factset&amp;DOC_NAME=fat:reuters_qtrly_source_window.fat&amp;display_string=Audit&amp;DYN_ARGS=TRUE&amp;VAR:ID1=92343V10&amp;VAR:RCODE=LTCL&amp;VAR:SDATE=20081299&amp;VAR:FREQ=DAILY&amp;VAR:RELITEM=&amp;VAR:CURRENCY=&amp;VAR:CURRSOURCE=EXSHARE&amp;","VAR:NATFREQ=QUARTERLY&amp;VAR:RFIELD=FINALIZED&amp;VAR:DB_TYPE=&amp;VAR:UNITS=M&amp;window=popup&amp;width=450&amp;height=300&amp;START_MAXIMIZED=FALSE"}</definedName>
    <definedName name="_2435__FDSAUDITLINK__" hidden="1">{"fdsup://IBCentral/FAT Viewer?action=UPDATE&amp;creator=factset&amp;DOC_NAME=fat:reuters_qtrly_source_window.fat&amp;display_string=Audit&amp;DYN_ARGS=TRUE&amp;VAR:ID1=92343V10&amp;VAR:RCODE=ATCA&amp;VAR:SDATE=20081299&amp;VAR:FREQ=DAILY&amp;VAR:RELITEM=&amp;VAR:CURRENCY=&amp;VAR:CURRSOURCE=EXSHARE&amp;","VAR:NATFREQ=QUARTERLY&amp;VAR:RFIELD=FINALIZED&amp;VAR:DB_TYPE=&amp;VAR:UNITS=M&amp;window=popup&amp;width=450&amp;height=300&amp;START_MAXIMIZED=FALSE"}</definedName>
    <definedName name="_2436__FDSAUDITLINK__" hidden="1">{"fdsup://IBCentral/FAT Viewer?action=UPDATE&amp;creator=factset&amp;DOC_NAME=fat:reuters_qtrly_source_window.fat&amp;display_string=Audit&amp;DYN_ARGS=TRUE&amp;VAR:ID1=92343V10&amp;VAR:RCODE=ATOT&amp;VAR:SDATE=20081299&amp;VAR:FREQ=DAILY&amp;VAR:RELITEM=&amp;VAR:CURRENCY=&amp;VAR:CURRSOURCE=EXSHARE&amp;","VAR:NATFREQ=QUARTERLY&amp;VAR:RFIELD=FINALIZED&amp;VAR:DB_TYPE=&amp;VAR:UNITS=M&amp;window=popup&amp;width=450&amp;height=300&amp;START_MAXIMIZED=FALSE"}</definedName>
    <definedName name="_2437__FDSAUDITLINK__" hidden="1">{"fdsup://IBCentral/FAT Viewer?action=UPDATE&amp;creator=factset&amp;DOC_NAME=fat:reuters_qtrly_source_window.fat&amp;display_string=Audit&amp;DYN_ARGS=TRUE&amp;VAR:ID1=87254010&amp;VAR:RCODE=LTLL&amp;VAR:SDATE=20081099&amp;VAR:FREQ=DAILY&amp;VAR:RELITEM=&amp;VAR:CURRENCY=&amp;VAR:CURRSOURCE=EXSHARE&amp;","VAR:NATFREQ=QUARTERLY&amp;VAR:RFIELD=FINALIZED&amp;VAR:DB_TYPE=&amp;VAR:UNITS=M&amp;window=popup&amp;width=450&amp;height=300&amp;START_MAXIMIZED=FALSE"}</definedName>
    <definedName name="_2438__FDSAUDITLINK__" hidden="1">{"fdsup://IBCentral/FAT Viewer?action=UPDATE&amp;creator=factset&amp;DOC_NAME=fat:reuters_qtrly_source_window.fat&amp;display_string=Audit&amp;DYN_ARGS=TRUE&amp;VAR:ID1=87254010&amp;VAR:RCODE=LTCL&amp;VAR:SDATE=20081099&amp;VAR:FREQ=DAILY&amp;VAR:RELITEM=&amp;VAR:CURRENCY=&amp;VAR:CURRSOURCE=EXSHARE&amp;","VAR:NATFREQ=QUARTERLY&amp;VAR:RFIELD=FINALIZED&amp;VAR:DB_TYPE=&amp;VAR:UNITS=M&amp;window=popup&amp;width=450&amp;height=300&amp;START_MAXIMIZED=FALSE"}</definedName>
    <definedName name="_2439__FDSAUDITLINK__" hidden="1">{"fdsup://IBCentral/FAT Viewer?action=UPDATE&amp;creator=factset&amp;DOC_NAME=fat:reuters_qtrly_source_window.fat&amp;display_string=Audit&amp;DYN_ARGS=TRUE&amp;VAR:ID1=87254010&amp;VAR:RCODE=ATCA&amp;VAR:SDATE=20081099&amp;VAR:FREQ=DAILY&amp;VAR:RELITEM=&amp;VAR:CURRENCY=&amp;VAR:CURRSOURCE=EXSHARE&amp;","VAR:NATFREQ=QUARTERLY&amp;VAR:RFIELD=FINALIZED&amp;VAR:DB_TYPE=&amp;VAR:UNITS=M&amp;window=popup&amp;width=450&amp;height=300&amp;START_MAXIMIZED=FALSE"}</definedName>
    <definedName name="_244__FDSAUDITLINK__" hidden="1">{"fdsup://Directions/FactSet Auditing Viewer?action=AUDIT_VALUE&amp;DB=129&amp;ID1=33775620&amp;VALUEID=02999&amp;SDATE=201001&amp;PERIODTYPE=QTR_STD&amp;window=popup_no_bar&amp;width=385&amp;height=120&amp;START_MAXIMIZED=FALSE&amp;creator=factset&amp;display_string=Audit"}</definedName>
    <definedName name="_2440__FDSAUDITLINK__" hidden="1">{"fdsup://IBCentral/FAT Viewer?action=UPDATE&amp;creator=factset&amp;DOC_NAME=fat:reuters_qtrly_source_window.fat&amp;display_string=Audit&amp;DYN_ARGS=TRUE&amp;VAR:ID1=87254010&amp;VAR:RCODE=ATOT&amp;VAR:SDATE=20081099&amp;VAR:FREQ=DAILY&amp;VAR:RELITEM=&amp;VAR:CURRENCY=&amp;VAR:CURRSOURCE=EXSHARE&amp;","VAR:NATFREQ=QUARTERLY&amp;VAR:RFIELD=FINALIZED&amp;VAR:DB_TYPE=&amp;VAR:UNITS=M&amp;window=popup&amp;width=450&amp;height=300&amp;START_MAXIMIZED=FALSE"}</definedName>
    <definedName name="_2441__FDSAUDITLINK__" hidden="1">{"fdsup://IBCentral/FAT Viewer?action=UPDATE&amp;creator=factset&amp;DOC_NAME=fat:reuters_qtrly_source_window.fat&amp;display_string=Audit&amp;DYN_ARGS=TRUE&amp;VAR:ID1=84258710&amp;VAR:RCODE=LTLL&amp;VAR:SDATE=20081299&amp;VAR:FREQ=DAILY&amp;VAR:RELITEM=&amp;VAR:CURRENCY=&amp;VAR:CURRSOURCE=EXSHARE&amp;","VAR:NATFREQ=QUARTERLY&amp;VAR:RFIELD=FINALIZED&amp;VAR:DB_TYPE=&amp;VAR:UNITS=M&amp;window=popup&amp;width=450&amp;height=300&amp;START_MAXIMIZED=FALSE"}</definedName>
    <definedName name="_2442__FDSAUDITLINK__" hidden="1">{"fdsup://IBCentral/FAT Viewer?action=UPDATE&amp;creator=factset&amp;DOC_NAME=fat:reuters_qtrly_source_window.fat&amp;display_string=Audit&amp;DYN_ARGS=TRUE&amp;VAR:ID1=84258710&amp;VAR:RCODE=LTCL&amp;VAR:SDATE=20081299&amp;VAR:FREQ=DAILY&amp;VAR:RELITEM=&amp;VAR:CURRENCY=&amp;VAR:CURRSOURCE=EXSHARE&amp;","VAR:NATFREQ=QUARTERLY&amp;VAR:RFIELD=FINALIZED&amp;VAR:DB_TYPE=&amp;VAR:UNITS=M&amp;window=popup&amp;width=450&amp;height=300&amp;START_MAXIMIZED=FALSE"}</definedName>
    <definedName name="_2443__FDSAUDITLINK__" hidden="1">{"fdsup://IBCentral/FAT Viewer?action=UPDATE&amp;creator=factset&amp;DOC_NAME=fat:reuters_qtrly_source_window.fat&amp;display_string=Audit&amp;DYN_ARGS=TRUE&amp;VAR:ID1=84258710&amp;VAR:RCODE=ATCA&amp;VAR:SDATE=20081299&amp;VAR:FREQ=DAILY&amp;VAR:RELITEM=&amp;VAR:CURRENCY=&amp;VAR:CURRSOURCE=EXSHARE&amp;","VAR:NATFREQ=QUARTERLY&amp;VAR:RFIELD=FINALIZED&amp;VAR:DB_TYPE=&amp;VAR:UNITS=M&amp;window=popup&amp;width=450&amp;height=300&amp;START_MAXIMIZED=FALSE"}</definedName>
    <definedName name="_2444__FDSAUDITLINK__" hidden="1">{"fdsup://IBCentral/FAT Viewer?action=UPDATE&amp;creator=factset&amp;DOC_NAME=fat:reuters_qtrly_source_window.fat&amp;display_string=Audit&amp;DYN_ARGS=TRUE&amp;VAR:ID1=84258710&amp;VAR:RCODE=ATOT&amp;VAR:SDATE=20081299&amp;VAR:FREQ=DAILY&amp;VAR:RELITEM=&amp;VAR:CURRENCY=&amp;VAR:CURRSOURCE=EXSHARE&amp;","VAR:NATFREQ=QUARTERLY&amp;VAR:RFIELD=FINALIZED&amp;VAR:DB_TYPE=&amp;VAR:UNITS=M&amp;window=popup&amp;width=450&amp;height=300&amp;START_MAXIMIZED=FALSE"}</definedName>
    <definedName name="_2445__FDSAUDITLINK__" hidden="1">{"fdsup://IBCentral/FAT Viewer?action=UPDATE&amp;creator=factset&amp;DOC_NAME=fat:reuters_qtrly_source_window.fat&amp;display_string=Audit&amp;DYN_ARGS=TRUE&amp;VAR:ID1=83303410&amp;VAR:RCODE=LTLL&amp;VAR:SDATE=20081299&amp;VAR:FREQ=DAILY&amp;VAR:RELITEM=&amp;VAR:CURRENCY=&amp;VAR:CURRSOURCE=EXSHARE&amp;","VAR:NATFREQ=QUARTERLY&amp;VAR:RFIELD=FINALIZED&amp;VAR:DB_TYPE=&amp;VAR:UNITS=M&amp;window=popup&amp;width=450&amp;height=300&amp;START_MAXIMIZED=FALSE"}</definedName>
    <definedName name="_2446__FDSAUDITLINK__" hidden="1">{"fdsup://IBCentral/FAT Viewer?action=UPDATE&amp;creator=factset&amp;DOC_NAME=fat:reuters_qtrly_source_window.fat&amp;display_string=Audit&amp;DYN_ARGS=TRUE&amp;VAR:ID1=83303410&amp;VAR:RCODE=LTCL&amp;VAR:SDATE=20081299&amp;VAR:FREQ=DAILY&amp;VAR:RELITEM=&amp;VAR:CURRENCY=&amp;VAR:CURRSOURCE=EXSHARE&amp;","VAR:NATFREQ=QUARTERLY&amp;VAR:RFIELD=FINALIZED&amp;VAR:DB_TYPE=&amp;VAR:UNITS=M&amp;window=popup&amp;width=450&amp;height=300&amp;START_MAXIMIZED=FALSE"}</definedName>
    <definedName name="_2447__FDSAUDITLINK__" hidden="1">{"fdsup://IBCentral/FAT Viewer?action=UPDATE&amp;creator=factset&amp;DOC_NAME=fat:reuters_qtrly_source_window.fat&amp;display_string=Audit&amp;DYN_ARGS=TRUE&amp;VAR:ID1=83303410&amp;VAR:RCODE=ATCA&amp;VAR:SDATE=20081299&amp;VAR:FREQ=DAILY&amp;VAR:RELITEM=&amp;VAR:CURRENCY=&amp;VAR:CURRSOURCE=EXSHARE&amp;","VAR:NATFREQ=QUARTERLY&amp;VAR:RFIELD=FINALIZED&amp;VAR:DB_TYPE=&amp;VAR:UNITS=M&amp;window=popup&amp;width=450&amp;height=300&amp;START_MAXIMIZED=FALSE"}</definedName>
    <definedName name="_2448__FDSAUDITLINK__" hidden="1">{"fdsup://IBCentral/FAT Viewer?action=UPDATE&amp;creator=factset&amp;DOC_NAME=fat:reuters_qtrly_source_window.fat&amp;display_string=Audit&amp;DYN_ARGS=TRUE&amp;VAR:ID1=83303410&amp;VAR:RCODE=ATOT&amp;VAR:SDATE=20081299&amp;VAR:FREQ=DAILY&amp;VAR:RELITEM=&amp;VAR:CURRENCY=&amp;VAR:CURRSOURCE=EXSHARE&amp;","VAR:NATFREQ=QUARTERLY&amp;VAR:RFIELD=FINALIZED&amp;VAR:DB_TYPE=&amp;VAR:UNITS=M&amp;window=popup&amp;width=450&amp;height=300&amp;START_MAXIMIZED=FALSE"}</definedName>
    <definedName name="_2449__FDSAUDITLINK__" hidden="1">{"fdsup://IBCentral/FAT Viewer?action=UPDATE&amp;creator=factset&amp;DOC_NAME=fat:reuters_qtrly_source_window.fat&amp;display_string=Audit&amp;DYN_ARGS=TRUE&amp;VAR:ID1=82434810&amp;VAR:RCODE=LTLL&amp;VAR:SDATE=20081299&amp;VAR:FREQ=DAILY&amp;VAR:RELITEM=&amp;VAR:CURRENCY=&amp;VAR:CURRSOURCE=EXSHARE&amp;","VAR:NATFREQ=QUARTERLY&amp;VAR:RFIELD=FINALIZED&amp;VAR:DB_TYPE=&amp;VAR:UNITS=M&amp;window=popup&amp;width=450&amp;height=300&amp;START_MAXIMIZED=FALSE"}</definedName>
    <definedName name="_245__FDSAUDITLINK__" hidden="1">{"fdsup://Directions/FactSet Auditing Viewer?action=AUDIT_VALUE&amp;DB=129&amp;ID1=34349810&amp;VALUEID=02999&amp;SDATE=201001&amp;PERIODTYPE=QTR_STD&amp;window=popup_no_bar&amp;width=385&amp;height=120&amp;START_MAXIMIZED=FALSE&amp;creator=factset&amp;display_string=Audit"}</definedName>
    <definedName name="_2450__FDSAUDITLINK__" hidden="1">{"fdsup://IBCentral/FAT Viewer?action=UPDATE&amp;creator=factset&amp;DOC_NAME=fat:reuters_qtrly_source_window.fat&amp;display_string=Audit&amp;DYN_ARGS=TRUE&amp;VAR:ID1=82434810&amp;VAR:RCODE=LTCL&amp;VAR:SDATE=20081299&amp;VAR:FREQ=DAILY&amp;VAR:RELITEM=&amp;VAR:CURRENCY=&amp;VAR:CURRSOURCE=EXSHARE&amp;","VAR:NATFREQ=QUARTERLY&amp;VAR:RFIELD=FINALIZED&amp;VAR:DB_TYPE=&amp;VAR:UNITS=M&amp;window=popup&amp;width=450&amp;height=300&amp;START_MAXIMIZED=FALSE"}</definedName>
    <definedName name="_2451__FDSAUDITLINK__" hidden="1">{"fdsup://IBCentral/FAT Viewer?action=UPDATE&amp;creator=factset&amp;DOC_NAME=fat:reuters_qtrly_source_window.fat&amp;display_string=Audit&amp;DYN_ARGS=TRUE&amp;VAR:ID1=82434810&amp;VAR:RCODE=ATCA&amp;VAR:SDATE=20081299&amp;VAR:FREQ=DAILY&amp;VAR:RELITEM=&amp;VAR:CURRENCY=&amp;VAR:CURRSOURCE=EXSHARE&amp;","VAR:NATFREQ=QUARTERLY&amp;VAR:RFIELD=FINALIZED&amp;VAR:DB_TYPE=&amp;VAR:UNITS=M&amp;window=popup&amp;width=450&amp;height=300&amp;START_MAXIMIZED=FALSE"}</definedName>
    <definedName name="_2452__FDSAUDITLINK__" hidden="1">{"fdsup://IBCentral/FAT Viewer?action=UPDATE&amp;creator=factset&amp;DOC_NAME=fat:reuters_qtrly_source_window.fat&amp;display_string=Audit&amp;DYN_ARGS=TRUE&amp;VAR:ID1=82434810&amp;VAR:RCODE=ATOT&amp;VAR:SDATE=20081299&amp;VAR:FREQ=DAILY&amp;VAR:RELITEM=&amp;VAR:CURRENCY=&amp;VAR:CURRSOURCE=EXSHARE&amp;","VAR:NATFREQ=QUARTERLY&amp;VAR:RFIELD=FINALIZED&amp;VAR:DB_TYPE=&amp;VAR:UNITS=M&amp;window=popup&amp;width=450&amp;height=300&amp;START_MAXIMIZED=FALSE"}</definedName>
    <definedName name="_2453__FDSAUDITLINK__" hidden="1">{"fdsup://IBCentral/FAT Viewer?action=UPDATE&amp;creator=factset&amp;DOC_NAME=fat:reuters_qtrly_source_window.fat&amp;display_string=Audit&amp;DYN_ARGS=TRUE&amp;VAR:ID1=69350610&amp;VAR:RCODE=LTLL&amp;VAR:SDATE=20081299&amp;VAR:FREQ=DAILY&amp;VAR:RELITEM=&amp;VAR:CURRENCY=&amp;VAR:CURRSOURCE=EXSHARE&amp;","VAR:NATFREQ=QUARTERLY&amp;VAR:RFIELD=FINALIZED&amp;VAR:DB_TYPE=&amp;VAR:UNITS=M&amp;window=popup&amp;width=450&amp;height=300&amp;START_MAXIMIZED=FALSE"}</definedName>
    <definedName name="_2454__FDSAUDITLINK__" hidden="1">{"fdsup://IBCentral/FAT Viewer?action=UPDATE&amp;creator=factset&amp;DOC_NAME=fat:reuters_qtrly_source_window.fat&amp;display_string=Audit&amp;DYN_ARGS=TRUE&amp;VAR:ID1=69350610&amp;VAR:RCODE=LTCL&amp;VAR:SDATE=20081299&amp;VAR:FREQ=DAILY&amp;VAR:RELITEM=&amp;VAR:CURRENCY=&amp;VAR:CURRSOURCE=EXSHARE&amp;","VAR:NATFREQ=QUARTERLY&amp;VAR:RFIELD=FINALIZED&amp;VAR:DB_TYPE=&amp;VAR:UNITS=M&amp;window=popup&amp;width=450&amp;height=300&amp;START_MAXIMIZED=FALSE"}</definedName>
    <definedName name="_2455__FDSAUDITLINK__" hidden="1">{"fdsup://IBCentral/FAT Viewer?action=UPDATE&amp;creator=factset&amp;DOC_NAME=fat:reuters_qtrly_source_window.fat&amp;display_string=Audit&amp;DYN_ARGS=TRUE&amp;VAR:ID1=69350610&amp;VAR:RCODE=ATCA&amp;VAR:SDATE=20081299&amp;VAR:FREQ=DAILY&amp;VAR:RELITEM=&amp;VAR:CURRENCY=&amp;VAR:CURRSOURCE=EXSHARE&amp;","VAR:NATFREQ=QUARTERLY&amp;VAR:RFIELD=FINALIZED&amp;VAR:DB_TYPE=&amp;VAR:UNITS=M&amp;window=popup&amp;width=450&amp;height=300&amp;START_MAXIMIZED=FALSE"}</definedName>
    <definedName name="_2456__FDSAUDITLINK__" hidden="1">{"fdsup://IBCentral/FAT Viewer?action=UPDATE&amp;creator=factset&amp;DOC_NAME=fat:reuters_qtrly_source_window.fat&amp;display_string=Audit&amp;DYN_ARGS=TRUE&amp;VAR:ID1=69350610&amp;VAR:RCODE=ATOT&amp;VAR:SDATE=20081299&amp;VAR:FREQ=DAILY&amp;VAR:RELITEM=&amp;VAR:CURRENCY=&amp;VAR:CURRSOURCE=EXSHARE&amp;","VAR:NATFREQ=QUARTERLY&amp;VAR:RFIELD=FINALIZED&amp;VAR:DB_TYPE=&amp;VAR:UNITS=M&amp;window=popup&amp;width=450&amp;height=300&amp;START_MAXIMIZED=FALSE"}</definedName>
    <definedName name="_2457__FDSAUDITLINK__" hidden="1">{"fdsup://IBCentral/FAT Viewer?action=UPDATE&amp;creator=factset&amp;DOC_NAME=fat:reuters_qtrly_source_window.fat&amp;display_string=Audit&amp;DYN_ARGS=TRUE&amp;VAR:ID1=72018610&amp;VAR:RCODE=LTLL&amp;VAR:SDATE=20081099&amp;VAR:FREQ=DAILY&amp;VAR:RELITEM=&amp;VAR:CURRENCY=&amp;VAR:CURRSOURCE=EXSHARE&amp;","VAR:NATFREQ=QUARTERLY&amp;VAR:RFIELD=FINALIZED&amp;VAR:DB_TYPE=&amp;VAR:UNITS=M&amp;window=popup&amp;width=450&amp;height=300&amp;START_MAXIMIZED=FALSE"}</definedName>
    <definedName name="_2458__FDSAUDITLINK__" hidden="1">{"fdsup://IBCentral/FAT Viewer?action=UPDATE&amp;creator=factset&amp;DOC_NAME=fat:reuters_qtrly_source_window.fat&amp;display_string=Audit&amp;DYN_ARGS=TRUE&amp;VAR:ID1=72018610&amp;VAR:RCODE=LTCL&amp;VAR:SDATE=20081099&amp;VAR:FREQ=DAILY&amp;VAR:RELITEM=&amp;VAR:CURRENCY=&amp;VAR:CURRSOURCE=EXSHARE&amp;","VAR:NATFREQ=QUARTERLY&amp;VAR:RFIELD=FINALIZED&amp;VAR:DB_TYPE=&amp;VAR:UNITS=M&amp;window=popup&amp;width=450&amp;height=300&amp;START_MAXIMIZED=FALSE"}</definedName>
    <definedName name="_2459__FDSAUDITLINK__" hidden="1">{"fdsup://IBCentral/FAT Viewer?action=UPDATE&amp;creator=factset&amp;DOC_NAME=fat:reuters_qtrly_source_window.fat&amp;display_string=Audit&amp;DYN_ARGS=TRUE&amp;VAR:ID1=72018610&amp;VAR:RCODE=ATCA&amp;VAR:SDATE=20081099&amp;VAR:FREQ=DAILY&amp;VAR:RELITEM=&amp;VAR:CURRENCY=&amp;VAR:CURRSOURCE=EXSHARE&amp;","VAR:NATFREQ=QUARTERLY&amp;VAR:RFIELD=FINALIZED&amp;VAR:DB_TYPE=&amp;VAR:UNITS=M&amp;window=popup&amp;width=450&amp;height=300&amp;START_MAXIMIZED=FALSE"}</definedName>
    <definedName name="_246__FDSAUDITLINK__" hidden="1">{"fdsup://Directions/FactSet Auditing Viewer?action=AUDIT_VALUE&amp;DB=129&amp;ID1=34341210&amp;VALUEID=02999&amp;SDATE=201001&amp;PERIODTYPE=QTR_STD&amp;window=popup_no_bar&amp;width=385&amp;height=120&amp;START_MAXIMIZED=FALSE&amp;creator=factset&amp;display_string=Audit"}</definedName>
    <definedName name="_2460__FDSAUDITLINK__" hidden="1">{"fdsup://IBCentral/FAT Viewer?action=UPDATE&amp;creator=factset&amp;DOC_NAME=fat:reuters_qtrly_source_window.fat&amp;display_string=Audit&amp;DYN_ARGS=TRUE&amp;VAR:ID1=72018610&amp;VAR:RCODE=ATOT&amp;VAR:SDATE=20081099&amp;VAR:FREQ=DAILY&amp;VAR:RELITEM=&amp;VAR:CURRENCY=&amp;VAR:CURRSOURCE=EXSHARE&amp;","VAR:NATFREQ=QUARTERLY&amp;VAR:RFIELD=FINALIZED&amp;VAR:DB_TYPE=&amp;VAR:UNITS=M&amp;window=popup&amp;width=450&amp;height=300&amp;START_MAXIMIZED=FALSE"}</definedName>
    <definedName name="_2461__FDSAUDITLINK__" hidden="1">{"fdsup://IBCentral/FAT Viewer?action=UPDATE&amp;creator=factset&amp;DOC_NAME=fat:reuters_qtrly_source_window.fat&amp;display_string=Audit&amp;DYN_ARGS=TRUE&amp;VAR:ID1=68964810&amp;VAR:RCODE=LTLL&amp;VAR:SDATE=20081299&amp;VAR:FREQ=DAILY&amp;VAR:RELITEM=&amp;VAR:CURRENCY=&amp;VAR:CURRSOURCE=EXSHARE&amp;","VAR:NATFREQ=QUARTERLY&amp;VAR:RFIELD=FINALIZED&amp;VAR:DB_TYPE=&amp;VAR:UNITS=M&amp;window=popup&amp;width=450&amp;height=300&amp;START_MAXIMIZED=FALSE"}</definedName>
    <definedName name="_2462__FDSAUDITLINK__" hidden="1">{"fdsup://IBCentral/FAT Viewer?action=UPDATE&amp;creator=factset&amp;DOC_NAME=fat:reuters_qtrly_source_window.fat&amp;display_string=Audit&amp;DYN_ARGS=TRUE&amp;VAR:ID1=68964810&amp;VAR:RCODE=LTCL&amp;VAR:SDATE=20081299&amp;VAR:FREQ=DAILY&amp;VAR:RELITEM=&amp;VAR:CURRENCY=&amp;VAR:CURRSOURCE=EXSHARE&amp;","VAR:NATFREQ=QUARTERLY&amp;VAR:RFIELD=FINALIZED&amp;VAR:DB_TYPE=&amp;VAR:UNITS=M&amp;window=popup&amp;width=450&amp;height=300&amp;START_MAXIMIZED=FALSE"}</definedName>
    <definedName name="_2463__FDSAUDITLINK__" hidden="1">{"fdsup://IBCentral/FAT Viewer?action=UPDATE&amp;creator=factset&amp;DOC_NAME=fat:reuters_qtrly_source_window.fat&amp;display_string=Audit&amp;DYN_ARGS=TRUE&amp;VAR:ID1=68964810&amp;VAR:RCODE=ATCA&amp;VAR:SDATE=20081299&amp;VAR:FREQ=DAILY&amp;VAR:RELITEM=&amp;VAR:CURRENCY=&amp;VAR:CURRSOURCE=EXSHARE&amp;","VAR:NATFREQ=QUARTERLY&amp;VAR:RFIELD=FINALIZED&amp;VAR:DB_TYPE=&amp;VAR:UNITS=M&amp;window=popup&amp;width=450&amp;height=300&amp;START_MAXIMIZED=FALSE"}</definedName>
    <definedName name="_2464__FDSAUDITLINK__" hidden="1">{"fdsup://IBCentral/FAT Viewer?action=UPDATE&amp;creator=factset&amp;DOC_NAME=fat:reuters_qtrly_source_window.fat&amp;display_string=Audit&amp;DYN_ARGS=TRUE&amp;VAR:ID1=68964810&amp;VAR:RCODE=ATOT&amp;VAR:SDATE=20081299&amp;VAR:FREQ=DAILY&amp;VAR:RELITEM=&amp;VAR:CURRENCY=&amp;VAR:CURRSOURCE=EXSHARE&amp;","VAR:NATFREQ=QUARTERLY&amp;VAR:RFIELD=FINALIZED&amp;VAR:DB_TYPE=&amp;VAR:UNITS=M&amp;window=popup&amp;width=450&amp;height=300&amp;START_MAXIMIZED=FALSE"}</definedName>
    <definedName name="_2465__FDSAUDITLINK__" hidden="1">{"fdsup://IBCentral/FAT Viewer?action=UPDATE&amp;creator=factset&amp;DOC_NAME=fat:reuters_qtrly_source_window.fat&amp;display_string=Audit&amp;DYN_ARGS=TRUE&amp;VAR:ID1=66765510&amp;VAR:RCODE=LTLL&amp;VAR:SDATE=20081299&amp;VAR:FREQ=DAILY&amp;VAR:RELITEM=&amp;VAR:CURRENCY=&amp;VAR:CURRSOURCE=EXSHARE&amp;","VAR:NATFREQ=QUARTERLY&amp;VAR:RFIELD=FINALIZED&amp;VAR:DB_TYPE=&amp;VAR:UNITS=M&amp;window=popup&amp;width=450&amp;height=300&amp;START_MAXIMIZED=FALSE"}</definedName>
    <definedName name="_2466__FDSAUDITLINK__" hidden="1">{"fdsup://IBCentral/FAT Viewer?action=UPDATE&amp;creator=factset&amp;DOC_NAME=fat:reuters_qtrly_source_window.fat&amp;display_string=Audit&amp;DYN_ARGS=TRUE&amp;VAR:ID1=66765510&amp;VAR:RCODE=LTCL&amp;VAR:SDATE=20081299&amp;VAR:FREQ=DAILY&amp;VAR:RELITEM=&amp;VAR:CURRENCY=&amp;VAR:CURRSOURCE=EXSHARE&amp;","VAR:NATFREQ=QUARTERLY&amp;VAR:RFIELD=FINALIZED&amp;VAR:DB_TYPE=&amp;VAR:UNITS=M&amp;window=popup&amp;width=450&amp;height=300&amp;START_MAXIMIZED=FALSE"}</definedName>
    <definedName name="_2467__FDSAUDITLINK__" hidden="1">{"fdsup://IBCentral/FAT Viewer?action=UPDATE&amp;creator=factset&amp;DOC_NAME=fat:reuters_qtrly_source_window.fat&amp;display_string=Audit&amp;DYN_ARGS=TRUE&amp;VAR:ID1=66765510&amp;VAR:RCODE=ATCA&amp;VAR:SDATE=20081299&amp;VAR:FREQ=DAILY&amp;VAR:RELITEM=&amp;VAR:CURRENCY=&amp;VAR:CURRSOURCE=EXSHARE&amp;","VAR:NATFREQ=QUARTERLY&amp;VAR:RFIELD=FINALIZED&amp;VAR:DB_TYPE=&amp;VAR:UNITS=M&amp;window=popup&amp;width=450&amp;height=300&amp;START_MAXIMIZED=FALSE"}</definedName>
    <definedName name="_2468__FDSAUDITLINK__" hidden="1">{"fdsup://IBCentral/FAT Viewer?action=UPDATE&amp;creator=factset&amp;DOC_NAME=fat:reuters_qtrly_source_window.fat&amp;display_string=Audit&amp;DYN_ARGS=TRUE&amp;VAR:ID1=66765510&amp;VAR:RCODE=ATOT&amp;VAR:SDATE=20081299&amp;VAR:FREQ=DAILY&amp;VAR:RELITEM=&amp;VAR:CURRENCY=&amp;VAR:CURRSOURCE=EXSHARE&amp;","VAR:NATFREQ=QUARTERLY&amp;VAR:RFIELD=FINALIZED&amp;VAR:DB_TYPE=&amp;VAR:UNITS=M&amp;window=popup&amp;width=450&amp;height=300&amp;START_MAXIMIZED=FALSE"}</definedName>
    <definedName name="_2469__FDSAUDITLINK__" hidden="1">{"fdsup://IBCentral/FAT Viewer?action=UPDATE&amp;creator=factset&amp;DOC_NAME=fat:reuters_qtrly_source_window.fat&amp;display_string=Audit&amp;DYN_ARGS=TRUE&amp;VAR:ID1=63707110&amp;VAR:RCODE=LTLL&amp;VAR:SDATE=20081299&amp;VAR:FREQ=DAILY&amp;VAR:RELITEM=&amp;VAR:CURRENCY=&amp;VAR:CURRSOURCE=EXSHARE&amp;","VAR:NATFREQ=QUARTERLY&amp;VAR:RFIELD=FINALIZED&amp;VAR:DB_TYPE=&amp;VAR:UNITS=M&amp;window=popup&amp;width=450&amp;height=300&amp;START_MAXIMIZED=FALSE"}</definedName>
    <definedName name="_247__FDSAUDITLINK__" hidden="1">{"fdsup://Directions/FactSet Auditing Viewer?action=AUDIT_VALUE&amp;DB=129&amp;ID1=30249130&amp;VALUEID=02999&amp;SDATE=201001&amp;PERIODTYPE=QTR_STD&amp;window=popup_no_bar&amp;width=385&amp;height=120&amp;START_MAXIMIZED=FALSE&amp;creator=factset&amp;display_string=Audit"}</definedName>
    <definedName name="_2470__FDSAUDITLINK__" hidden="1">{"fdsup://IBCentral/FAT Viewer?action=UPDATE&amp;creator=factset&amp;DOC_NAME=fat:reuters_qtrly_source_window.fat&amp;display_string=Audit&amp;DYN_ARGS=TRUE&amp;VAR:ID1=63707110&amp;VAR:RCODE=LTCL&amp;VAR:SDATE=20081299&amp;VAR:FREQ=DAILY&amp;VAR:RELITEM=&amp;VAR:CURRENCY=&amp;VAR:CURRSOURCE=EXSHARE&amp;","VAR:NATFREQ=QUARTERLY&amp;VAR:RFIELD=FINALIZED&amp;VAR:DB_TYPE=&amp;VAR:UNITS=M&amp;window=popup&amp;width=450&amp;height=300&amp;START_MAXIMIZED=FALSE"}</definedName>
    <definedName name="_2471__FDSAUDITLINK__" hidden="1">{"fdsup://IBCentral/FAT Viewer?action=UPDATE&amp;creator=factset&amp;DOC_NAME=fat:reuters_qtrly_source_window.fat&amp;display_string=Audit&amp;DYN_ARGS=TRUE&amp;VAR:ID1=63707110&amp;VAR:RCODE=ATCA&amp;VAR:SDATE=20081299&amp;VAR:FREQ=DAILY&amp;VAR:RELITEM=&amp;VAR:CURRENCY=&amp;VAR:CURRSOURCE=EXSHARE&amp;","VAR:NATFREQ=QUARTERLY&amp;VAR:RFIELD=FINALIZED&amp;VAR:DB_TYPE=&amp;VAR:UNITS=M&amp;window=popup&amp;width=450&amp;height=300&amp;START_MAXIMIZED=FALSE"}</definedName>
    <definedName name="_2472__FDSAUDITLINK__" hidden="1">{"fdsup://IBCentral/FAT Viewer?action=UPDATE&amp;creator=factset&amp;DOC_NAME=fat:reuters_qtrly_source_window.fat&amp;display_string=Audit&amp;DYN_ARGS=TRUE&amp;VAR:ID1=63707110&amp;VAR:RCODE=ATOT&amp;VAR:SDATE=20081299&amp;VAR:FREQ=DAILY&amp;VAR:RELITEM=&amp;VAR:CURRENCY=&amp;VAR:CURRSOURCE=EXSHARE&amp;","VAR:NATFREQ=QUARTERLY&amp;VAR:RFIELD=FINALIZED&amp;VAR:DB_TYPE=&amp;VAR:UNITS=M&amp;window=popup&amp;width=450&amp;height=300&amp;START_MAXIMIZED=FALSE"}</definedName>
    <definedName name="_2473__FDSAUDITLINK__" hidden="1">{"fdsup://IBCentral/FAT Viewer?action=UPDATE&amp;creator=factset&amp;DOC_NAME=fat:reuters_qtrly_source_window.fat&amp;display_string=Audit&amp;DYN_ARGS=TRUE&amp;VAR:ID1=55269010&amp;VAR:RCODE=LTLL&amp;VAR:SDATE=20081299&amp;VAR:FREQ=DAILY&amp;VAR:RELITEM=&amp;VAR:CURRENCY=&amp;VAR:CURRSOURCE=EXSHARE&amp;","VAR:NATFREQ=QUARTERLY&amp;VAR:RFIELD=FINALIZED&amp;VAR:DB_TYPE=&amp;VAR:UNITS=M&amp;window=popup&amp;width=450&amp;height=300&amp;START_MAXIMIZED=FALSE"}</definedName>
    <definedName name="_2474__FDSAUDITLINK__" hidden="1">{"fdsup://IBCentral/FAT Viewer?action=UPDATE&amp;creator=factset&amp;DOC_NAME=fat:reuters_qtrly_source_window.fat&amp;display_string=Audit&amp;DYN_ARGS=TRUE&amp;VAR:ID1=55269010&amp;VAR:RCODE=LTCL&amp;VAR:SDATE=20081299&amp;VAR:FREQ=DAILY&amp;VAR:RELITEM=&amp;VAR:CURRENCY=&amp;VAR:CURRSOURCE=EXSHARE&amp;","VAR:NATFREQ=QUARTERLY&amp;VAR:RFIELD=FINALIZED&amp;VAR:DB_TYPE=&amp;VAR:UNITS=M&amp;window=popup&amp;width=450&amp;height=300&amp;START_MAXIMIZED=FALSE"}</definedName>
    <definedName name="_2475__FDSAUDITLINK__" hidden="1">{"fdsup://IBCentral/FAT Viewer?action=UPDATE&amp;creator=factset&amp;DOC_NAME=fat:reuters_qtrly_source_window.fat&amp;display_string=Audit&amp;DYN_ARGS=TRUE&amp;VAR:ID1=55269010&amp;VAR:RCODE=ATCA&amp;VAR:SDATE=20081299&amp;VAR:FREQ=DAILY&amp;VAR:RELITEM=&amp;VAR:CURRENCY=&amp;VAR:CURRSOURCE=EXSHARE&amp;","VAR:NATFREQ=QUARTERLY&amp;VAR:RFIELD=FINALIZED&amp;VAR:DB_TYPE=&amp;VAR:UNITS=M&amp;window=popup&amp;width=450&amp;height=300&amp;START_MAXIMIZED=FALSE"}</definedName>
    <definedName name="_2476__FDSAUDITLINK__" hidden="1">{"fdsup://IBCentral/FAT Viewer?action=UPDATE&amp;creator=factset&amp;DOC_NAME=fat:reuters_qtrly_source_window.fat&amp;display_string=Audit&amp;DYN_ARGS=TRUE&amp;VAR:ID1=55269010&amp;VAR:RCODE=ATOT&amp;VAR:SDATE=20081299&amp;VAR:FREQ=DAILY&amp;VAR:RELITEM=&amp;VAR:CURRENCY=&amp;VAR:CURRSOURCE=EXSHARE&amp;","VAR:NATFREQ=QUARTERLY&amp;VAR:RFIELD=FINALIZED&amp;VAR:DB_TYPE=&amp;VAR:UNITS=M&amp;window=popup&amp;width=450&amp;height=300&amp;START_MAXIMIZED=FALSE"}</definedName>
    <definedName name="_2477__FDSAUDITLINK__" hidden="1">{"fdsup://IBCentral/FAT Viewer?action=UPDATE&amp;creator=factset&amp;DOC_NAME=fat:reuters_qtrly_source_window.fat&amp;display_string=Audit&amp;DYN_ARGS=TRUE&amp;VAR:ID1=58013510&amp;VAR:RCODE=LTLL&amp;VAR:SDATE=20081299&amp;VAR:FREQ=DAILY&amp;VAR:RELITEM=&amp;VAR:CURRENCY=&amp;VAR:CURRSOURCE=EXSHARE&amp;","VAR:NATFREQ=QUARTERLY&amp;VAR:RFIELD=FINALIZED&amp;VAR:DB_TYPE=&amp;VAR:UNITS=M&amp;window=popup&amp;width=450&amp;height=300&amp;START_MAXIMIZED=FALSE"}</definedName>
    <definedName name="_2478__FDSAUDITLINK__" hidden="1">{"fdsup://IBCentral/FAT Viewer?action=UPDATE&amp;creator=factset&amp;DOC_NAME=fat:reuters_qtrly_source_window.fat&amp;display_string=Audit&amp;DYN_ARGS=TRUE&amp;VAR:ID1=58013510&amp;VAR:RCODE=LTCL&amp;VAR:SDATE=20081299&amp;VAR:FREQ=DAILY&amp;VAR:RELITEM=&amp;VAR:CURRENCY=&amp;VAR:CURRSOURCE=EXSHARE&amp;","VAR:NATFREQ=QUARTERLY&amp;VAR:RFIELD=FINALIZED&amp;VAR:DB_TYPE=&amp;VAR:UNITS=M&amp;window=popup&amp;width=450&amp;height=300&amp;START_MAXIMIZED=FALSE"}</definedName>
    <definedName name="_2479__FDSAUDITLINK__" hidden="1">{"fdsup://IBCentral/FAT Viewer?action=UPDATE&amp;creator=factset&amp;DOC_NAME=fat:reuters_qtrly_source_window.fat&amp;display_string=Audit&amp;DYN_ARGS=TRUE&amp;VAR:ID1=58013510&amp;VAR:RCODE=ATCA&amp;VAR:SDATE=20081299&amp;VAR:FREQ=DAILY&amp;VAR:RELITEM=&amp;VAR:CURRENCY=&amp;VAR:CURRSOURCE=EXSHARE&amp;","VAR:NATFREQ=QUARTERLY&amp;VAR:RFIELD=FINALIZED&amp;VAR:DB_TYPE=&amp;VAR:UNITS=M&amp;window=popup&amp;width=450&amp;height=300&amp;START_MAXIMIZED=FALSE"}</definedName>
    <definedName name="_248__FDSAUDITLINK__" hidden="1">{"fdsup://Directions/FactSet Auditing Viewer?action=AUDIT_VALUE&amp;DB=129&amp;ID1=30249U10&amp;VALUEID=02999&amp;SDATE=201001&amp;PERIODTYPE=QTR_STD&amp;window=popup_no_bar&amp;width=385&amp;height=120&amp;START_MAXIMIZED=FALSE&amp;creator=factset&amp;display_string=Audit"}</definedName>
    <definedName name="_2480__FDSAUDITLINK__" hidden="1">{"fdsup://IBCentral/FAT Viewer?action=UPDATE&amp;creator=factset&amp;DOC_NAME=fat:reuters_qtrly_source_window.fat&amp;display_string=Audit&amp;DYN_ARGS=TRUE&amp;VAR:ID1=58013510&amp;VAR:RCODE=ATOT&amp;VAR:SDATE=20081299&amp;VAR:FREQ=DAILY&amp;VAR:RELITEM=&amp;VAR:CURRENCY=&amp;VAR:CURRSOURCE=EXSHARE&amp;","VAR:NATFREQ=QUARTERLY&amp;VAR:RFIELD=FINALIZED&amp;VAR:DB_TYPE=&amp;VAR:UNITS=M&amp;window=popup&amp;width=450&amp;height=300&amp;START_MAXIMIZED=FALSE"}</definedName>
    <definedName name="_2481__FDSAUDITLINK__" hidden="1">{"fdsup://IBCentral/FAT Viewer?action=UPDATE&amp;creator=factset&amp;DOC_NAME=fat:reuters_qtrly_source_window.fat&amp;display_string=Audit&amp;DYN_ARGS=TRUE&amp;VAR:ID1=52466010&amp;VAR:RCODE=LTLL&amp;VAR:SDATE=20081299&amp;VAR:FREQ=DAILY&amp;VAR:RELITEM=&amp;VAR:CURRENCY=&amp;VAR:CURRSOURCE=EXSHARE&amp;","VAR:NATFREQ=QUARTERLY&amp;VAR:RFIELD=FINALIZED&amp;VAR:DB_TYPE=&amp;VAR:UNITS=M&amp;window=popup&amp;width=450&amp;height=300&amp;START_MAXIMIZED=FALSE"}</definedName>
    <definedName name="_2482__FDSAUDITLINK__" hidden="1">{"fdsup://IBCentral/FAT Viewer?action=UPDATE&amp;creator=factset&amp;DOC_NAME=fat:reuters_qtrly_source_window.fat&amp;display_string=Audit&amp;DYN_ARGS=TRUE&amp;VAR:ID1=52466010&amp;VAR:RCODE=LTCL&amp;VAR:SDATE=20081299&amp;VAR:FREQ=DAILY&amp;VAR:RELITEM=&amp;VAR:CURRENCY=&amp;VAR:CURRSOURCE=EXSHARE&amp;","VAR:NATFREQ=QUARTERLY&amp;VAR:RFIELD=FINALIZED&amp;VAR:DB_TYPE=&amp;VAR:UNITS=M&amp;window=popup&amp;width=450&amp;height=300&amp;START_MAXIMIZED=FALSE"}</definedName>
    <definedName name="_2483__FDSAUDITLINK__" hidden="1">{"fdsup://IBCentral/FAT Viewer?action=UPDATE&amp;creator=factset&amp;DOC_NAME=fat:reuters_qtrly_source_window.fat&amp;display_string=Audit&amp;DYN_ARGS=TRUE&amp;VAR:ID1=52466010&amp;VAR:RCODE=ATCA&amp;VAR:SDATE=20081299&amp;VAR:FREQ=DAILY&amp;VAR:RELITEM=&amp;VAR:CURRENCY=&amp;VAR:CURRSOURCE=EXSHARE&amp;","VAR:NATFREQ=QUARTERLY&amp;VAR:RFIELD=FINALIZED&amp;VAR:DB_TYPE=&amp;VAR:UNITS=M&amp;window=popup&amp;width=450&amp;height=300&amp;START_MAXIMIZED=FALSE"}</definedName>
    <definedName name="_2484__FDSAUDITLINK__" hidden="1">{"fdsup://IBCentral/FAT Viewer?action=UPDATE&amp;creator=factset&amp;DOC_NAME=fat:reuters_qtrly_source_window.fat&amp;display_string=Audit&amp;DYN_ARGS=TRUE&amp;VAR:ID1=52466010&amp;VAR:RCODE=ATOT&amp;VAR:SDATE=20081299&amp;VAR:FREQ=DAILY&amp;VAR:RELITEM=&amp;VAR:CURRENCY=&amp;VAR:CURRSOURCE=EXSHARE&amp;","VAR:NATFREQ=QUARTERLY&amp;VAR:RFIELD=FINALIZED&amp;VAR:DB_TYPE=&amp;VAR:UNITS=M&amp;window=popup&amp;width=450&amp;height=300&amp;START_MAXIMIZED=FALSE"}</definedName>
    <definedName name="_2485__FDSAUDITLINK__" hidden="1">{"fdsup://IBCentral/FAT Viewer?action=UPDATE&amp;creator=factset&amp;DOC_NAME=fat:reuters_qtrly_source_window.fat&amp;display_string=Audit&amp;DYN_ARGS=TRUE&amp;VAR:ID1=52490110&amp;VAR:RCODE=LTLL&amp;VAR:SDATE=20081299&amp;VAR:FREQ=DAILY&amp;VAR:RELITEM=&amp;VAR:CURRENCY=&amp;VAR:CURRSOURCE=EXSHARE&amp;","VAR:NATFREQ=QUARTERLY&amp;VAR:RFIELD=FINALIZED&amp;VAR:DB_TYPE=&amp;VAR:UNITS=M&amp;window=popup&amp;width=450&amp;height=300&amp;START_MAXIMIZED=FALSE"}</definedName>
    <definedName name="_2486__FDSAUDITLINK__" hidden="1">{"fdsup://IBCentral/FAT Viewer?action=UPDATE&amp;creator=factset&amp;DOC_NAME=fat:reuters_qtrly_source_window.fat&amp;display_string=Audit&amp;DYN_ARGS=TRUE&amp;VAR:ID1=52490110&amp;VAR:RCODE=LTCL&amp;VAR:SDATE=20081299&amp;VAR:FREQ=DAILY&amp;VAR:RELITEM=&amp;VAR:CURRENCY=&amp;VAR:CURRSOURCE=EXSHARE&amp;","VAR:NATFREQ=QUARTERLY&amp;VAR:RFIELD=FINALIZED&amp;VAR:DB_TYPE=&amp;VAR:UNITS=M&amp;window=popup&amp;width=450&amp;height=300&amp;START_MAXIMIZED=FALSE"}</definedName>
    <definedName name="_2487__FDSAUDITLINK__" hidden="1">{"fdsup://IBCentral/FAT Viewer?action=UPDATE&amp;creator=factset&amp;DOC_NAME=fat:reuters_qtrly_source_window.fat&amp;display_string=Audit&amp;DYN_ARGS=TRUE&amp;VAR:ID1=52490110&amp;VAR:RCODE=ATCA&amp;VAR:SDATE=20081299&amp;VAR:FREQ=DAILY&amp;VAR:RELITEM=&amp;VAR:CURRENCY=&amp;VAR:CURRSOURCE=EXSHARE&amp;","VAR:NATFREQ=QUARTERLY&amp;VAR:RFIELD=FINALIZED&amp;VAR:DB_TYPE=&amp;VAR:UNITS=M&amp;window=popup&amp;width=450&amp;height=300&amp;START_MAXIMIZED=FALSE"}</definedName>
    <definedName name="_2488__FDSAUDITLINK__" hidden="1">{"fdsup://IBCentral/FAT Viewer?action=UPDATE&amp;creator=factset&amp;DOC_NAME=fat:reuters_qtrly_source_window.fat&amp;display_string=Audit&amp;DYN_ARGS=TRUE&amp;VAR:ID1=52490110&amp;VAR:RCODE=ATOT&amp;VAR:SDATE=20081299&amp;VAR:FREQ=DAILY&amp;VAR:RELITEM=&amp;VAR:CURRENCY=&amp;VAR:CURRSOURCE=EXSHARE&amp;","VAR:NATFREQ=QUARTERLY&amp;VAR:RFIELD=FINALIZED&amp;VAR:DB_TYPE=&amp;VAR:UNITS=M&amp;window=popup&amp;width=450&amp;height=300&amp;START_MAXIMIZED=FALSE"}</definedName>
    <definedName name="_2489__FDSAUDITLINK__" hidden="1">{"fdsup://IBCentral/FAT Viewer?action=UPDATE&amp;creator=factset&amp;DOC_NAME=fat:reuters_qtrly_source_window.fat&amp;display_string=Audit&amp;DYN_ARGS=TRUE&amp;VAR:ID1=48783610&amp;VAR:RCODE=LTLL&amp;VAR:SDATE=20081299&amp;VAR:FREQ=DAILY&amp;VAR:RELITEM=&amp;VAR:CURRENCY=&amp;VAR:CURRSOURCE=EXSHARE&amp;","VAR:NATFREQ=QUARTERLY&amp;VAR:RFIELD=FINALIZED&amp;VAR:DB_TYPE=&amp;VAR:UNITS=M&amp;window=popup&amp;width=450&amp;height=300&amp;START_MAXIMIZED=FALSE"}</definedName>
    <definedName name="_249__FDSAUDITLINK__" hidden="1">{"fdsup://Directions/FactSet Auditing Viewer?action=AUDIT_VALUE&amp;DB=129&amp;ID1=34484910&amp;VALUEID=02999&amp;SDATE=201001&amp;PERIODTYPE=QTR_STD&amp;window=popup_no_bar&amp;width=385&amp;height=120&amp;START_MAXIMIZED=FALSE&amp;creator=factset&amp;display_string=Audit"}</definedName>
    <definedName name="_2490__FDSAUDITLINK__" hidden="1">{"fdsup://IBCentral/FAT Viewer?action=UPDATE&amp;creator=factset&amp;DOC_NAME=fat:reuters_qtrly_source_window.fat&amp;display_string=Audit&amp;DYN_ARGS=TRUE&amp;VAR:ID1=48783610&amp;VAR:RCODE=LTCL&amp;VAR:SDATE=20081299&amp;VAR:FREQ=DAILY&amp;VAR:RELITEM=&amp;VAR:CURRENCY=&amp;VAR:CURRSOURCE=EXSHARE&amp;","VAR:NATFREQ=QUARTERLY&amp;VAR:RFIELD=FINALIZED&amp;VAR:DB_TYPE=&amp;VAR:UNITS=M&amp;window=popup&amp;width=450&amp;height=300&amp;START_MAXIMIZED=FALSE"}</definedName>
    <definedName name="_2491__FDSAUDITLINK__" hidden="1">{"fdsup://IBCentral/FAT Viewer?action=UPDATE&amp;creator=factset&amp;DOC_NAME=fat:reuters_qtrly_source_window.fat&amp;display_string=Audit&amp;DYN_ARGS=TRUE&amp;VAR:ID1=48783610&amp;VAR:RCODE=ATCA&amp;VAR:SDATE=20081299&amp;VAR:FREQ=DAILY&amp;VAR:RELITEM=&amp;VAR:CURRENCY=&amp;VAR:CURRSOURCE=EXSHARE&amp;","VAR:NATFREQ=QUARTERLY&amp;VAR:RFIELD=FINALIZED&amp;VAR:DB_TYPE=&amp;VAR:UNITS=M&amp;window=popup&amp;width=450&amp;height=300&amp;START_MAXIMIZED=FALSE"}</definedName>
    <definedName name="_2492__FDSAUDITLINK__" hidden="1">{"fdsup://IBCentral/FAT Viewer?action=UPDATE&amp;creator=factset&amp;DOC_NAME=fat:reuters_qtrly_source_window.fat&amp;display_string=Audit&amp;DYN_ARGS=TRUE&amp;VAR:ID1=48783610&amp;VAR:RCODE=ATOT&amp;VAR:SDATE=20081299&amp;VAR:FREQ=DAILY&amp;VAR:RELITEM=&amp;VAR:CURRENCY=&amp;VAR:CURRSOURCE=EXSHARE&amp;","VAR:NATFREQ=QUARTERLY&amp;VAR:RFIELD=FINALIZED&amp;VAR:DB_TYPE=&amp;VAR:UNITS=M&amp;window=popup&amp;width=450&amp;height=300&amp;START_MAXIMIZED=FALSE"}</definedName>
    <definedName name="_2493__FDSAUDITLINK__" hidden="1">{"fdsup://IBCentral/FAT Viewer?action=UPDATE&amp;creator=factset&amp;DOC_NAME=fat:reuters_qtrly_source_window.fat&amp;display_string=Audit&amp;DYN_ARGS=TRUE&amp;VAR:ID1=47836610&amp;VAR:RCODE=LTLL&amp;VAR:SDATE=20081299&amp;VAR:FREQ=DAILY&amp;VAR:RELITEM=&amp;VAR:CURRENCY=&amp;VAR:CURRSOURCE=EXSHARE&amp;","VAR:NATFREQ=QUARTERLY&amp;VAR:RFIELD=FINALIZED&amp;VAR:DB_TYPE=&amp;VAR:UNITS=M&amp;window=popup&amp;width=450&amp;height=300&amp;START_MAXIMIZED=FALSE"}</definedName>
    <definedName name="_2494__FDSAUDITLINK__" hidden="1">{"fdsup://IBCentral/FAT Viewer?action=UPDATE&amp;creator=factset&amp;DOC_NAME=fat:reuters_qtrly_source_window.fat&amp;display_string=Audit&amp;DYN_ARGS=TRUE&amp;VAR:ID1=47836610&amp;VAR:RCODE=LTCL&amp;VAR:SDATE=20081299&amp;VAR:FREQ=DAILY&amp;VAR:RELITEM=&amp;VAR:CURRENCY=&amp;VAR:CURRSOURCE=EXSHARE&amp;","VAR:NATFREQ=QUARTERLY&amp;VAR:RFIELD=FINALIZED&amp;VAR:DB_TYPE=&amp;VAR:UNITS=M&amp;window=popup&amp;width=450&amp;height=300&amp;START_MAXIMIZED=FALSE"}</definedName>
    <definedName name="_2495__FDSAUDITLINK__" hidden="1">{"fdsup://IBCentral/FAT Viewer?action=UPDATE&amp;creator=factset&amp;DOC_NAME=fat:reuters_qtrly_source_window.fat&amp;display_string=Audit&amp;DYN_ARGS=TRUE&amp;VAR:ID1=47836610&amp;VAR:RCODE=ATCA&amp;VAR:SDATE=20081299&amp;VAR:FREQ=DAILY&amp;VAR:RELITEM=&amp;VAR:CURRENCY=&amp;VAR:CURRSOURCE=EXSHARE&amp;","VAR:NATFREQ=QUARTERLY&amp;VAR:RFIELD=FINALIZED&amp;VAR:DB_TYPE=&amp;VAR:UNITS=M&amp;window=popup&amp;width=450&amp;height=300&amp;START_MAXIMIZED=FALSE"}</definedName>
    <definedName name="_2496__FDSAUDITLINK__" hidden="1">{"fdsup://IBCentral/FAT Viewer?action=UPDATE&amp;creator=factset&amp;DOC_NAME=fat:reuters_qtrly_source_window.fat&amp;display_string=Audit&amp;DYN_ARGS=TRUE&amp;VAR:ID1=47836610&amp;VAR:RCODE=ATOT&amp;VAR:SDATE=20081299&amp;VAR:FREQ=DAILY&amp;VAR:RELITEM=&amp;VAR:CURRENCY=&amp;VAR:CURRSOURCE=EXSHARE&amp;","VAR:NATFREQ=QUARTERLY&amp;VAR:RFIELD=FINALIZED&amp;VAR:DB_TYPE=&amp;VAR:UNITS=M&amp;window=popup&amp;width=450&amp;height=300&amp;START_MAXIMIZED=FALSE"}</definedName>
    <definedName name="_2497__FDSAUDITLINK__" hidden="1">{"fdsup://IBCentral/FAT Viewer?action=UPDATE&amp;creator=factset&amp;DOC_NAME=fat:reuters_qtrly_source_window.fat&amp;display_string=Audit&amp;DYN_ARGS=TRUE&amp;VAR:ID1=G491BT10&amp;VAR:RCODE=LTLL&amp;VAR:SDATE=20081299&amp;VAR:FREQ=DAILY&amp;VAR:RELITEM=&amp;VAR:CURRENCY=&amp;VAR:CURRSOURCE=EXSHARE&amp;","VAR:NATFREQ=QUARTERLY&amp;VAR:RFIELD=FINALIZED&amp;VAR:DB_TYPE=&amp;VAR:UNITS=M&amp;window=popup&amp;width=450&amp;height=300&amp;START_MAXIMIZED=FALSE"}</definedName>
    <definedName name="_2498__FDSAUDITLINK__" hidden="1">{"fdsup://IBCentral/FAT Viewer?action=UPDATE&amp;creator=factset&amp;DOC_NAME=fat:reuters_qtrly_source_window.fat&amp;display_string=Audit&amp;DYN_ARGS=TRUE&amp;VAR:ID1=G491BT10&amp;VAR:RCODE=LTCL&amp;VAR:SDATE=20081299&amp;VAR:FREQ=DAILY&amp;VAR:RELITEM=&amp;VAR:CURRENCY=&amp;VAR:CURRSOURCE=EXSHARE&amp;","VAR:NATFREQ=QUARTERLY&amp;VAR:RFIELD=FINALIZED&amp;VAR:DB_TYPE=&amp;VAR:UNITS=M&amp;window=popup&amp;width=450&amp;height=300&amp;START_MAXIMIZED=FALSE"}</definedName>
    <definedName name="_2499__FDSAUDITLINK__" hidden="1">{"fdsup://IBCentral/FAT Viewer?action=UPDATE&amp;creator=factset&amp;DOC_NAME=fat:reuters_qtrly_source_window.fat&amp;display_string=Audit&amp;DYN_ARGS=TRUE&amp;VAR:ID1=G491BT10&amp;VAR:RCODE=ATCA&amp;VAR:SDATE=20081299&amp;VAR:FREQ=DAILY&amp;VAR:RELITEM=&amp;VAR:CURRENCY=&amp;VAR:CURRSOURCE=EXSHARE&amp;","VAR:NATFREQ=QUARTERLY&amp;VAR:RFIELD=FINALIZED&amp;VAR:DB_TYPE=&amp;VAR:UNITS=M&amp;window=popup&amp;width=450&amp;height=300&amp;START_MAXIMIZED=FALSE"}</definedName>
    <definedName name="_25__FDSAUDITLINK__" hidden="1">{"fdsup://Directions/FactSet Auditing Viewer?action=AUDIT_VALUE&amp;DB=129&amp;ID1=01860620&amp;VALUEID=02999&amp;SDATE=201001&amp;PERIODTYPE=QTR_STD&amp;window=popup_no_bar&amp;width=385&amp;height=120&amp;START_MAXIMIZED=FALSE&amp;creator=factset&amp;display_string=Audit"}</definedName>
    <definedName name="_250__FDSAUDITLINK__" hidden="1">{"fdsup://Directions/FactSet Auditing Viewer?action=AUDIT_VALUE&amp;DB=129&amp;ID1=34537086&amp;VALUEID=02999&amp;SDATE=201001&amp;PERIODTYPE=QTR_STD&amp;window=popup_no_bar&amp;width=385&amp;height=120&amp;START_MAXIMIZED=FALSE&amp;creator=factset&amp;display_string=Audit"}</definedName>
    <definedName name="_2500__FDSAUDITLINK__" hidden="1">{"fdsup://IBCentral/FAT Viewer?action=UPDATE&amp;creator=factset&amp;DOC_NAME=fat:reuters_qtrly_source_window.fat&amp;display_string=Audit&amp;DYN_ARGS=TRUE&amp;VAR:ID1=G491BT10&amp;VAR:RCODE=ATOT&amp;VAR:SDATE=20081299&amp;VAR:FREQ=DAILY&amp;VAR:RELITEM=&amp;VAR:CURRENCY=&amp;VAR:CURRSOURCE=EXSHARE&amp;","VAR:NATFREQ=QUARTERLY&amp;VAR:RFIELD=FINALIZED&amp;VAR:DB_TYPE=&amp;VAR:UNITS=M&amp;window=popup&amp;width=450&amp;height=300&amp;START_MAXIMIZED=FALSE"}</definedName>
    <definedName name="_2501__FDSAUDITLINK__" hidden="1">{"fdsup://IBCentral/FAT Viewer?action=UPDATE&amp;creator=factset&amp;DOC_NAME=fat:reuters_qtrly_source_window.fat&amp;display_string=Audit&amp;DYN_ARGS=TRUE&amp;VAR:ID1=41586410&amp;VAR:RCODE=LTLL&amp;VAR:SDATE=20081299&amp;VAR:FREQ=DAILY&amp;VAR:RELITEM=&amp;VAR:CURRENCY=&amp;VAR:CURRSOURCE=EXSHARE&amp;","VAR:NATFREQ=QUARTERLY&amp;VAR:RFIELD=FINALIZED&amp;VAR:DB_TYPE=&amp;VAR:UNITS=M&amp;window=popup&amp;width=450&amp;height=300&amp;START_MAXIMIZED=FALSE"}</definedName>
    <definedName name="_2502__FDSAUDITLINK__" hidden="1">{"fdsup://IBCentral/FAT Viewer?action=UPDATE&amp;creator=factset&amp;DOC_NAME=fat:reuters_qtrly_source_window.fat&amp;display_string=Audit&amp;DYN_ARGS=TRUE&amp;VAR:ID1=41586410&amp;VAR:RCODE=LTCL&amp;VAR:SDATE=20081299&amp;VAR:FREQ=DAILY&amp;VAR:RELITEM=&amp;VAR:CURRENCY=&amp;VAR:CURRSOURCE=EXSHARE&amp;","VAR:NATFREQ=QUARTERLY&amp;VAR:RFIELD=FINALIZED&amp;VAR:DB_TYPE=&amp;VAR:UNITS=M&amp;window=popup&amp;width=450&amp;height=300&amp;START_MAXIMIZED=FALSE"}</definedName>
    <definedName name="_2503__FDSAUDITLINK__" hidden="1">{"fdsup://IBCentral/FAT Viewer?action=UPDATE&amp;creator=factset&amp;DOC_NAME=fat:reuters_qtrly_source_window.fat&amp;display_string=Audit&amp;DYN_ARGS=TRUE&amp;VAR:ID1=41586410&amp;VAR:RCODE=ATCA&amp;VAR:SDATE=20081299&amp;VAR:FREQ=DAILY&amp;VAR:RELITEM=&amp;VAR:CURRENCY=&amp;VAR:CURRSOURCE=EXSHARE&amp;","VAR:NATFREQ=QUARTERLY&amp;VAR:RFIELD=FINALIZED&amp;VAR:DB_TYPE=&amp;VAR:UNITS=M&amp;window=popup&amp;width=450&amp;height=300&amp;START_MAXIMIZED=FALSE"}</definedName>
    <definedName name="_2504__FDSAUDITLINK__" hidden="1">{"fdsup://IBCentral/FAT Viewer?action=UPDATE&amp;creator=factset&amp;DOC_NAME=fat:reuters_qtrly_source_window.fat&amp;display_string=Audit&amp;DYN_ARGS=TRUE&amp;VAR:ID1=41586410&amp;VAR:RCODE=ATOT&amp;VAR:SDATE=20081299&amp;VAR:FREQ=DAILY&amp;VAR:RELITEM=&amp;VAR:CURRENCY=&amp;VAR:CURRSOURCE=EXSHARE&amp;","VAR:NATFREQ=QUARTERLY&amp;VAR:RFIELD=FINALIZED&amp;VAR:DB_TYPE=&amp;VAR:UNITS=M&amp;window=popup&amp;width=450&amp;height=300&amp;START_MAXIMIZED=FALSE"}</definedName>
    <definedName name="_2505__FDSAUDITLINK__" hidden="1">{"fdsup://IBCentral/FAT Viewer?action=UPDATE&amp;creator=factset&amp;DOC_NAME=fat:reuters_qtrly_source_window.fat&amp;display_string=Audit&amp;DYN_ARGS=TRUE&amp;VAR:ID1=34341210&amp;VAR:RCODE=LTLL&amp;VAR:SDATE=20081299&amp;VAR:FREQ=DAILY&amp;VAR:RELITEM=&amp;VAR:CURRENCY=&amp;VAR:CURRSOURCE=EXSHARE&amp;","VAR:NATFREQ=QUARTERLY&amp;VAR:RFIELD=FINALIZED&amp;VAR:DB_TYPE=&amp;VAR:UNITS=M&amp;window=popup&amp;width=450&amp;height=300&amp;START_MAXIMIZED=FALSE"}</definedName>
    <definedName name="_2506__FDSAUDITLINK__" hidden="1">{"fdsup://IBCentral/FAT Viewer?action=UPDATE&amp;creator=factset&amp;DOC_NAME=fat:reuters_qtrly_source_window.fat&amp;display_string=Audit&amp;DYN_ARGS=TRUE&amp;VAR:ID1=34341210&amp;VAR:RCODE=LTCL&amp;VAR:SDATE=20081299&amp;VAR:FREQ=DAILY&amp;VAR:RELITEM=&amp;VAR:CURRENCY=&amp;VAR:CURRSOURCE=EXSHARE&amp;","VAR:NATFREQ=QUARTERLY&amp;VAR:RFIELD=FINALIZED&amp;VAR:DB_TYPE=&amp;VAR:UNITS=M&amp;window=popup&amp;width=450&amp;height=300&amp;START_MAXIMIZED=FALSE"}</definedName>
    <definedName name="_2507__FDSAUDITLINK__" hidden="1">{"fdsup://IBCentral/FAT Viewer?action=UPDATE&amp;creator=factset&amp;DOC_NAME=fat:reuters_qtrly_source_window.fat&amp;display_string=Audit&amp;DYN_ARGS=TRUE&amp;VAR:ID1=34341210&amp;VAR:RCODE=ATCA&amp;VAR:SDATE=20081299&amp;VAR:FREQ=DAILY&amp;VAR:RELITEM=&amp;VAR:CURRENCY=&amp;VAR:CURRSOURCE=EXSHARE&amp;","VAR:NATFREQ=QUARTERLY&amp;VAR:RFIELD=FINALIZED&amp;VAR:DB_TYPE=&amp;VAR:UNITS=M&amp;window=popup&amp;width=450&amp;height=300&amp;START_MAXIMIZED=FALSE"}</definedName>
    <definedName name="_2508__FDSAUDITLINK__" hidden="1">{"fdsup://IBCentral/FAT Viewer?action=UPDATE&amp;creator=factset&amp;DOC_NAME=fat:reuters_qtrly_source_window.fat&amp;display_string=Audit&amp;DYN_ARGS=TRUE&amp;VAR:ID1=34341210&amp;VAR:RCODE=ATOT&amp;VAR:SDATE=20081299&amp;VAR:FREQ=DAILY&amp;VAR:RELITEM=&amp;VAR:CURRENCY=&amp;VAR:CURRSOURCE=EXSHARE&amp;","VAR:NATFREQ=QUARTERLY&amp;VAR:RFIELD=FINALIZED&amp;VAR:DB_TYPE=&amp;VAR:UNITS=M&amp;window=popup&amp;width=450&amp;height=300&amp;START_MAXIMIZED=FALSE"}</definedName>
    <definedName name="_2509__FDSAUDITLINK__" hidden="1">{"fdsup://IBCentral/FAT Viewer?action=UPDATE&amp;creator=factset&amp;DOC_NAME=fat:reuters_qtrly_source_window.fat&amp;display_string=Audit&amp;DYN_ARGS=TRUE&amp;VAR:ID1=26875P10&amp;VAR:RCODE=LTLL&amp;VAR:SDATE=20081299&amp;VAR:FREQ=DAILY&amp;VAR:RELITEM=&amp;VAR:CURRENCY=&amp;VAR:CURRSOURCE=EXSHARE&amp;","VAR:NATFREQ=QUARTERLY&amp;VAR:RFIELD=FINALIZED&amp;VAR:DB_TYPE=&amp;VAR:UNITS=M&amp;window=popup&amp;width=450&amp;height=300&amp;START_MAXIMIZED=FALSE"}</definedName>
    <definedName name="_251__FDSAUDITLINK__" hidden="1">{"fdsup://Directions/FactSet Auditing Viewer?action=AUDIT_VALUE&amp;DB=129&amp;ID1=34609170&amp;VALUEID=02999&amp;SDATE=201001&amp;PERIODTYPE=QTR_STD&amp;window=popup_no_bar&amp;width=385&amp;height=120&amp;START_MAXIMIZED=FALSE&amp;creator=factset&amp;display_string=Audit"}</definedName>
    <definedName name="_2510__FDSAUDITLINK__" hidden="1">{"fdsup://IBCentral/FAT Viewer?action=UPDATE&amp;creator=factset&amp;DOC_NAME=fat:reuters_qtrly_source_window.fat&amp;display_string=Audit&amp;DYN_ARGS=TRUE&amp;VAR:ID1=26875P10&amp;VAR:RCODE=LTCL&amp;VAR:SDATE=20081299&amp;VAR:FREQ=DAILY&amp;VAR:RELITEM=&amp;VAR:CURRENCY=&amp;VAR:CURRSOURCE=EXSHARE&amp;","VAR:NATFREQ=QUARTERLY&amp;VAR:RFIELD=FINALIZED&amp;VAR:DB_TYPE=&amp;VAR:UNITS=M&amp;window=popup&amp;width=450&amp;height=300&amp;START_MAXIMIZED=FALSE"}</definedName>
    <definedName name="_2511__FDSAUDITLINK__" hidden="1">{"fdsup://IBCentral/FAT Viewer?action=UPDATE&amp;creator=factset&amp;DOC_NAME=fat:reuters_qtrly_source_window.fat&amp;display_string=Audit&amp;DYN_ARGS=TRUE&amp;VAR:ID1=26875P10&amp;VAR:RCODE=ATCA&amp;VAR:SDATE=20081299&amp;VAR:FREQ=DAILY&amp;VAR:RELITEM=&amp;VAR:CURRENCY=&amp;VAR:CURRSOURCE=EXSHARE&amp;","VAR:NATFREQ=QUARTERLY&amp;VAR:RFIELD=FINALIZED&amp;VAR:DB_TYPE=&amp;VAR:UNITS=M&amp;window=popup&amp;width=450&amp;height=300&amp;START_MAXIMIZED=FALSE"}</definedName>
    <definedName name="_2512__FDSAUDITLINK__" hidden="1">{"fdsup://IBCentral/FAT Viewer?action=UPDATE&amp;creator=factset&amp;DOC_NAME=fat:reuters_qtrly_source_window.fat&amp;display_string=Audit&amp;DYN_ARGS=TRUE&amp;VAR:ID1=26875P10&amp;VAR:RCODE=ATOT&amp;VAR:SDATE=20081299&amp;VAR:FREQ=DAILY&amp;VAR:RELITEM=&amp;VAR:CURRENCY=&amp;VAR:CURRSOURCE=EXSHARE&amp;","VAR:NATFREQ=QUARTERLY&amp;VAR:RFIELD=FINALIZED&amp;VAR:DB_TYPE=&amp;VAR:UNITS=M&amp;window=popup&amp;width=450&amp;height=300&amp;START_MAXIMIZED=FALSE"}</definedName>
    <definedName name="_2513__FDSAUDITLINK__" hidden="1">{"fdsup://IBCentral/FAT Viewer?action=UPDATE&amp;creator=factset&amp;DOC_NAME=fat:reuters_qtrly_source_window.fat&amp;display_string=Audit&amp;DYN_ARGS=TRUE&amp;VAR:ID1=27826510&amp;VAR:RCODE=LTLL&amp;VAR:SDATE=20081099&amp;VAR:FREQ=DAILY&amp;VAR:RELITEM=&amp;VAR:CURRENCY=&amp;VAR:CURRSOURCE=EXSHARE&amp;","VAR:NATFREQ=QUARTERLY&amp;VAR:RFIELD=FINALIZED&amp;VAR:DB_TYPE=&amp;VAR:UNITS=M&amp;window=popup&amp;width=450&amp;height=300&amp;START_MAXIMIZED=FALSE"}</definedName>
    <definedName name="_2514__FDSAUDITLINK__" hidden="1">{"fdsup://IBCentral/FAT Viewer?action=UPDATE&amp;creator=factset&amp;DOC_NAME=fat:reuters_qtrly_source_window.fat&amp;display_string=Audit&amp;DYN_ARGS=TRUE&amp;VAR:ID1=27826510&amp;VAR:RCODE=LTCL&amp;VAR:SDATE=20081099&amp;VAR:FREQ=DAILY&amp;VAR:RELITEM=&amp;VAR:CURRENCY=&amp;VAR:CURRSOURCE=EXSHARE&amp;","VAR:NATFREQ=QUARTERLY&amp;VAR:RFIELD=FINALIZED&amp;VAR:DB_TYPE=&amp;VAR:UNITS=M&amp;window=popup&amp;width=450&amp;height=300&amp;START_MAXIMIZED=FALSE"}</definedName>
    <definedName name="_2515__FDSAUDITLINK__" hidden="1">{"fdsup://IBCentral/FAT Viewer?action=UPDATE&amp;creator=factset&amp;DOC_NAME=fat:reuters_qtrly_source_window.fat&amp;display_string=Audit&amp;DYN_ARGS=TRUE&amp;VAR:ID1=27826510&amp;VAR:RCODE=ATCA&amp;VAR:SDATE=20081099&amp;VAR:FREQ=DAILY&amp;VAR:RELITEM=&amp;VAR:CURRENCY=&amp;VAR:CURRSOURCE=EXSHARE&amp;","VAR:NATFREQ=QUARTERLY&amp;VAR:RFIELD=FINALIZED&amp;VAR:DB_TYPE=&amp;VAR:UNITS=M&amp;window=popup&amp;width=450&amp;height=300&amp;START_MAXIMIZED=FALSE"}</definedName>
    <definedName name="_2516__FDSAUDITLINK__" hidden="1">{"fdsup://IBCentral/FAT Viewer?action=UPDATE&amp;creator=factset&amp;DOC_NAME=fat:reuters_qtrly_source_window.fat&amp;display_string=Audit&amp;DYN_ARGS=TRUE&amp;VAR:ID1=27826510&amp;VAR:RCODE=ATOT&amp;VAR:SDATE=20081099&amp;VAR:FREQ=DAILY&amp;VAR:RELITEM=&amp;VAR:CURRENCY=&amp;VAR:CURRSOURCE=EXSHARE&amp;","VAR:NATFREQ=QUARTERLY&amp;VAR:RFIELD=FINALIZED&amp;VAR:DB_TYPE=&amp;VAR:UNITS=M&amp;window=popup&amp;width=450&amp;height=300&amp;START_MAXIMIZED=FALSE"}</definedName>
    <definedName name="_2517__FDSAUDITLINK__" hidden="1">{"fdsup://IBCentral/FAT Viewer?action=UPDATE&amp;creator=factset&amp;DOC_NAME=fat:reuters_qtrly_source_window.fat&amp;display_string=Audit&amp;DYN_ARGS=TRUE&amp;VAR:ID1=06738310&amp;VAR:RCODE=LTLL&amp;VAR:SDATE=20081299&amp;VAR:FREQ=DAILY&amp;VAR:RELITEM=&amp;VAR:CURRENCY=&amp;VAR:CURRSOURCE=EXSHARE&amp;","VAR:NATFREQ=QUARTERLY&amp;VAR:RFIELD=FINALIZED&amp;VAR:DB_TYPE=&amp;VAR:UNITS=M&amp;window=popup&amp;width=450&amp;height=300&amp;START_MAXIMIZED=FALSE"}</definedName>
    <definedName name="_2518__FDSAUDITLINK__" hidden="1">{"fdsup://IBCentral/FAT Viewer?action=UPDATE&amp;creator=factset&amp;DOC_NAME=fat:reuters_qtrly_source_window.fat&amp;display_string=Audit&amp;DYN_ARGS=TRUE&amp;VAR:ID1=06738310&amp;VAR:RCODE=LTCL&amp;VAR:SDATE=20081299&amp;VAR:FREQ=DAILY&amp;VAR:RELITEM=&amp;VAR:CURRENCY=&amp;VAR:CURRSOURCE=EXSHARE&amp;","VAR:NATFREQ=QUARTERLY&amp;VAR:RFIELD=FINALIZED&amp;VAR:DB_TYPE=&amp;VAR:UNITS=M&amp;window=popup&amp;width=450&amp;height=300&amp;START_MAXIMIZED=FALSE"}</definedName>
    <definedName name="_2519__FDSAUDITLINK__" hidden="1">{"fdsup://IBCentral/FAT Viewer?action=UPDATE&amp;creator=factset&amp;DOC_NAME=fat:reuters_qtrly_source_window.fat&amp;display_string=Audit&amp;DYN_ARGS=TRUE&amp;VAR:ID1=06738310&amp;VAR:RCODE=ATCA&amp;VAR:SDATE=20081299&amp;VAR:FREQ=DAILY&amp;VAR:RELITEM=&amp;VAR:CURRENCY=&amp;VAR:CURRSOURCE=EXSHARE&amp;","VAR:NATFREQ=QUARTERLY&amp;VAR:RFIELD=FINALIZED&amp;VAR:DB_TYPE=&amp;VAR:UNITS=M&amp;window=popup&amp;width=450&amp;height=300&amp;START_MAXIMIZED=FALSE"}</definedName>
    <definedName name="_252__FDSAUDITLINK__" hidden="1">{"fdsup://Directions/FactSet Auditing Viewer?action=AUDIT_VALUE&amp;DB=129&amp;ID1=34963110&amp;VALUEID=02999&amp;SDATE=201001&amp;PERIODTYPE=QTR_STD&amp;window=popup_no_bar&amp;width=385&amp;height=120&amp;START_MAXIMIZED=FALSE&amp;creator=factset&amp;display_string=Audit"}</definedName>
    <definedName name="_2520__FDSAUDITLINK__" hidden="1">{"fdsup://IBCentral/FAT Viewer?action=UPDATE&amp;creator=factset&amp;DOC_NAME=fat:reuters_qtrly_source_window.fat&amp;display_string=Audit&amp;DYN_ARGS=TRUE&amp;VAR:ID1=06738310&amp;VAR:RCODE=ATOT&amp;VAR:SDATE=20081299&amp;VAR:FREQ=DAILY&amp;VAR:RELITEM=&amp;VAR:CURRENCY=&amp;VAR:CURRSOURCE=EXSHARE&amp;","VAR:NATFREQ=QUARTERLY&amp;VAR:RFIELD=FINALIZED&amp;VAR:DB_TYPE=&amp;VAR:UNITS=M&amp;window=popup&amp;width=450&amp;height=300&amp;START_MAXIMIZED=FALSE"}</definedName>
    <definedName name="_2521__FDSAUDITLINK__" hidden="1">{"fdsup://IBCentral/FAT Viewer?action=UPDATE&amp;creator=factset&amp;DOC_NAME=fat:reuters_qtrly_source_window.fat&amp;display_string=Audit&amp;DYN_ARGS=TRUE&amp;VAR:ID1=G2418210&amp;VAR:RCODE=LTLL&amp;VAR:SDATE=20081299&amp;VAR:FREQ=DAILY&amp;VAR:RELITEM=&amp;VAR:CURRENCY=&amp;VAR:CURRSOURCE=EXSHARE&amp;","VAR:NATFREQ=QUARTERLY&amp;VAR:RFIELD=FINALIZED&amp;VAR:DB_TYPE=&amp;VAR:UNITS=M&amp;window=popup&amp;width=450&amp;height=300&amp;START_MAXIMIZED=FALSE"}</definedName>
    <definedName name="_2522__FDSAUDITLINK__" hidden="1">{"fdsup://IBCentral/FAT Viewer?action=UPDATE&amp;creator=factset&amp;DOC_NAME=fat:reuters_qtrly_source_window.fat&amp;display_string=Audit&amp;DYN_ARGS=TRUE&amp;VAR:ID1=G2418210&amp;VAR:RCODE=LTCL&amp;VAR:SDATE=20081299&amp;VAR:FREQ=DAILY&amp;VAR:RELITEM=&amp;VAR:CURRENCY=&amp;VAR:CURRSOURCE=EXSHARE&amp;","VAR:NATFREQ=QUARTERLY&amp;VAR:RFIELD=FINALIZED&amp;VAR:DB_TYPE=&amp;VAR:UNITS=M&amp;window=popup&amp;width=450&amp;height=300&amp;START_MAXIMIZED=FALSE"}</definedName>
    <definedName name="_2523__FDSAUDITLINK__" hidden="1">{"fdsup://IBCentral/FAT Viewer?action=UPDATE&amp;creator=factset&amp;DOC_NAME=fat:reuters_qtrly_source_window.fat&amp;display_string=Audit&amp;DYN_ARGS=TRUE&amp;VAR:ID1=G2418210&amp;VAR:RCODE=ATCA&amp;VAR:SDATE=20081299&amp;VAR:FREQ=DAILY&amp;VAR:RELITEM=&amp;VAR:CURRENCY=&amp;VAR:CURRSOURCE=EXSHARE&amp;","VAR:NATFREQ=QUARTERLY&amp;VAR:RFIELD=FINALIZED&amp;VAR:DB_TYPE=&amp;VAR:UNITS=M&amp;window=popup&amp;width=450&amp;height=300&amp;START_MAXIMIZED=FALSE"}</definedName>
    <definedName name="_2524__FDSAUDITLINK__" hidden="1">{"fdsup://IBCentral/FAT Viewer?action=UPDATE&amp;creator=factset&amp;DOC_NAME=fat:reuters_qtrly_source_window.fat&amp;display_string=Audit&amp;DYN_ARGS=TRUE&amp;VAR:ID1=G2418210&amp;VAR:RCODE=ATOT&amp;VAR:SDATE=20081299&amp;VAR:FREQ=DAILY&amp;VAR:RELITEM=&amp;VAR:CURRENCY=&amp;VAR:CURRSOURCE=EXSHARE&amp;","VAR:NATFREQ=QUARTERLY&amp;VAR:RFIELD=FINALIZED&amp;VAR:DB_TYPE=&amp;VAR:UNITS=M&amp;window=popup&amp;width=450&amp;height=300&amp;START_MAXIMIZED=FALSE"}</definedName>
    <definedName name="_2525__FDSAUDITLINK__" hidden="1">{"fdsup://IBCentral/FAT Viewer?action=UPDATE&amp;creator=factset&amp;DOC_NAME=fat:reuters_qtrly_source_window.fat&amp;display_string=Audit&amp;DYN_ARGS=TRUE&amp;VAR:ID1=19121910&amp;VAR:RCODE=LTLL&amp;VAR:SDATE=20081299&amp;VAR:FREQ=DAILY&amp;VAR:RELITEM=&amp;VAR:CURRENCY=&amp;VAR:CURRSOURCE=EXSHARE&amp;","VAR:NATFREQ=QUARTERLY&amp;VAR:RFIELD=FINALIZED&amp;VAR:DB_TYPE=&amp;VAR:UNITS=M&amp;window=popup&amp;width=450&amp;height=300&amp;START_MAXIMIZED=FALSE"}</definedName>
    <definedName name="_2526__FDSAUDITLINK__" hidden="1">{"fdsup://IBCentral/FAT Viewer?action=UPDATE&amp;creator=factset&amp;DOC_NAME=fat:reuters_qtrly_source_window.fat&amp;display_string=Audit&amp;DYN_ARGS=TRUE&amp;VAR:ID1=19121910&amp;VAR:RCODE=LTCL&amp;VAR:SDATE=20081299&amp;VAR:FREQ=DAILY&amp;VAR:RELITEM=&amp;VAR:CURRENCY=&amp;VAR:CURRSOURCE=EXSHARE&amp;","VAR:NATFREQ=QUARTERLY&amp;VAR:RFIELD=FINALIZED&amp;VAR:DB_TYPE=&amp;VAR:UNITS=M&amp;window=popup&amp;width=450&amp;height=300&amp;START_MAXIMIZED=FALSE"}</definedName>
    <definedName name="_2527__FDSAUDITLINK__" hidden="1">{"fdsup://IBCentral/FAT Viewer?action=UPDATE&amp;creator=factset&amp;DOC_NAME=fat:reuters_qtrly_source_window.fat&amp;display_string=Audit&amp;DYN_ARGS=TRUE&amp;VAR:ID1=19121910&amp;VAR:RCODE=ATCA&amp;VAR:SDATE=20081299&amp;VAR:FREQ=DAILY&amp;VAR:RELITEM=&amp;VAR:CURRENCY=&amp;VAR:CURRSOURCE=EXSHARE&amp;","VAR:NATFREQ=QUARTERLY&amp;VAR:RFIELD=FINALIZED&amp;VAR:DB_TYPE=&amp;VAR:UNITS=M&amp;window=popup&amp;width=450&amp;height=300&amp;START_MAXIMIZED=FALSE"}</definedName>
    <definedName name="_2528__FDSAUDITLINK__" hidden="1">{"fdsup://IBCentral/FAT Viewer?action=UPDATE&amp;creator=factset&amp;DOC_NAME=fat:reuters_qtrly_source_window.fat&amp;display_string=Audit&amp;DYN_ARGS=TRUE&amp;VAR:ID1=19121910&amp;VAR:RCODE=ATOT&amp;VAR:SDATE=20081299&amp;VAR:FREQ=DAILY&amp;VAR:RELITEM=&amp;VAR:CURRENCY=&amp;VAR:CURRSOURCE=EXSHARE&amp;","VAR:NATFREQ=QUARTERLY&amp;VAR:RFIELD=FINALIZED&amp;VAR:DB_TYPE=&amp;VAR:UNITS=M&amp;window=popup&amp;width=450&amp;height=300&amp;START_MAXIMIZED=FALSE"}</definedName>
    <definedName name="_2529__FDSAUDITLINK__" hidden="1">{"fdsup://IBCentral/FAT Viewer?action=UPDATE&amp;creator=factset&amp;DOC_NAME=fat:reuters_qtrly_source_window.fat&amp;display_string=Audit&amp;DYN_ARGS=TRUE&amp;VAR:ID1=14365830&amp;VAR:RCODE=LTLL&amp;VAR:SDATE=20081199&amp;VAR:FREQ=DAILY&amp;VAR:RELITEM=&amp;VAR:CURRENCY=&amp;VAR:CURRSOURCE=EXSHARE&amp;","VAR:NATFREQ=QUARTERLY&amp;VAR:RFIELD=FINALIZED&amp;VAR:DB_TYPE=&amp;VAR:UNITS=M&amp;window=popup&amp;width=450&amp;height=300&amp;START_MAXIMIZED=FALSE"}</definedName>
    <definedName name="_253__FDSAUDITLINK__" hidden="1">{"fdsup://Directions/FactSet Auditing Viewer?action=AUDIT_VALUE&amp;DB=129&amp;ID1=H2717810&amp;VALUEID=02999&amp;SDATE=201001&amp;PERIODTYPE=QTR_STD&amp;window=popup_no_bar&amp;width=385&amp;height=120&amp;START_MAXIMIZED=FALSE&amp;creator=factset&amp;display_string=Audit"}</definedName>
    <definedName name="_2530__FDSAUDITLINK__" hidden="1">{"fdsup://IBCentral/FAT Viewer?action=UPDATE&amp;creator=factset&amp;DOC_NAME=fat:reuters_qtrly_source_window.fat&amp;display_string=Audit&amp;DYN_ARGS=TRUE&amp;VAR:ID1=14365830&amp;VAR:RCODE=LTCL&amp;VAR:SDATE=20081199&amp;VAR:FREQ=DAILY&amp;VAR:RELITEM=&amp;VAR:CURRENCY=&amp;VAR:CURRSOURCE=EXSHARE&amp;","VAR:NATFREQ=QUARTERLY&amp;VAR:RFIELD=FINALIZED&amp;VAR:DB_TYPE=&amp;VAR:UNITS=M&amp;window=popup&amp;width=450&amp;height=300&amp;START_MAXIMIZED=FALSE"}</definedName>
    <definedName name="_2531__FDSAUDITLINK__" hidden="1">{"fdsup://IBCentral/FAT Viewer?action=UPDATE&amp;creator=factset&amp;DOC_NAME=fat:reuters_qtrly_source_window.fat&amp;display_string=Audit&amp;DYN_ARGS=TRUE&amp;VAR:ID1=14365830&amp;VAR:RCODE=ATCA&amp;VAR:SDATE=20081199&amp;VAR:FREQ=DAILY&amp;VAR:RELITEM=&amp;VAR:CURRENCY=&amp;VAR:CURRSOURCE=EXSHARE&amp;","VAR:NATFREQ=QUARTERLY&amp;VAR:RFIELD=FINALIZED&amp;VAR:DB_TYPE=&amp;VAR:UNITS=M&amp;window=popup&amp;width=450&amp;height=300&amp;START_MAXIMIZED=FALSE"}</definedName>
    <definedName name="_2532__FDSAUDITLINK__" hidden="1">{"fdsup://IBCentral/FAT Viewer?action=UPDATE&amp;creator=factset&amp;DOC_NAME=fat:reuters_qtrly_source_window.fat&amp;display_string=Audit&amp;DYN_ARGS=TRUE&amp;VAR:ID1=14365830&amp;VAR:RCODE=ATOT&amp;VAR:SDATE=20081199&amp;VAR:FREQ=DAILY&amp;VAR:RELITEM=&amp;VAR:CURRENCY=&amp;VAR:CURRSOURCE=EXSHARE&amp;","VAR:NATFREQ=QUARTERLY&amp;VAR:RFIELD=FINALIZED&amp;VAR:DB_TYPE=&amp;VAR:UNITS=M&amp;window=popup&amp;width=450&amp;height=300&amp;START_MAXIMIZED=FALSE"}</definedName>
    <definedName name="_2533__FDSAUDITLINK__" hidden="1">{"fdsup://IBCentral/FAT Viewer?action=UPDATE&amp;creator=factset&amp;DOC_NAME=fat:reuters_qtrly_source_window.fat&amp;display_string=Audit&amp;DYN_ARGS=TRUE&amp;VAR:ID1=07181310&amp;VAR:RCODE=LTLL&amp;VAR:SDATE=20081299&amp;VAR:FREQ=DAILY&amp;VAR:RELITEM=&amp;VAR:CURRENCY=&amp;VAR:CURRSOURCE=EXSHARE&amp;","VAR:NATFREQ=QUARTERLY&amp;VAR:RFIELD=FINALIZED&amp;VAR:DB_TYPE=&amp;VAR:UNITS=M&amp;window=popup&amp;width=450&amp;height=300&amp;START_MAXIMIZED=FALSE"}</definedName>
    <definedName name="_2534__FDSAUDITLINK__" hidden="1">{"fdsup://IBCentral/FAT Viewer?action=UPDATE&amp;creator=factset&amp;DOC_NAME=fat:reuters_qtrly_source_window.fat&amp;display_string=Audit&amp;DYN_ARGS=TRUE&amp;VAR:ID1=07181310&amp;VAR:RCODE=LTCL&amp;VAR:SDATE=20081299&amp;VAR:FREQ=DAILY&amp;VAR:RELITEM=&amp;VAR:CURRENCY=&amp;VAR:CURRSOURCE=EXSHARE&amp;","VAR:NATFREQ=QUARTERLY&amp;VAR:RFIELD=FINALIZED&amp;VAR:DB_TYPE=&amp;VAR:UNITS=M&amp;window=popup&amp;width=450&amp;height=300&amp;START_MAXIMIZED=FALSE"}</definedName>
    <definedName name="_2535__FDSAUDITLINK__" hidden="1">{"fdsup://IBCentral/FAT Viewer?action=UPDATE&amp;creator=factset&amp;DOC_NAME=fat:reuters_qtrly_source_window.fat&amp;display_string=Audit&amp;DYN_ARGS=TRUE&amp;VAR:ID1=07181310&amp;VAR:RCODE=ATCA&amp;VAR:SDATE=20081299&amp;VAR:FREQ=DAILY&amp;VAR:RELITEM=&amp;VAR:CURRENCY=&amp;VAR:CURRSOURCE=EXSHARE&amp;","VAR:NATFREQ=QUARTERLY&amp;VAR:RFIELD=FINALIZED&amp;VAR:DB_TYPE=&amp;VAR:UNITS=M&amp;window=popup&amp;width=450&amp;height=300&amp;START_MAXIMIZED=FALSE"}</definedName>
    <definedName name="_2536__FDSAUDITLINK__" hidden="1">{"fdsup://IBCentral/FAT Viewer?action=UPDATE&amp;creator=factset&amp;DOC_NAME=fat:reuters_qtrly_source_window.fat&amp;display_string=Audit&amp;DYN_ARGS=TRUE&amp;VAR:ID1=07181310&amp;VAR:RCODE=ATOT&amp;VAR:SDATE=20081299&amp;VAR:FREQ=DAILY&amp;VAR:RELITEM=&amp;VAR:CURRENCY=&amp;VAR:CURRSOURCE=EXSHARE&amp;","VAR:NATFREQ=QUARTERLY&amp;VAR:RFIELD=FINALIZED&amp;VAR:DB_TYPE=&amp;VAR:UNITS=M&amp;window=popup&amp;width=450&amp;height=300&amp;START_MAXIMIZED=FALSE"}</definedName>
    <definedName name="_2537__FDSAUDITLINK__" hidden="1">{"fdsup://IBCentral/FAT Viewer?action=UPDATE&amp;creator=factset&amp;DOC_NAME=fat:reuters_qtrly_source_window.fat&amp;display_string=Audit&amp;DYN_ARGS=TRUE&amp;VAR:ID1=03822210&amp;VAR:RCODE=LTLL&amp;VAR:SDATE=20081099&amp;VAR:FREQ=DAILY&amp;VAR:RELITEM=&amp;VAR:CURRENCY=&amp;VAR:CURRSOURCE=EXSHARE&amp;","VAR:NATFREQ=QUARTERLY&amp;VAR:RFIELD=FINALIZED&amp;VAR:DB_TYPE=&amp;VAR:UNITS=M&amp;window=popup&amp;width=450&amp;height=300&amp;START_MAXIMIZED=FALSE"}</definedName>
    <definedName name="_2538__FDSAUDITLINK__" hidden="1">{"fdsup://IBCentral/FAT Viewer?action=UPDATE&amp;creator=factset&amp;DOC_NAME=fat:reuters_qtrly_source_window.fat&amp;display_string=Audit&amp;DYN_ARGS=TRUE&amp;VAR:ID1=03822210&amp;VAR:RCODE=LTCL&amp;VAR:SDATE=20081099&amp;VAR:FREQ=DAILY&amp;VAR:RELITEM=&amp;VAR:CURRENCY=&amp;VAR:CURRSOURCE=EXSHARE&amp;","VAR:NATFREQ=QUARTERLY&amp;VAR:RFIELD=FINALIZED&amp;VAR:DB_TYPE=&amp;VAR:UNITS=M&amp;window=popup&amp;width=450&amp;height=300&amp;START_MAXIMIZED=FALSE"}</definedName>
    <definedName name="_2539__FDSAUDITLINK__" hidden="1">{"fdsup://IBCentral/FAT Viewer?action=UPDATE&amp;creator=factset&amp;DOC_NAME=fat:reuters_qtrly_source_window.fat&amp;display_string=Audit&amp;DYN_ARGS=TRUE&amp;VAR:ID1=03822210&amp;VAR:RCODE=ATCA&amp;VAR:SDATE=20081099&amp;VAR:FREQ=DAILY&amp;VAR:RELITEM=&amp;VAR:CURRENCY=&amp;VAR:CURRSOURCE=EXSHARE&amp;","VAR:NATFREQ=QUARTERLY&amp;VAR:RFIELD=FINALIZED&amp;VAR:DB_TYPE=&amp;VAR:UNITS=M&amp;window=popup&amp;width=450&amp;height=300&amp;START_MAXIMIZED=FALSE"}</definedName>
    <definedName name="_254__FDSAUDITLINK__" hidden="1">{"fdsup://Directions/FactSet Auditing Viewer?action=AUDIT_VALUE&amp;DB=129&amp;ID1=35671D85&amp;VALUEID=02999&amp;SDATE=201001&amp;PERIODTYPE=QTR_STD&amp;window=popup_no_bar&amp;width=385&amp;height=120&amp;START_MAXIMIZED=FALSE&amp;creator=factset&amp;display_string=Audit"}</definedName>
    <definedName name="_2540__FDSAUDITLINK__" hidden="1">{"fdsup://IBCentral/FAT Viewer?action=UPDATE&amp;creator=factset&amp;DOC_NAME=fat:reuters_qtrly_source_window.fat&amp;display_string=Audit&amp;DYN_ARGS=TRUE&amp;VAR:ID1=03822210&amp;VAR:RCODE=ATOT&amp;VAR:SDATE=20081099&amp;VAR:FREQ=DAILY&amp;VAR:RELITEM=&amp;VAR:CURRENCY=&amp;VAR:CURRSOURCE=EXSHARE&amp;","VAR:NATFREQ=QUARTERLY&amp;VAR:RFIELD=FINALIZED&amp;VAR:DB_TYPE=&amp;VAR:UNITS=M&amp;window=popup&amp;width=450&amp;height=300&amp;START_MAXIMIZED=FALSE"}</definedName>
    <definedName name="_2541__FDSAUDITLINK__" hidden="1">{"fdsup://IBCentral/FAT Viewer?action=UPDATE&amp;creator=factset&amp;DOC_NAME=fat:reuters_qtrly_source_window.fat&amp;display_string=Audit&amp;DYN_ARGS=TRUE&amp;VAR:ID1=03741110&amp;VAR:RCODE=LTLL&amp;VAR:SDATE=20081299&amp;VAR:FREQ=DAILY&amp;VAR:RELITEM=&amp;VAR:CURRENCY=&amp;VAR:CURRSOURCE=EXSHARE&amp;","VAR:NATFREQ=QUARTERLY&amp;VAR:RFIELD=FINALIZED&amp;VAR:DB_TYPE=&amp;VAR:UNITS=M&amp;window=popup&amp;width=450&amp;height=300&amp;START_MAXIMIZED=FALSE"}</definedName>
    <definedName name="_2542__FDSAUDITLINK__" hidden="1">{"fdsup://IBCentral/FAT Viewer?action=UPDATE&amp;creator=factset&amp;DOC_NAME=fat:reuters_qtrly_source_window.fat&amp;display_string=Audit&amp;DYN_ARGS=TRUE&amp;VAR:ID1=03741110&amp;VAR:RCODE=LTCL&amp;VAR:SDATE=20081299&amp;VAR:FREQ=DAILY&amp;VAR:RELITEM=&amp;VAR:CURRENCY=&amp;VAR:CURRSOURCE=EXSHARE&amp;","VAR:NATFREQ=QUARTERLY&amp;VAR:RFIELD=FINALIZED&amp;VAR:DB_TYPE=&amp;VAR:UNITS=M&amp;window=popup&amp;width=450&amp;height=300&amp;START_MAXIMIZED=FALSE"}</definedName>
    <definedName name="_2543__FDSAUDITLINK__" hidden="1">{"fdsup://IBCentral/FAT Viewer?action=UPDATE&amp;creator=factset&amp;DOC_NAME=fat:reuters_qtrly_source_window.fat&amp;display_string=Audit&amp;DYN_ARGS=TRUE&amp;VAR:ID1=03741110&amp;VAR:RCODE=ATCA&amp;VAR:SDATE=20081299&amp;VAR:FREQ=DAILY&amp;VAR:RELITEM=&amp;VAR:CURRENCY=&amp;VAR:CURRSOURCE=EXSHARE&amp;","VAR:NATFREQ=QUARTERLY&amp;VAR:RFIELD=FINALIZED&amp;VAR:DB_TYPE=&amp;VAR:UNITS=M&amp;window=popup&amp;width=450&amp;height=300&amp;START_MAXIMIZED=FALSE"}</definedName>
    <definedName name="_2544__FDSAUDITLINK__" hidden="1">{"fdsup://IBCentral/FAT Viewer?action=UPDATE&amp;creator=factset&amp;DOC_NAME=fat:reuters_qtrly_source_window.fat&amp;display_string=Audit&amp;DYN_ARGS=TRUE&amp;VAR:ID1=03741110&amp;VAR:RCODE=ATOT&amp;VAR:SDATE=20081299&amp;VAR:FREQ=DAILY&amp;VAR:RELITEM=&amp;VAR:CURRENCY=&amp;VAR:CURRSOURCE=EXSHARE&amp;","VAR:NATFREQ=QUARTERLY&amp;VAR:RFIELD=FINALIZED&amp;VAR:DB_TYPE=&amp;VAR:UNITS=M&amp;window=popup&amp;width=450&amp;height=300&amp;START_MAXIMIZED=FALSE"}</definedName>
    <definedName name="_2545__FDSAUDITLINK__" hidden="1">{"fdsup://IBCentral/FAT Viewer?action=UPDATE&amp;creator=factset&amp;DOC_NAME=fat:reuters_qtrly_source_window.fat&amp;display_string=Audit&amp;DYN_ARGS=TRUE&amp;VAR:ID1=03116210&amp;VAR:RCODE=LTLL&amp;VAR:SDATE=20081299&amp;VAR:FREQ=DAILY&amp;VAR:RELITEM=&amp;VAR:CURRENCY=&amp;VAR:CURRSOURCE=EXSHARE&amp;","VAR:NATFREQ=QUARTERLY&amp;VAR:RFIELD=FINALIZED&amp;VAR:DB_TYPE=&amp;VAR:UNITS=M&amp;window=popup&amp;width=450&amp;height=300&amp;START_MAXIMIZED=FALSE"}</definedName>
    <definedName name="_2546__FDSAUDITLINK__" hidden="1">{"fdsup://IBCentral/FAT Viewer?action=UPDATE&amp;creator=factset&amp;DOC_NAME=fat:reuters_qtrly_source_window.fat&amp;display_string=Audit&amp;DYN_ARGS=TRUE&amp;VAR:ID1=03116210&amp;VAR:RCODE=LTCL&amp;VAR:SDATE=20081299&amp;VAR:FREQ=DAILY&amp;VAR:RELITEM=&amp;VAR:CURRENCY=&amp;VAR:CURRSOURCE=EXSHARE&amp;","VAR:NATFREQ=QUARTERLY&amp;VAR:RFIELD=FINALIZED&amp;VAR:DB_TYPE=&amp;VAR:UNITS=M&amp;window=popup&amp;width=450&amp;height=300&amp;START_MAXIMIZED=FALSE"}</definedName>
    <definedName name="_2547__FDSAUDITLINK__" hidden="1">{"fdsup://IBCentral/FAT Viewer?action=UPDATE&amp;creator=factset&amp;DOC_NAME=fat:reuters_qtrly_source_window.fat&amp;display_string=Audit&amp;DYN_ARGS=TRUE&amp;VAR:ID1=03116210&amp;VAR:RCODE=ATCA&amp;VAR:SDATE=20081299&amp;VAR:FREQ=DAILY&amp;VAR:RELITEM=&amp;VAR:CURRENCY=&amp;VAR:CURRSOURCE=EXSHARE&amp;","VAR:NATFREQ=QUARTERLY&amp;VAR:RFIELD=FINALIZED&amp;VAR:DB_TYPE=&amp;VAR:UNITS=M&amp;window=popup&amp;width=450&amp;height=300&amp;START_MAXIMIZED=FALSE"}</definedName>
    <definedName name="_2548__FDSAUDITLINK__" hidden="1">{"fdsup://IBCentral/FAT Viewer?action=UPDATE&amp;creator=factset&amp;DOC_NAME=fat:reuters_qtrly_source_window.fat&amp;display_string=Audit&amp;DYN_ARGS=TRUE&amp;VAR:ID1=03116210&amp;VAR:RCODE=ATOT&amp;VAR:SDATE=20081299&amp;VAR:FREQ=DAILY&amp;VAR:RELITEM=&amp;VAR:CURRENCY=&amp;VAR:CURRSOURCE=EXSHARE&amp;","VAR:NATFREQ=QUARTERLY&amp;VAR:RFIELD=FINALIZED&amp;VAR:DB_TYPE=&amp;VAR:UNITS=M&amp;window=popup&amp;width=450&amp;height=300&amp;START_MAXIMIZED=FALSE"}</definedName>
    <definedName name="_2549__FDSAUDITLINK__" hidden="1">{"fdsup://IBCentral/FAT Viewer?action=UPDATE&amp;creator=factset&amp;DOC_NAME=fat:reuters_qtrly_source_window.fat&amp;display_string=Audit&amp;DYN_ARGS=TRUE&amp;VAR:ID1=01849010&amp;VAR:RCODE=LTLL&amp;VAR:SDATE=20081299&amp;VAR:FREQ=DAILY&amp;VAR:RELITEM=&amp;VAR:CURRENCY=&amp;VAR:CURRSOURCE=EXSHARE&amp;","VAR:NATFREQ=QUARTERLY&amp;VAR:RFIELD=FINALIZED&amp;VAR:DB_TYPE=&amp;VAR:UNITS=M&amp;window=popup&amp;width=450&amp;height=300&amp;START_MAXIMIZED=FALSE"}</definedName>
    <definedName name="_255__FDSAUDITLINK__" hidden="1">{"fdsup://Directions/FactSet Auditing Viewer?action=AUDIT_VALUE&amp;DB=129&amp;ID1=G3673810&amp;VALUEID=02999&amp;SDATE=201001&amp;PERIODTYPE=QTR_STD&amp;window=popup_no_bar&amp;width=385&amp;height=120&amp;START_MAXIMIZED=FALSE&amp;creator=factset&amp;display_string=Audit"}</definedName>
    <definedName name="_2550__FDSAUDITLINK__" hidden="1">{"fdsup://IBCentral/FAT Viewer?action=UPDATE&amp;creator=factset&amp;DOC_NAME=fat:reuters_qtrly_source_window.fat&amp;display_string=Audit&amp;DYN_ARGS=TRUE&amp;VAR:ID1=01849010&amp;VAR:RCODE=LTCL&amp;VAR:SDATE=20081299&amp;VAR:FREQ=DAILY&amp;VAR:RELITEM=&amp;VAR:CURRENCY=&amp;VAR:CURRSOURCE=EXSHARE&amp;","VAR:NATFREQ=QUARTERLY&amp;VAR:RFIELD=FINALIZED&amp;VAR:DB_TYPE=&amp;VAR:UNITS=M&amp;window=popup&amp;width=450&amp;height=300&amp;START_MAXIMIZED=FALSE"}</definedName>
    <definedName name="_2551__FDSAUDITLINK__" hidden="1">{"fdsup://IBCentral/FAT Viewer?action=UPDATE&amp;creator=factset&amp;DOC_NAME=fat:reuters_qtrly_source_window.fat&amp;display_string=Audit&amp;DYN_ARGS=TRUE&amp;VAR:ID1=01849010&amp;VAR:RCODE=ATCA&amp;VAR:SDATE=20081299&amp;VAR:FREQ=DAILY&amp;VAR:RELITEM=&amp;VAR:CURRENCY=&amp;VAR:CURRSOURCE=EXSHARE&amp;","VAR:NATFREQ=QUARTERLY&amp;VAR:RFIELD=FINALIZED&amp;VAR:DB_TYPE=&amp;VAR:UNITS=M&amp;window=popup&amp;width=450&amp;height=300&amp;START_MAXIMIZED=FALSE"}</definedName>
    <definedName name="_2552__FDSAUDITLINK__" hidden="1">{"fdsup://IBCentral/FAT Viewer?action=UPDATE&amp;creator=factset&amp;DOC_NAME=fat:reuters_qtrly_source_window.fat&amp;display_string=Audit&amp;DYN_ARGS=TRUE&amp;VAR:ID1=01849010&amp;VAR:RCODE=ATOT&amp;VAR:SDATE=20081299&amp;VAR:FREQ=DAILY&amp;VAR:RELITEM=&amp;VAR:CURRENCY=&amp;VAR:CURRSOURCE=EXSHARE&amp;","VAR:NATFREQ=QUARTERLY&amp;VAR:RFIELD=FINALIZED&amp;VAR:DB_TYPE=&amp;VAR:UNITS=M&amp;window=popup&amp;width=450&amp;height=300&amp;START_MAXIMIZED=FALSE"}</definedName>
    <definedName name="_2553__FDSAUDITLINK__" hidden="1">{"fdsup://IBCentral/FAT Viewer?action=UPDATE&amp;creator=factset&amp;DOC_NAME=fat:reuters_qtrly_source_window.fat&amp;display_string=Audit&amp;DYN_ARGS=TRUE&amp;VAR:ID1=93142210&amp;VAR:RCODE=LTLL&amp;VAR:SDATE=20081199&amp;VAR:FREQ=DAILY&amp;VAR:RELITEM=&amp;VAR:CURRENCY=&amp;VAR:CURRSOURCE=EXSHARE&amp;","VAR:NATFREQ=QUARTERLY&amp;VAR:RFIELD=FINALIZED&amp;VAR:DB_TYPE=&amp;VAR:UNITS=M&amp;window=popup&amp;width=450&amp;height=300&amp;START_MAXIMIZED=FALSE"}</definedName>
    <definedName name="_2554__FDSAUDITLINK__" hidden="1">{"fdsup://IBCentral/FAT Viewer?action=UPDATE&amp;creator=factset&amp;DOC_NAME=fat:reuters_qtrly_source_window.fat&amp;display_string=Audit&amp;DYN_ARGS=TRUE&amp;VAR:ID1=93142210&amp;VAR:RCODE=LTCL&amp;VAR:SDATE=20081199&amp;VAR:FREQ=DAILY&amp;VAR:RELITEM=&amp;VAR:CURRENCY=&amp;VAR:CURRSOURCE=EXSHARE&amp;","VAR:NATFREQ=QUARTERLY&amp;VAR:RFIELD=FINALIZED&amp;VAR:DB_TYPE=&amp;VAR:UNITS=M&amp;window=popup&amp;width=450&amp;height=300&amp;START_MAXIMIZED=FALSE"}</definedName>
    <definedName name="_2555__FDSAUDITLINK__" hidden="1">{"fdsup://IBCentral/FAT Viewer?action=UPDATE&amp;creator=factset&amp;DOC_NAME=fat:reuters_qtrly_source_window.fat&amp;display_string=Audit&amp;DYN_ARGS=TRUE&amp;VAR:ID1=93142210&amp;VAR:RCODE=ATCA&amp;VAR:SDATE=20081199&amp;VAR:FREQ=DAILY&amp;VAR:RELITEM=&amp;VAR:CURRENCY=&amp;VAR:CURRSOURCE=EXSHARE&amp;","VAR:NATFREQ=QUARTERLY&amp;VAR:RFIELD=FINALIZED&amp;VAR:DB_TYPE=&amp;VAR:UNITS=M&amp;window=popup&amp;width=450&amp;height=300&amp;START_MAXIMIZED=FALSE"}</definedName>
    <definedName name="_2556__FDSAUDITLINK__" hidden="1">{"fdsup://IBCentral/FAT Viewer?action=UPDATE&amp;creator=factset&amp;DOC_NAME=fat:reuters_qtrly_source_window.fat&amp;display_string=Audit&amp;DYN_ARGS=TRUE&amp;VAR:ID1=93142210&amp;VAR:RCODE=ATOT&amp;VAR:SDATE=20081199&amp;VAR:FREQ=DAILY&amp;VAR:RELITEM=&amp;VAR:CURRENCY=&amp;VAR:CURRSOURCE=EXSHARE&amp;","VAR:NATFREQ=QUARTERLY&amp;VAR:RFIELD=FINALIZED&amp;VAR:DB_TYPE=&amp;VAR:UNITS=M&amp;window=popup&amp;width=450&amp;height=300&amp;START_MAXIMIZED=FALSE"}</definedName>
    <definedName name="_2557__FDSAUDITLINK__" hidden="1">{"fdsup://IBCentral/FAT Viewer?action=UPDATE&amp;creator=factset&amp;DOC_NAME=fat:reuters_qtrly_source_window.fat&amp;display_string=Audit&amp;DYN_ARGS=TRUE&amp;VAR:ID1=91301710&amp;VAR:RCODE=LTLL&amp;VAR:SDATE=20081299&amp;VAR:FREQ=DAILY&amp;VAR:RELITEM=&amp;VAR:CURRENCY=&amp;VAR:CURRSOURCE=EXSHARE&amp;","VAR:NATFREQ=QUARTERLY&amp;VAR:RFIELD=FINALIZED&amp;VAR:DB_TYPE=&amp;VAR:UNITS=M&amp;window=popup&amp;width=450&amp;height=300&amp;START_MAXIMIZED=FALSE"}</definedName>
    <definedName name="_2558__FDSAUDITLINK__" hidden="1">{"fdsup://IBCentral/FAT Viewer?action=UPDATE&amp;creator=factset&amp;DOC_NAME=fat:reuters_qtrly_source_window.fat&amp;display_string=Audit&amp;DYN_ARGS=TRUE&amp;VAR:ID1=91301710&amp;VAR:RCODE=LTCL&amp;VAR:SDATE=20081299&amp;VAR:FREQ=DAILY&amp;VAR:RELITEM=&amp;VAR:CURRENCY=&amp;VAR:CURRSOURCE=EXSHARE&amp;","VAR:NATFREQ=QUARTERLY&amp;VAR:RFIELD=FINALIZED&amp;VAR:DB_TYPE=&amp;VAR:UNITS=M&amp;window=popup&amp;width=450&amp;height=300&amp;START_MAXIMIZED=FALSE"}</definedName>
    <definedName name="_2559__FDSAUDITLINK__" hidden="1">{"fdsup://IBCentral/FAT Viewer?action=UPDATE&amp;creator=factset&amp;DOC_NAME=fat:reuters_qtrly_source_window.fat&amp;display_string=Audit&amp;DYN_ARGS=TRUE&amp;VAR:ID1=91301710&amp;VAR:RCODE=ATCA&amp;VAR:SDATE=20081299&amp;VAR:FREQ=DAILY&amp;VAR:RELITEM=&amp;VAR:CURRENCY=&amp;VAR:CURRSOURCE=EXSHARE&amp;","VAR:NATFREQ=QUARTERLY&amp;VAR:RFIELD=FINALIZED&amp;VAR:DB_TYPE=&amp;VAR:UNITS=M&amp;window=popup&amp;width=450&amp;height=300&amp;START_MAXIMIZED=FALSE"}</definedName>
    <definedName name="_256__FDSAUDITLINK__" hidden="1">{"fdsup://Directions/FactSet Auditing Viewer?action=AUDIT_VALUE&amp;DB=129&amp;ID1=35906A10&amp;VALUEID=02999&amp;SDATE=201001&amp;PERIODTYPE=QTR_STD&amp;window=popup_no_bar&amp;width=385&amp;height=120&amp;START_MAXIMIZED=FALSE&amp;creator=factset&amp;display_string=Audit"}</definedName>
    <definedName name="_2560__FDSAUDITLINK__" hidden="1">{"fdsup://IBCentral/FAT Viewer?action=UPDATE&amp;creator=factset&amp;DOC_NAME=fat:reuters_qtrly_source_window.fat&amp;display_string=Audit&amp;DYN_ARGS=TRUE&amp;VAR:ID1=91301710&amp;VAR:RCODE=ATOT&amp;VAR:SDATE=20081299&amp;VAR:FREQ=DAILY&amp;VAR:RELITEM=&amp;VAR:CURRENCY=&amp;VAR:CURRSOURCE=EXSHARE&amp;","VAR:NATFREQ=QUARTERLY&amp;VAR:RFIELD=FINALIZED&amp;VAR:DB_TYPE=&amp;VAR:UNITS=M&amp;window=popup&amp;width=450&amp;height=300&amp;START_MAXIMIZED=FALSE"}</definedName>
    <definedName name="_2561__FDSAUDITLINK__" hidden="1">{"fdsup://IBCentral/FAT Viewer?action=UPDATE&amp;creator=factset&amp;DOC_NAME=fat:reuters_qtrly_source_window.fat&amp;display_string=Audit&amp;DYN_ARGS=TRUE&amp;VAR:ID1=87612E10&amp;VAR:RCODE=LTLL&amp;VAR:SDATE=20081099&amp;VAR:FREQ=DAILY&amp;VAR:RELITEM=&amp;VAR:CURRENCY=&amp;VAR:CURRSOURCE=EXSHARE&amp;","VAR:NATFREQ=QUARTERLY&amp;VAR:RFIELD=FINALIZED&amp;VAR:DB_TYPE=&amp;VAR:UNITS=M&amp;window=popup&amp;width=450&amp;height=300&amp;START_MAXIMIZED=FALSE"}</definedName>
    <definedName name="_2562__FDSAUDITLINK__" hidden="1">{"fdsup://IBCentral/FAT Viewer?action=UPDATE&amp;creator=factset&amp;DOC_NAME=fat:reuters_qtrly_source_window.fat&amp;display_string=Audit&amp;DYN_ARGS=TRUE&amp;VAR:ID1=87612E10&amp;VAR:RCODE=LTCL&amp;VAR:SDATE=20081099&amp;VAR:FREQ=DAILY&amp;VAR:RELITEM=&amp;VAR:CURRENCY=&amp;VAR:CURRSOURCE=EXSHARE&amp;","VAR:NATFREQ=QUARTERLY&amp;VAR:RFIELD=FINALIZED&amp;VAR:DB_TYPE=&amp;VAR:UNITS=M&amp;window=popup&amp;width=450&amp;height=300&amp;START_MAXIMIZED=FALSE"}</definedName>
    <definedName name="_2563__FDSAUDITLINK__" hidden="1">{"fdsup://IBCentral/FAT Viewer?action=UPDATE&amp;creator=factset&amp;DOC_NAME=fat:reuters_qtrly_source_window.fat&amp;display_string=Audit&amp;DYN_ARGS=TRUE&amp;VAR:ID1=87612E10&amp;VAR:RCODE=ATCA&amp;VAR:SDATE=20081099&amp;VAR:FREQ=DAILY&amp;VAR:RELITEM=&amp;VAR:CURRENCY=&amp;VAR:CURRSOURCE=EXSHARE&amp;","VAR:NATFREQ=QUARTERLY&amp;VAR:RFIELD=FINALIZED&amp;VAR:DB_TYPE=&amp;VAR:UNITS=M&amp;window=popup&amp;width=450&amp;height=300&amp;START_MAXIMIZED=FALSE"}</definedName>
    <definedName name="_2564__FDSAUDITLINK__" hidden="1">{"fdsup://IBCentral/FAT Viewer?action=UPDATE&amp;creator=factset&amp;DOC_NAME=fat:reuters_qtrly_source_window.fat&amp;display_string=Audit&amp;DYN_ARGS=TRUE&amp;VAR:ID1=87612E10&amp;VAR:RCODE=ATOT&amp;VAR:SDATE=20081099&amp;VAR:FREQ=DAILY&amp;VAR:RELITEM=&amp;VAR:CURRENCY=&amp;VAR:CURRSOURCE=EXSHARE&amp;","VAR:NATFREQ=QUARTERLY&amp;VAR:RFIELD=FINALIZED&amp;VAR:DB_TYPE=&amp;VAR:UNITS=M&amp;window=popup&amp;width=450&amp;height=300&amp;START_MAXIMIZED=FALSE"}</definedName>
    <definedName name="_2565__FDSAUDITLINK__" hidden="1">{"fdsup://IBCentral/FAT Viewer?action=UPDATE&amp;creator=factset&amp;DOC_NAME=fat:reuters_qtrly_source_window.fat&amp;display_string=Audit&amp;DYN_ARGS=TRUE&amp;VAR:ID1=85461610&amp;VAR:RCODE=LTLL&amp;VAR:SDATE=20081299&amp;VAR:FREQ=DAILY&amp;VAR:RELITEM=&amp;VAR:CURRENCY=&amp;VAR:CURRSOURCE=EXSHARE&amp;","VAR:NATFREQ=QUARTERLY&amp;VAR:RFIELD=FINALIZED&amp;VAR:DB_TYPE=&amp;VAR:UNITS=M&amp;window=popup&amp;width=450&amp;height=300&amp;START_MAXIMIZED=FALSE"}</definedName>
    <definedName name="_2566__FDSAUDITLINK__" hidden="1">{"fdsup://IBCentral/FAT Viewer?action=UPDATE&amp;creator=factset&amp;DOC_NAME=fat:reuters_qtrly_source_window.fat&amp;display_string=Audit&amp;DYN_ARGS=TRUE&amp;VAR:ID1=85461610&amp;VAR:RCODE=LTCL&amp;VAR:SDATE=20081299&amp;VAR:FREQ=DAILY&amp;VAR:RELITEM=&amp;VAR:CURRENCY=&amp;VAR:CURRSOURCE=EXSHARE&amp;","VAR:NATFREQ=QUARTERLY&amp;VAR:RFIELD=FINALIZED&amp;VAR:DB_TYPE=&amp;VAR:UNITS=M&amp;window=popup&amp;width=450&amp;height=300&amp;START_MAXIMIZED=FALSE"}</definedName>
    <definedName name="_2567__FDSAUDITLINK__" hidden="1">{"fdsup://IBCentral/FAT Viewer?action=UPDATE&amp;creator=factset&amp;DOC_NAME=fat:reuters_qtrly_source_window.fat&amp;display_string=Audit&amp;DYN_ARGS=TRUE&amp;VAR:ID1=85461610&amp;VAR:RCODE=ATCA&amp;VAR:SDATE=20081299&amp;VAR:FREQ=DAILY&amp;VAR:RELITEM=&amp;VAR:CURRENCY=&amp;VAR:CURRSOURCE=EXSHARE&amp;","VAR:NATFREQ=QUARTERLY&amp;VAR:RFIELD=FINALIZED&amp;VAR:DB_TYPE=&amp;VAR:UNITS=M&amp;window=popup&amp;width=450&amp;height=300&amp;START_MAXIMIZED=FALSE"}</definedName>
    <definedName name="_2568__FDSAUDITLINK__" hidden="1">{"fdsup://IBCentral/FAT Viewer?action=UPDATE&amp;creator=factset&amp;DOC_NAME=fat:reuters_qtrly_source_window.fat&amp;display_string=Audit&amp;DYN_ARGS=TRUE&amp;VAR:ID1=85461610&amp;VAR:RCODE=ATOT&amp;VAR:SDATE=20081299&amp;VAR:FREQ=DAILY&amp;VAR:RELITEM=&amp;VAR:CURRENCY=&amp;VAR:CURRSOURCE=EXSHARE&amp;","VAR:NATFREQ=QUARTERLY&amp;VAR:RFIELD=FINALIZED&amp;VAR:DB_TYPE=&amp;VAR:UNITS=M&amp;window=popup&amp;width=450&amp;height=300&amp;START_MAXIMIZED=FALSE"}</definedName>
    <definedName name="_2569__FDSAUDITLINK__" hidden="1">{"fdsup://IBCentral/FAT Viewer?action=UPDATE&amp;creator=factset&amp;DOC_NAME=fat:reuters_qtrly_source_window.fat&amp;display_string=Audit&amp;DYN_ARGS=TRUE&amp;VAR:ID1=77390310&amp;VAR:RCODE=LTLL&amp;VAR:SDATE=20081299&amp;VAR:FREQ=DAILY&amp;VAR:RELITEM=&amp;VAR:CURRENCY=&amp;VAR:CURRSOURCE=EXSHARE&amp;","VAR:NATFREQ=QUARTERLY&amp;VAR:RFIELD=FINALIZED&amp;VAR:DB_TYPE=&amp;VAR:UNITS=M&amp;window=popup&amp;width=450&amp;height=300&amp;START_MAXIMIZED=FALSE"}</definedName>
    <definedName name="_257__FDSAUDITLINK__" hidden="1">{"fdsup://Directions/FactSet Auditing Viewer?action=AUDIT_VALUE&amp;DB=129&amp;ID1=30294110&amp;VALUEID=02999&amp;SDATE=201001&amp;PERIODTYPE=QTR_STD&amp;window=popup_no_bar&amp;width=385&amp;height=120&amp;START_MAXIMIZED=FALSE&amp;creator=factset&amp;display_string=Audit"}</definedName>
    <definedName name="_2570__FDSAUDITLINK__" hidden="1">{"fdsup://IBCentral/FAT Viewer?action=UPDATE&amp;creator=factset&amp;DOC_NAME=fat:reuters_qtrly_source_window.fat&amp;display_string=Audit&amp;DYN_ARGS=TRUE&amp;VAR:ID1=77390310&amp;VAR:RCODE=LTCL&amp;VAR:SDATE=20081299&amp;VAR:FREQ=DAILY&amp;VAR:RELITEM=&amp;VAR:CURRENCY=&amp;VAR:CURRSOURCE=EXSHARE&amp;","VAR:NATFREQ=QUARTERLY&amp;VAR:RFIELD=FINALIZED&amp;VAR:DB_TYPE=&amp;VAR:UNITS=M&amp;window=popup&amp;width=450&amp;height=300&amp;START_MAXIMIZED=FALSE"}</definedName>
    <definedName name="_2571__FDSAUDITLINK__" hidden="1">{"fdsup://IBCentral/FAT Viewer?action=UPDATE&amp;creator=factset&amp;DOC_NAME=fat:reuters_qtrly_source_window.fat&amp;display_string=Audit&amp;DYN_ARGS=TRUE&amp;VAR:ID1=77390310&amp;VAR:RCODE=ATCA&amp;VAR:SDATE=20081299&amp;VAR:FREQ=DAILY&amp;VAR:RELITEM=&amp;VAR:CURRENCY=&amp;VAR:CURRSOURCE=EXSHARE&amp;","VAR:NATFREQ=QUARTERLY&amp;VAR:RFIELD=FINALIZED&amp;VAR:DB_TYPE=&amp;VAR:UNITS=M&amp;window=popup&amp;width=450&amp;height=300&amp;START_MAXIMIZED=FALSE"}</definedName>
    <definedName name="_2572__FDSAUDITLINK__" hidden="1">{"fdsup://IBCentral/FAT Viewer?action=UPDATE&amp;creator=factset&amp;DOC_NAME=fat:reuters_qtrly_source_window.fat&amp;display_string=Audit&amp;DYN_ARGS=TRUE&amp;VAR:ID1=77390310&amp;VAR:RCODE=ATOT&amp;VAR:SDATE=20081299&amp;VAR:FREQ=DAILY&amp;VAR:RELITEM=&amp;VAR:CURRENCY=&amp;VAR:CURRSOURCE=EXSHARE&amp;","VAR:NATFREQ=QUARTERLY&amp;VAR:RFIELD=FINALIZED&amp;VAR:DB_TYPE=&amp;VAR:UNITS=M&amp;window=popup&amp;width=450&amp;height=300&amp;START_MAXIMIZED=FALSE"}</definedName>
    <definedName name="_2573__FDSAUDITLINK__" hidden="1">{"fdsup://IBCentral/FAT Viewer?action=UPDATE&amp;creator=factset&amp;DOC_NAME=fat:reuters_qtrly_source_window.fat&amp;display_string=Audit&amp;DYN_ARGS=TRUE&amp;VAR:ID1=74005P10&amp;VAR:RCODE=LTLL&amp;VAR:SDATE=20081299&amp;VAR:FREQ=DAILY&amp;VAR:RELITEM=&amp;VAR:CURRENCY=&amp;VAR:CURRSOURCE=EXSHARE&amp;","VAR:NATFREQ=QUARTERLY&amp;VAR:RFIELD=FINALIZED&amp;VAR:DB_TYPE=&amp;VAR:UNITS=M&amp;window=popup&amp;width=450&amp;height=300&amp;START_MAXIMIZED=FALSE"}</definedName>
    <definedName name="_2574__FDSAUDITLINK__" hidden="1">{"fdsup://IBCentral/FAT Viewer?action=UPDATE&amp;creator=factset&amp;DOC_NAME=fat:reuters_qtrly_source_window.fat&amp;display_string=Audit&amp;DYN_ARGS=TRUE&amp;VAR:ID1=74005P10&amp;VAR:RCODE=LTCL&amp;VAR:SDATE=20081299&amp;VAR:FREQ=DAILY&amp;VAR:RELITEM=&amp;VAR:CURRENCY=&amp;VAR:CURRSOURCE=EXSHARE&amp;","VAR:NATFREQ=QUARTERLY&amp;VAR:RFIELD=FINALIZED&amp;VAR:DB_TYPE=&amp;VAR:UNITS=M&amp;window=popup&amp;width=450&amp;height=300&amp;START_MAXIMIZED=FALSE"}</definedName>
    <definedName name="_2575__FDSAUDITLINK__" hidden="1">{"fdsup://IBCentral/FAT Viewer?action=UPDATE&amp;creator=factset&amp;DOC_NAME=fat:reuters_qtrly_source_window.fat&amp;display_string=Audit&amp;DYN_ARGS=TRUE&amp;VAR:ID1=74005P10&amp;VAR:RCODE=ATCA&amp;VAR:SDATE=20081299&amp;VAR:FREQ=DAILY&amp;VAR:RELITEM=&amp;VAR:CURRENCY=&amp;VAR:CURRSOURCE=EXSHARE&amp;","VAR:NATFREQ=QUARTERLY&amp;VAR:RFIELD=FINALIZED&amp;VAR:DB_TYPE=&amp;VAR:UNITS=M&amp;window=popup&amp;width=450&amp;height=300&amp;START_MAXIMIZED=FALSE"}</definedName>
    <definedName name="_2576__FDSAUDITLINK__" hidden="1">{"fdsup://IBCentral/FAT Viewer?action=UPDATE&amp;creator=factset&amp;DOC_NAME=fat:reuters_qtrly_source_window.fat&amp;display_string=Audit&amp;DYN_ARGS=TRUE&amp;VAR:ID1=74005P10&amp;VAR:RCODE=ATOT&amp;VAR:SDATE=20081299&amp;VAR:FREQ=DAILY&amp;VAR:RELITEM=&amp;VAR:CURRENCY=&amp;VAR:CURRSOURCE=EXSHARE&amp;","VAR:NATFREQ=QUARTERLY&amp;VAR:RFIELD=FINALIZED&amp;VAR:DB_TYPE=&amp;VAR:UNITS=M&amp;window=popup&amp;width=450&amp;height=300&amp;START_MAXIMIZED=FALSE"}</definedName>
    <definedName name="_2577__FDSAUDITLINK__" hidden="1">{"fdsup://IBCentral/FAT Viewer?action=UPDATE&amp;creator=factset&amp;DOC_NAME=fat:reuters_qtrly_source_window.fat&amp;display_string=Audit&amp;DYN_ARGS=TRUE&amp;VAR:ID1=71817210&amp;VAR:RCODE=LTLL&amp;VAR:SDATE=20081299&amp;VAR:FREQ=DAILY&amp;VAR:RELITEM=&amp;VAR:CURRENCY=&amp;VAR:CURRSOURCE=EXSHARE&amp;","VAR:NATFREQ=QUARTERLY&amp;VAR:RFIELD=FINALIZED&amp;VAR:DB_TYPE=&amp;VAR:UNITS=M&amp;window=popup&amp;width=450&amp;height=300&amp;START_MAXIMIZED=FALSE"}</definedName>
    <definedName name="_2578__FDSAUDITLINK__" hidden="1">{"fdsup://IBCentral/FAT Viewer?action=UPDATE&amp;creator=factset&amp;DOC_NAME=fat:reuters_qtrly_source_window.fat&amp;display_string=Audit&amp;DYN_ARGS=TRUE&amp;VAR:ID1=71817210&amp;VAR:RCODE=LTCL&amp;VAR:SDATE=20081299&amp;VAR:FREQ=DAILY&amp;VAR:RELITEM=&amp;VAR:CURRENCY=&amp;VAR:CURRSOURCE=EXSHARE&amp;","VAR:NATFREQ=QUARTERLY&amp;VAR:RFIELD=FINALIZED&amp;VAR:DB_TYPE=&amp;VAR:UNITS=M&amp;window=popup&amp;width=450&amp;height=300&amp;START_MAXIMIZED=FALSE"}</definedName>
    <definedName name="_2579__FDSAUDITLINK__" hidden="1">{"fdsup://IBCentral/FAT Viewer?action=UPDATE&amp;creator=factset&amp;DOC_NAME=fat:reuters_qtrly_source_window.fat&amp;display_string=Audit&amp;DYN_ARGS=TRUE&amp;VAR:ID1=71817210&amp;VAR:RCODE=ATCA&amp;VAR:SDATE=20081299&amp;VAR:FREQ=DAILY&amp;VAR:RELITEM=&amp;VAR:CURRENCY=&amp;VAR:CURRSOURCE=EXSHARE&amp;","VAR:NATFREQ=QUARTERLY&amp;VAR:RFIELD=FINALIZED&amp;VAR:DB_TYPE=&amp;VAR:UNITS=M&amp;window=popup&amp;width=450&amp;height=300&amp;START_MAXIMIZED=FALSE"}</definedName>
    <definedName name="_258__FDSAUDITLINK__" hidden="1">{"fdsup://Directions/FactSet Auditing Viewer?action=AUDIT_VALUE&amp;DB=129&amp;ID1=36467W10&amp;VALUEID=02999&amp;SDATE=201001&amp;PERIODTYPE=QTR_STD&amp;window=popup_no_bar&amp;width=385&amp;height=120&amp;START_MAXIMIZED=FALSE&amp;creator=factset&amp;display_string=Audit"}</definedName>
    <definedName name="_2580__FDSAUDITLINK__" hidden="1">{"fdsup://IBCentral/FAT Viewer?action=UPDATE&amp;creator=factset&amp;DOC_NAME=fat:reuters_qtrly_source_window.fat&amp;display_string=Audit&amp;DYN_ARGS=TRUE&amp;VAR:ID1=71817210&amp;VAR:RCODE=ATOT&amp;VAR:SDATE=20081299&amp;VAR:FREQ=DAILY&amp;VAR:RELITEM=&amp;VAR:CURRENCY=&amp;VAR:CURRSOURCE=EXSHARE&amp;","VAR:NATFREQ=QUARTERLY&amp;VAR:RFIELD=FINALIZED&amp;VAR:DB_TYPE=&amp;VAR:UNITS=M&amp;window=popup&amp;width=450&amp;height=300&amp;START_MAXIMIZED=FALSE"}</definedName>
    <definedName name="_2581__FDSAUDITLINK__" hidden="1">{"fdsup://IBCentral/FAT Viewer?action=UPDATE&amp;creator=factset&amp;DOC_NAME=fat:reuters_qtrly_source_window.fat&amp;display_string=Audit&amp;DYN_ARGS=TRUE&amp;VAR:ID1=70109410&amp;VAR:RCODE=LTLL&amp;VAR:SDATE=20081299&amp;VAR:FREQ=DAILY&amp;VAR:RELITEM=&amp;VAR:CURRENCY=&amp;VAR:CURRSOURCE=EXSHARE&amp;","VAR:NATFREQ=QUARTERLY&amp;VAR:RFIELD=FINALIZED&amp;VAR:DB_TYPE=&amp;VAR:UNITS=M&amp;window=popup&amp;width=450&amp;height=300&amp;START_MAXIMIZED=FALSE"}</definedName>
    <definedName name="_2582__FDSAUDITLINK__" hidden="1">{"fdsup://IBCentral/FAT Viewer?action=UPDATE&amp;creator=factset&amp;DOC_NAME=fat:reuters_qtrly_source_window.fat&amp;display_string=Audit&amp;DYN_ARGS=TRUE&amp;VAR:ID1=70109410&amp;VAR:RCODE=LTCL&amp;VAR:SDATE=20081299&amp;VAR:FREQ=DAILY&amp;VAR:RELITEM=&amp;VAR:CURRENCY=&amp;VAR:CURRSOURCE=EXSHARE&amp;","VAR:NATFREQ=QUARTERLY&amp;VAR:RFIELD=FINALIZED&amp;VAR:DB_TYPE=&amp;VAR:UNITS=M&amp;window=popup&amp;width=450&amp;height=300&amp;START_MAXIMIZED=FALSE"}</definedName>
    <definedName name="_2583__FDSAUDITLINK__" hidden="1">{"fdsup://IBCentral/FAT Viewer?action=UPDATE&amp;creator=factset&amp;DOC_NAME=fat:reuters_qtrly_source_window.fat&amp;display_string=Audit&amp;DYN_ARGS=TRUE&amp;VAR:ID1=70109410&amp;VAR:RCODE=ATCA&amp;VAR:SDATE=20081299&amp;VAR:FREQ=DAILY&amp;VAR:RELITEM=&amp;VAR:CURRENCY=&amp;VAR:CURRSOURCE=EXSHARE&amp;","VAR:NATFREQ=QUARTERLY&amp;VAR:RFIELD=FINALIZED&amp;VAR:DB_TYPE=&amp;VAR:UNITS=M&amp;window=popup&amp;width=450&amp;height=300&amp;START_MAXIMIZED=FALSE"}</definedName>
    <definedName name="_2584__FDSAUDITLINK__" hidden="1">{"fdsup://IBCentral/FAT Viewer?action=UPDATE&amp;creator=factset&amp;DOC_NAME=fat:reuters_qtrly_source_window.fat&amp;display_string=Audit&amp;DYN_ARGS=TRUE&amp;VAR:ID1=70109410&amp;VAR:RCODE=ATOT&amp;VAR:SDATE=20081299&amp;VAR:FREQ=DAILY&amp;VAR:RELITEM=&amp;VAR:CURRENCY=&amp;VAR:CURRSOURCE=EXSHARE&amp;","VAR:NATFREQ=QUARTERLY&amp;VAR:RFIELD=FINALIZED&amp;VAR:DB_TYPE=&amp;VAR:UNITS=M&amp;window=popup&amp;width=450&amp;height=300&amp;START_MAXIMIZED=FALSE"}</definedName>
    <definedName name="_2585__FDSAUDITLINK__" hidden="1">{"fdsup://IBCentral/FAT Viewer?action=UPDATE&amp;creator=factset&amp;DOC_NAME=fat:reuters_qtrly_source_window.fat&amp;display_string=Audit&amp;DYN_ARGS=TRUE&amp;VAR:ID1=68389X10&amp;VAR:RCODE=LTLL&amp;VAR:SDATE=20081199&amp;VAR:FREQ=DAILY&amp;VAR:RELITEM=&amp;VAR:CURRENCY=&amp;VAR:CURRSOURCE=EXSHARE&amp;","VAR:NATFREQ=QUARTERLY&amp;VAR:RFIELD=FINALIZED&amp;VAR:DB_TYPE=&amp;VAR:UNITS=M&amp;window=popup&amp;width=450&amp;height=300&amp;START_MAXIMIZED=FALSE"}</definedName>
    <definedName name="_2586__FDSAUDITLINK__" hidden="1">{"fdsup://IBCentral/FAT Viewer?action=UPDATE&amp;creator=factset&amp;DOC_NAME=fat:reuters_qtrly_source_window.fat&amp;display_string=Audit&amp;DYN_ARGS=TRUE&amp;VAR:ID1=68389X10&amp;VAR:RCODE=LTCL&amp;VAR:SDATE=20081199&amp;VAR:FREQ=DAILY&amp;VAR:RELITEM=&amp;VAR:CURRENCY=&amp;VAR:CURRSOURCE=EXSHARE&amp;","VAR:NATFREQ=QUARTERLY&amp;VAR:RFIELD=FINALIZED&amp;VAR:DB_TYPE=&amp;VAR:UNITS=M&amp;window=popup&amp;width=450&amp;height=300&amp;START_MAXIMIZED=FALSE"}</definedName>
    <definedName name="_2587__FDSAUDITLINK__" hidden="1">{"fdsup://IBCentral/FAT Viewer?action=UPDATE&amp;creator=factset&amp;DOC_NAME=fat:reuters_qtrly_source_window.fat&amp;display_string=Audit&amp;DYN_ARGS=TRUE&amp;VAR:ID1=68389X10&amp;VAR:RCODE=ATCA&amp;VAR:SDATE=20081199&amp;VAR:FREQ=DAILY&amp;VAR:RELITEM=&amp;VAR:CURRENCY=&amp;VAR:CURRSOURCE=EXSHARE&amp;","VAR:NATFREQ=QUARTERLY&amp;VAR:RFIELD=FINALIZED&amp;VAR:DB_TYPE=&amp;VAR:UNITS=M&amp;window=popup&amp;width=450&amp;height=300&amp;START_MAXIMIZED=FALSE"}</definedName>
    <definedName name="_2588__FDSAUDITLINK__" hidden="1">{"fdsup://IBCentral/FAT Viewer?action=UPDATE&amp;creator=factset&amp;DOC_NAME=fat:reuters_qtrly_source_window.fat&amp;display_string=Audit&amp;DYN_ARGS=TRUE&amp;VAR:ID1=68389X10&amp;VAR:RCODE=ATOT&amp;VAR:SDATE=20081199&amp;VAR:FREQ=DAILY&amp;VAR:RELITEM=&amp;VAR:CURRENCY=&amp;VAR:CURRSOURCE=EXSHARE&amp;","VAR:NATFREQ=QUARTERLY&amp;VAR:RFIELD=FINALIZED&amp;VAR:DB_TYPE=&amp;VAR:UNITS=M&amp;window=popup&amp;width=450&amp;height=300&amp;START_MAXIMIZED=FALSE"}</definedName>
    <definedName name="_2589__FDSAUDITLINK__" hidden="1">{"fdsup://IBCentral/FAT Viewer?action=UPDATE&amp;creator=factset&amp;DOC_NAME=fat:reuters_qtrly_source_window.fat&amp;display_string=Audit&amp;DYN_ARGS=TRUE&amp;VAR:ID1=67459910&amp;VAR:RCODE=LTLL&amp;VAR:SDATE=20081299&amp;VAR:FREQ=DAILY&amp;VAR:RELITEM=&amp;VAR:CURRENCY=&amp;VAR:CURRSOURCE=EXSHARE&amp;","VAR:NATFREQ=QUARTERLY&amp;VAR:RFIELD=FINALIZED&amp;VAR:DB_TYPE=&amp;VAR:UNITS=M&amp;window=popup&amp;width=450&amp;height=300&amp;START_MAXIMIZED=FALSE"}</definedName>
    <definedName name="_259__FDSAUDITLINK__" hidden="1">{"fdsup://Directions/FactSet Auditing Viewer?action=AUDIT_VALUE&amp;DB=129&amp;ID1=36473010&amp;VALUEID=02999&amp;SDATE=201001&amp;PERIODTYPE=QTR_STD&amp;window=popup_no_bar&amp;width=385&amp;height=120&amp;START_MAXIMIZED=FALSE&amp;creator=factset&amp;display_string=Audit"}</definedName>
    <definedName name="_2590__FDSAUDITLINK__" hidden="1">{"fdsup://IBCentral/FAT Viewer?action=UPDATE&amp;creator=factset&amp;DOC_NAME=fat:reuters_qtrly_source_window.fat&amp;display_string=Audit&amp;DYN_ARGS=TRUE&amp;VAR:ID1=67459910&amp;VAR:RCODE=LTCL&amp;VAR:SDATE=20081299&amp;VAR:FREQ=DAILY&amp;VAR:RELITEM=&amp;VAR:CURRENCY=&amp;VAR:CURRSOURCE=EXSHARE&amp;","VAR:NATFREQ=QUARTERLY&amp;VAR:RFIELD=FINALIZED&amp;VAR:DB_TYPE=&amp;VAR:UNITS=M&amp;window=popup&amp;width=450&amp;height=300&amp;START_MAXIMIZED=FALSE"}</definedName>
    <definedName name="_2591__FDSAUDITLINK__" hidden="1">{"fdsup://IBCentral/FAT Viewer?action=UPDATE&amp;creator=factset&amp;DOC_NAME=fat:reuters_qtrly_source_window.fat&amp;display_string=Audit&amp;DYN_ARGS=TRUE&amp;VAR:ID1=67459910&amp;VAR:RCODE=ATCA&amp;VAR:SDATE=20081299&amp;VAR:FREQ=DAILY&amp;VAR:RELITEM=&amp;VAR:CURRENCY=&amp;VAR:CURRSOURCE=EXSHARE&amp;","VAR:NATFREQ=QUARTERLY&amp;VAR:RFIELD=FINALIZED&amp;VAR:DB_TYPE=&amp;VAR:UNITS=M&amp;window=popup&amp;width=450&amp;height=300&amp;START_MAXIMIZED=FALSE"}</definedName>
    <definedName name="_2592__FDSAUDITLINK__" hidden="1">{"fdsup://IBCentral/FAT Viewer?action=UPDATE&amp;creator=factset&amp;DOC_NAME=fat:reuters_qtrly_source_window.fat&amp;display_string=Audit&amp;DYN_ARGS=TRUE&amp;VAR:ID1=67459910&amp;VAR:RCODE=ATOT&amp;VAR:SDATE=20081299&amp;VAR:FREQ=DAILY&amp;VAR:RELITEM=&amp;VAR:CURRENCY=&amp;VAR:CURRSOURCE=EXSHARE&amp;","VAR:NATFREQ=QUARTERLY&amp;VAR:RFIELD=FINALIZED&amp;VAR:DB_TYPE=&amp;VAR:UNITS=M&amp;window=popup&amp;width=450&amp;height=300&amp;START_MAXIMIZED=FALSE"}</definedName>
    <definedName name="_2593__FDSAUDITLINK__" hidden="1">{"fdsup://IBCentral/FAT Viewer?action=UPDATE&amp;creator=factset&amp;DOC_NAME=fat:reuters_qtrly_source_window.fat&amp;display_string=Audit&amp;DYN_ARGS=TRUE&amp;VAR:ID1=67019E10&amp;VAR:RCODE=LTLL&amp;VAR:SDATE=20081299&amp;VAR:FREQ=DAILY&amp;VAR:RELITEM=&amp;VAR:CURRENCY=&amp;VAR:CURRSOURCE=EXSHARE&amp;","VAR:NATFREQ=QUARTERLY&amp;VAR:RFIELD=FINALIZED&amp;VAR:DB_TYPE=&amp;VAR:UNITS=M&amp;window=popup&amp;width=450&amp;height=300&amp;START_MAXIMIZED=FALSE"}</definedName>
    <definedName name="_2594__FDSAUDITLINK__" hidden="1">{"fdsup://IBCentral/FAT Viewer?action=UPDATE&amp;creator=factset&amp;DOC_NAME=fat:reuters_qtrly_source_window.fat&amp;display_string=Audit&amp;DYN_ARGS=TRUE&amp;VAR:ID1=67019E10&amp;VAR:RCODE=LTCL&amp;VAR:SDATE=20081299&amp;VAR:FREQ=DAILY&amp;VAR:RELITEM=&amp;VAR:CURRENCY=&amp;VAR:CURRSOURCE=EXSHARE&amp;","VAR:NATFREQ=QUARTERLY&amp;VAR:RFIELD=FINALIZED&amp;VAR:DB_TYPE=&amp;VAR:UNITS=M&amp;window=popup&amp;width=450&amp;height=300&amp;START_MAXIMIZED=FALSE"}</definedName>
    <definedName name="_2595__FDSAUDITLINK__" hidden="1">{"fdsup://IBCentral/FAT Viewer?action=UPDATE&amp;creator=factset&amp;DOC_NAME=fat:reuters_qtrly_source_window.fat&amp;display_string=Audit&amp;DYN_ARGS=TRUE&amp;VAR:ID1=67019E10&amp;VAR:RCODE=ATCA&amp;VAR:SDATE=20081299&amp;VAR:FREQ=DAILY&amp;VAR:RELITEM=&amp;VAR:CURRENCY=&amp;VAR:CURRSOURCE=EXSHARE&amp;","VAR:NATFREQ=QUARTERLY&amp;VAR:RFIELD=FINALIZED&amp;VAR:DB_TYPE=&amp;VAR:UNITS=M&amp;window=popup&amp;width=450&amp;height=300&amp;START_MAXIMIZED=FALSE"}</definedName>
    <definedName name="_2596__FDSAUDITLINK__" hidden="1">{"fdsup://IBCentral/FAT Viewer?action=UPDATE&amp;creator=factset&amp;DOC_NAME=fat:reuters_qtrly_source_window.fat&amp;display_string=Audit&amp;DYN_ARGS=TRUE&amp;VAR:ID1=67019E10&amp;VAR:RCODE=ATOT&amp;VAR:SDATE=20081299&amp;VAR:FREQ=DAILY&amp;VAR:RELITEM=&amp;VAR:CURRENCY=&amp;VAR:CURRSOURCE=EXSHARE&amp;","VAR:NATFREQ=QUARTERLY&amp;VAR:RFIELD=FINALIZED&amp;VAR:DB_TYPE=&amp;VAR:UNITS=M&amp;window=popup&amp;width=450&amp;height=300&amp;START_MAXIMIZED=FALSE"}</definedName>
    <definedName name="_2597__FDSAUDITLINK__" hidden="1">{"fdsup://IBCentral/FAT Viewer?action=UPDATE&amp;creator=factset&amp;DOC_NAME=fat:reuters_qtrly_source_window.fat&amp;display_string=Audit&amp;DYN_ARGS=TRUE&amp;VAR:ID1=61166W10&amp;VAR:RCODE=LTLL&amp;VAR:SDATE=20081199&amp;VAR:FREQ=DAILY&amp;VAR:RELITEM=&amp;VAR:CURRENCY=&amp;VAR:CURRSOURCE=EXSHARE&amp;","VAR:NATFREQ=QUARTERLY&amp;VAR:RFIELD=FINALIZED&amp;VAR:DB_TYPE=&amp;VAR:UNITS=M&amp;window=popup&amp;width=450&amp;height=300&amp;START_MAXIMIZED=FALSE"}</definedName>
    <definedName name="_2598__FDSAUDITLINK__" hidden="1">{"fdsup://IBCentral/FAT Viewer?action=UPDATE&amp;creator=factset&amp;DOC_NAME=fat:reuters_qtrly_source_window.fat&amp;display_string=Audit&amp;DYN_ARGS=TRUE&amp;VAR:ID1=61166W10&amp;VAR:RCODE=LTCL&amp;VAR:SDATE=20081199&amp;VAR:FREQ=DAILY&amp;VAR:RELITEM=&amp;VAR:CURRENCY=&amp;VAR:CURRSOURCE=EXSHARE&amp;","VAR:NATFREQ=QUARTERLY&amp;VAR:RFIELD=FINALIZED&amp;VAR:DB_TYPE=&amp;VAR:UNITS=M&amp;window=popup&amp;width=450&amp;height=300&amp;START_MAXIMIZED=FALSE"}</definedName>
    <definedName name="_2599__FDSAUDITLINK__" hidden="1">{"fdsup://IBCentral/FAT Viewer?action=UPDATE&amp;creator=factset&amp;DOC_NAME=fat:reuters_qtrly_source_window.fat&amp;display_string=Audit&amp;DYN_ARGS=TRUE&amp;VAR:ID1=61166W10&amp;VAR:RCODE=ATCA&amp;VAR:SDATE=20081199&amp;VAR:FREQ=DAILY&amp;VAR:RELITEM=&amp;VAR:CURRENCY=&amp;VAR:CURRSOURCE=EXSHARE&amp;","VAR:NATFREQ=QUARTERLY&amp;VAR:RFIELD=FINALIZED&amp;VAR:DB_TYPE=&amp;VAR:UNITS=M&amp;window=popup&amp;width=450&amp;height=300&amp;START_MAXIMIZED=FALSE"}</definedName>
    <definedName name="_25IQ_CURRENCY_GAIN_INS" hidden="1">"c238"</definedName>
    <definedName name="_26__FDSAUDITLINK__" hidden="1">{"fdsup://Directions/FactSet Auditing Viewer?action=AUDIT_VALUE&amp;DB=129&amp;ID1=01964550&amp;VALUEID=02999&amp;SDATE=201001&amp;PERIODTYPE=QTR_STD&amp;window=popup_no_bar&amp;width=385&amp;height=120&amp;START_MAXIMIZED=FALSE&amp;creator=factset&amp;display_string=Audit"}</definedName>
    <definedName name="_260__FDSAUDITLINK__" hidden="1">{"fdsup://Directions/FactSet Auditing Viewer?action=AUDIT_VALUE&amp;DB=129&amp;ID1=36476010&amp;VALUEID=02999&amp;SDATE=201001&amp;PERIODTYPE=QTR_STD&amp;window=popup_no_bar&amp;width=385&amp;height=120&amp;START_MAXIMIZED=FALSE&amp;creator=factset&amp;display_string=Audit"}</definedName>
    <definedName name="_2600__FDSAUDITLINK__" hidden="1">{"fdsup://IBCentral/FAT Viewer?action=UPDATE&amp;creator=factset&amp;DOC_NAME=fat:reuters_qtrly_source_window.fat&amp;display_string=Audit&amp;DYN_ARGS=TRUE&amp;VAR:ID1=61166W10&amp;VAR:RCODE=ATOT&amp;VAR:SDATE=20081199&amp;VAR:FREQ=DAILY&amp;VAR:RELITEM=&amp;VAR:CURRENCY=&amp;VAR:CURRSOURCE=EXSHARE&amp;","VAR:NATFREQ=QUARTERLY&amp;VAR:RFIELD=FINALIZED&amp;VAR:DB_TYPE=&amp;VAR:UNITS=M&amp;window=popup&amp;width=450&amp;height=300&amp;START_MAXIMIZED=FALSE"}</definedName>
    <definedName name="_2601__FDSAUDITLINK__" hidden="1">{"fdsup://IBCentral/FAT Viewer?action=UPDATE&amp;creator=factset&amp;DOC_NAME=fat:reuters_qtrly_source_window.fat&amp;display_string=Audit&amp;DYN_ARGS=TRUE&amp;VAR:ID1=49436810&amp;VAR:RCODE=LTLL&amp;VAR:SDATE=20081299&amp;VAR:FREQ=DAILY&amp;VAR:RELITEM=&amp;VAR:CURRENCY=&amp;VAR:CURRSOURCE=EXSHARE&amp;","VAR:NATFREQ=QUARTERLY&amp;VAR:RFIELD=FINALIZED&amp;VAR:DB_TYPE=&amp;VAR:UNITS=M&amp;window=popup&amp;width=450&amp;height=300&amp;START_MAXIMIZED=FALSE"}</definedName>
    <definedName name="_2602__FDSAUDITLINK__" hidden="1">{"fdsup://IBCentral/FAT Viewer?action=UPDATE&amp;creator=factset&amp;DOC_NAME=fat:reuters_qtrly_source_window.fat&amp;display_string=Audit&amp;DYN_ARGS=TRUE&amp;VAR:ID1=49436810&amp;VAR:RCODE=LTCL&amp;VAR:SDATE=20081299&amp;VAR:FREQ=DAILY&amp;VAR:RELITEM=&amp;VAR:CURRENCY=&amp;VAR:CURRSOURCE=EXSHARE&amp;","VAR:NATFREQ=QUARTERLY&amp;VAR:RFIELD=FINALIZED&amp;VAR:DB_TYPE=&amp;VAR:UNITS=M&amp;window=popup&amp;width=450&amp;height=300&amp;START_MAXIMIZED=FALSE"}</definedName>
    <definedName name="_2603__FDSAUDITLINK__" hidden="1">{"fdsup://IBCentral/FAT Viewer?action=UPDATE&amp;creator=factset&amp;DOC_NAME=fat:reuters_qtrly_source_window.fat&amp;display_string=Audit&amp;DYN_ARGS=TRUE&amp;VAR:ID1=49436810&amp;VAR:RCODE=ATCA&amp;VAR:SDATE=20081299&amp;VAR:FREQ=DAILY&amp;VAR:RELITEM=&amp;VAR:CURRENCY=&amp;VAR:CURRSOURCE=EXSHARE&amp;","VAR:NATFREQ=QUARTERLY&amp;VAR:RFIELD=FINALIZED&amp;VAR:DB_TYPE=&amp;VAR:UNITS=M&amp;window=popup&amp;width=450&amp;height=300&amp;START_MAXIMIZED=FALSE"}</definedName>
    <definedName name="_2604__FDSAUDITLINK__" hidden="1">{"fdsup://IBCentral/FAT Viewer?action=UPDATE&amp;creator=factset&amp;DOC_NAME=fat:reuters_qtrly_source_window.fat&amp;display_string=Audit&amp;DYN_ARGS=TRUE&amp;VAR:ID1=49436810&amp;VAR:RCODE=ATOT&amp;VAR:SDATE=20081299&amp;VAR:FREQ=DAILY&amp;VAR:RELITEM=&amp;VAR:CURRENCY=&amp;VAR:CURRSOURCE=EXSHARE&amp;","VAR:NATFREQ=QUARTERLY&amp;VAR:RFIELD=FINALIZED&amp;VAR:DB_TYPE=&amp;VAR:UNITS=M&amp;window=popup&amp;width=450&amp;height=300&amp;START_MAXIMIZED=FALSE"}</definedName>
    <definedName name="_2605__FDSAUDITLINK__" hidden="1">{"fdsup://IBCentral/FAT Viewer?action=UPDATE&amp;creator=factset&amp;DOC_NAME=fat:reuters_qtrly_source_window.fat&amp;display_string=Audit&amp;DYN_ARGS=TRUE&amp;VAR:ID1=44045210&amp;VAR:RCODE=LTLL&amp;VAR:SDATE=20081099&amp;VAR:FREQ=DAILY&amp;VAR:RELITEM=&amp;VAR:CURRENCY=&amp;VAR:CURRSOURCE=EXSHARE&amp;","VAR:NATFREQ=QUARTERLY&amp;VAR:RFIELD=FINALIZED&amp;VAR:DB_TYPE=&amp;VAR:UNITS=M&amp;window=popup&amp;width=450&amp;height=300&amp;START_MAXIMIZED=FALSE"}</definedName>
    <definedName name="_2606__FDSAUDITLINK__" hidden="1">{"fdsup://IBCentral/FAT Viewer?action=UPDATE&amp;creator=factset&amp;DOC_NAME=fat:reuters_qtrly_source_window.fat&amp;display_string=Audit&amp;DYN_ARGS=TRUE&amp;VAR:ID1=44045210&amp;VAR:RCODE=LTCL&amp;VAR:SDATE=20081099&amp;VAR:FREQ=DAILY&amp;VAR:RELITEM=&amp;VAR:CURRENCY=&amp;VAR:CURRSOURCE=EXSHARE&amp;","VAR:NATFREQ=QUARTERLY&amp;VAR:RFIELD=FINALIZED&amp;VAR:DB_TYPE=&amp;VAR:UNITS=M&amp;window=popup&amp;width=450&amp;height=300&amp;START_MAXIMIZED=FALSE"}</definedName>
    <definedName name="_2607__FDSAUDITLINK__" hidden="1">{"fdsup://IBCentral/FAT Viewer?action=UPDATE&amp;creator=factset&amp;DOC_NAME=fat:reuters_qtrly_source_window.fat&amp;display_string=Audit&amp;DYN_ARGS=TRUE&amp;VAR:ID1=44045210&amp;VAR:RCODE=ATCA&amp;VAR:SDATE=20081099&amp;VAR:FREQ=DAILY&amp;VAR:RELITEM=&amp;VAR:CURRENCY=&amp;VAR:CURRSOURCE=EXSHARE&amp;","VAR:NATFREQ=QUARTERLY&amp;VAR:RFIELD=FINALIZED&amp;VAR:DB_TYPE=&amp;VAR:UNITS=M&amp;window=popup&amp;width=450&amp;height=300&amp;START_MAXIMIZED=FALSE"}</definedName>
    <definedName name="_2608__FDSAUDITLINK__" hidden="1">{"fdsup://IBCentral/FAT Viewer?action=UPDATE&amp;creator=factset&amp;DOC_NAME=fat:reuters_qtrly_source_window.fat&amp;display_string=Audit&amp;DYN_ARGS=TRUE&amp;VAR:ID1=44045210&amp;VAR:RCODE=ATOT&amp;VAR:SDATE=20081099&amp;VAR:FREQ=DAILY&amp;VAR:RELITEM=&amp;VAR:CURRENCY=&amp;VAR:CURRSOURCE=EXSHARE&amp;","VAR:NATFREQ=QUARTERLY&amp;VAR:RFIELD=FINALIZED&amp;VAR:DB_TYPE=&amp;VAR:UNITS=M&amp;window=popup&amp;width=450&amp;height=300&amp;START_MAXIMIZED=FALSE"}</definedName>
    <definedName name="_2609__FDSAUDITLINK__" hidden="1">{"fdsup://IBCentral/FAT Viewer?action=UPDATE&amp;creator=factset&amp;DOC_NAME=fat:reuters_qtrly_source_window.fat&amp;display_string=Audit&amp;DYN_ARGS=TRUE&amp;VAR:ID1=42823610&amp;VAR:RCODE=LTLL&amp;VAR:SDATE=20081099&amp;VAR:FREQ=DAILY&amp;VAR:RELITEM=&amp;VAR:CURRENCY=&amp;VAR:CURRSOURCE=EXSHARE&amp;","VAR:NATFREQ=QUARTERLY&amp;VAR:RFIELD=FINALIZED&amp;VAR:DB_TYPE=&amp;VAR:UNITS=M&amp;window=popup&amp;width=450&amp;height=300&amp;START_MAXIMIZED=FALSE"}</definedName>
    <definedName name="_261__FDSAUDITLINK__" hidden="1">{"fdsup://Directions/FactSet Auditing Viewer?action=AUDIT_VALUE&amp;DB=129&amp;ID1=36555810&amp;VALUEID=02999&amp;SDATE=201001&amp;PERIODTYPE=QTR_STD&amp;window=popup_no_bar&amp;width=385&amp;height=120&amp;START_MAXIMIZED=FALSE&amp;creator=factset&amp;display_string=Audit"}</definedName>
    <definedName name="_2610__FDSAUDITLINK__" hidden="1">{"fdsup://IBCentral/FAT Viewer?action=UPDATE&amp;creator=factset&amp;DOC_NAME=fat:reuters_qtrly_source_window.fat&amp;display_string=Audit&amp;DYN_ARGS=TRUE&amp;VAR:ID1=42823610&amp;VAR:RCODE=LTCL&amp;VAR:SDATE=20081099&amp;VAR:FREQ=DAILY&amp;VAR:RELITEM=&amp;VAR:CURRENCY=&amp;VAR:CURRSOURCE=EXSHARE&amp;","VAR:NATFREQ=QUARTERLY&amp;VAR:RFIELD=FINALIZED&amp;VAR:DB_TYPE=&amp;VAR:UNITS=M&amp;window=popup&amp;width=450&amp;height=300&amp;START_MAXIMIZED=FALSE"}</definedName>
    <definedName name="_2611__FDSAUDITLINK__" hidden="1">{"fdsup://IBCentral/FAT Viewer?action=UPDATE&amp;creator=factset&amp;DOC_NAME=fat:reuters_qtrly_source_window.fat&amp;display_string=Audit&amp;DYN_ARGS=TRUE&amp;VAR:ID1=42823610&amp;VAR:RCODE=ATCA&amp;VAR:SDATE=20081099&amp;VAR:FREQ=DAILY&amp;VAR:RELITEM=&amp;VAR:CURRENCY=&amp;VAR:CURRSOURCE=EXSHARE&amp;","VAR:NATFREQ=QUARTERLY&amp;VAR:RFIELD=FINALIZED&amp;VAR:DB_TYPE=&amp;VAR:UNITS=M&amp;window=popup&amp;width=450&amp;height=300&amp;START_MAXIMIZED=FALSE"}</definedName>
    <definedName name="_2612__FDSAUDITLINK__" hidden="1">{"fdsup://IBCentral/FAT Viewer?action=UPDATE&amp;creator=factset&amp;DOC_NAME=fat:reuters_qtrly_source_window.fat&amp;display_string=Audit&amp;DYN_ARGS=TRUE&amp;VAR:ID1=42823610&amp;VAR:RCODE=ATOT&amp;VAR:SDATE=20081099&amp;VAR:FREQ=DAILY&amp;VAR:RELITEM=&amp;VAR:CURRENCY=&amp;VAR:CURRSOURCE=EXSHARE&amp;","VAR:NATFREQ=QUARTERLY&amp;VAR:RFIELD=FINALIZED&amp;VAR:DB_TYPE=&amp;VAR:UNITS=M&amp;window=popup&amp;width=450&amp;height=300&amp;START_MAXIMIZED=FALSE"}</definedName>
    <definedName name="_2613__FDSAUDITLINK__" hidden="1">{"fdsup://IBCentral/FAT Viewer?action=UPDATE&amp;creator=factset&amp;DOC_NAME=fat:reuters_qtrly_source_window.fat&amp;display_string=Audit&amp;DYN_ARGS=TRUE&amp;VAR:ID1=42786610&amp;VAR:RCODE=LTLL&amp;VAR:SDATE=20081299&amp;VAR:FREQ=DAILY&amp;VAR:RELITEM=&amp;VAR:CURRENCY=&amp;VAR:CURRSOURCE=EXSHARE&amp;","VAR:NATFREQ=QUARTERLY&amp;VAR:RFIELD=FINALIZED&amp;VAR:DB_TYPE=&amp;VAR:UNITS=M&amp;window=popup&amp;width=450&amp;height=300&amp;START_MAXIMIZED=FALSE"}</definedName>
    <definedName name="_2614__FDSAUDITLINK__" hidden="1">{"fdsup://IBCentral/FAT Viewer?action=UPDATE&amp;creator=factset&amp;DOC_NAME=fat:reuters_qtrly_source_window.fat&amp;display_string=Audit&amp;DYN_ARGS=TRUE&amp;VAR:ID1=42786610&amp;VAR:RCODE=LTCL&amp;VAR:SDATE=20081299&amp;VAR:FREQ=DAILY&amp;VAR:RELITEM=&amp;VAR:CURRENCY=&amp;VAR:CURRSOURCE=EXSHARE&amp;","VAR:NATFREQ=QUARTERLY&amp;VAR:RFIELD=FINALIZED&amp;VAR:DB_TYPE=&amp;VAR:UNITS=M&amp;window=popup&amp;width=450&amp;height=300&amp;START_MAXIMIZED=FALSE"}</definedName>
    <definedName name="_2615__FDSAUDITLINK__" hidden="1">{"fdsup://IBCentral/FAT Viewer?action=UPDATE&amp;creator=factset&amp;DOC_NAME=fat:reuters_qtrly_source_window.fat&amp;display_string=Audit&amp;DYN_ARGS=TRUE&amp;VAR:ID1=42786610&amp;VAR:RCODE=ATCA&amp;VAR:SDATE=20081299&amp;VAR:FREQ=DAILY&amp;VAR:RELITEM=&amp;VAR:CURRENCY=&amp;VAR:CURRSOURCE=EXSHARE&amp;","VAR:NATFREQ=QUARTERLY&amp;VAR:RFIELD=FINALIZED&amp;VAR:DB_TYPE=&amp;VAR:UNITS=M&amp;window=popup&amp;width=450&amp;height=300&amp;START_MAXIMIZED=FALSE"}</definedName>
    <definedName name="_2616__FDSAUDITLINK__" hidden="1">{"fdsup://IBCentral/FAT Viewer?action=UPDATE&amp;creator=factset&amp;DOC_NAME=fat:reuters_qtrly_source_window.fat&amp;display_string=Audit&amp;DYN_ARGS=TRUE&amp;VAR:ID1=42786610&amp;VAR:RCODE=ATOT&amp;VAR:SDATE=20081299&amp;VAR:FREQ=DAILY&amp;VAR:RELITEM=&amp;VAR:CURRENCY=&amp;VAR:CURRSOURCE=EXSHARE&amp;","VAR:NATFREQ=QUARTERLY&amp;VAR:RFIELD=FINALIZED&amp;VAR:DB_TYPE=&amp;VAR:UNITS=M&amp;window=popup&amp;width=450&amp;height=300&amp;START_MAXIMIZED=FALSE"}</definedName>
    <definedName name="_2617__FDSAUDITLINK__" hidden="1">{"fdsup://IBCentral/FAT Viewer?action=UPDATE&amp;creator=factset&amp;DOC_NAME=fat:reuters_qtrly_source_window.fat&amp;display_string=Audit&amp;DYN_ARGS=TRUE&amp;VAR:ID1=40621610&amp;VAR:RCODE=LTLL&amp;VAR:SDATE=20081299&amp;VAR:FREQ=DAILY&amp;VAR:RELITEM=&amp;VAR:CURRENCY=&amp;VAR:CURRSOURCE=EXSHARE&amp;","VAR:NATFREQ=QUARTERLY&amp;VAR:RFIELD=FINALIZED&amp;VAR:DB_TYPE=&amp;VAR:UNITS=M&amp;window=popup&amp;width=450&amp;height=300&amp;START_MAXIMIZED=FALSE"}</definedName>
    <definedName name="_2618__FDSAUDITLINK__" hidden="1">{"fdsup://IBCentral/FAT Viewer?action=UPDATE&amp;creator=factset&amp;DOC_NAME=fat:reuters_qtrly_source_window.fat&amp;display_string=Audit&amp;DYN_ARGS=TRUE&amp;VAR:ID1=40621610&amp;VAR:RCODE=LTCL&amp;VAR:SDATE=20081299&amp;VAR:FREQ=DAILY&amp;VAR:RELITEM=&amp;VAR:CURRENCY=&amp;VAR:CURRSOURCE=EXSHARE&amp;","VAR:NATFREQ=QUARTERLY&amp;VAR:RFIELD=FINALIZED&amp;VAR:DB_TYPE=&amp;VAR:UNITS=M&amp;window=popup&amp;width=450&amp;height=300&amp;START_MAXIMIZED=FALSE"}</definedName>
    <definedName name="_2619__FDSAUDITLINK__" hidden="1">{"fdsup://IBCentral/FAT Viewer?action=UPDATE&amp;creator=factset&amp;DOC_NAME=fat:reuters_qtrly_source_window.fat&amp;display_string=Audit&amp;DYN_ARGS=TRUE&amp;VAR:ID1=40621610&amp;VAR:RCODE=ATCA&amp;VAR:SDATE=20081299&amp;VAR:FREQ=DAILY&amp;VAR:RELITEM=&amp;VAR:CURRENCY=&amp;VAR:CURRSOURCE=EXSHARE&amp;","VAR:NATFREQ=QUARTERLY&amp;VAR:RFIELD=FINALIZED&amp;VAR:DB_TYPE=&amp;VAR:UNITS=M&amp;window=popup&amp;width=450&amp;height=300&amp;START_MAXIMIZED=FALSE"}</definedName>
    <definedName name="_262__FDSAUDITLINK__" hidden="1">{"fdsup://Directions/FactSet Auditing Viewer?action=AUDIT_VALUE&amp;DB=129&amp;ID1=36790510&amp;VALUEID=02999&amp;SDATE=201001&amp;PERIODTYPE=QTR_STD&amp;window=popup_no_bar&amp;width=385&amp;height=120&amp;START_MAXIMIZED=FALSE&amp;creator=factset&amp;display_string=Audit"}</definedName>
    <definedName name="_2620__FDSAUDITLINK__" hidden="1">{"fdsup://IBCentral/FAT Viewer?action=UPDATE&amp;creator=factset&amp;DOC_NAME=fat:reuters_qtrly_source_window.fat&amp;display_string=Audit&amp;DYN_ARGS=TRUE&amp;VAR:ID1=40621610&amp;VAR:RCODE=ATOT&amp;VAR:SDATE=20081299&amp;VAR:FREQ=DAILY&amp;VAR:RELITEM=&amp;VAR:CURRENCY=&amp;VAR:CURRSOURCE=EXSHARE&amp;","VAR:NATFREQ=QUARTERLY&amp;VAR:RFIELD=FINALIZED&amp;VAR:DB_TYPE=&amp;VAR:UNITS=M&amp;window=popup&amp;width=450&amp;height=300&amp;START_MAXIMIZED=FALSE"}</definedName>
    <definedName name="_2621__FDSAUDITLINK__" hidden="1">{"fdsup://IBCentral/FAT Viewer?action=UPDATE&amp;creator=factset&amp;DOC_NAME=fat:reuters_qtrly_source_window.fat&amp;display_string=Audit&amp;DYN_ARGS=TRUE&amp;VAR:ID1=36955010&amp;VAR:RCODE=LTLL&amp;VAR:SDATE=20081299&amp;VAR:FREQ=DAILY&amp;VAR:RELITEM=&amp;VAR:CURRENCY=&amp;VAR:CURRSOURCE=EXSHARE&amp;","VAR:NATFREQ=QUARTERLY&amp;VAR:RFIELD=FINALIZED&amp;VAR:DB_TYPE=&amp;VAR:UNITS=M&amp;window=popup&amp;width=450&amp;height=300&amp;START_MAXIMIZED=FALSE"}</definedName>
    <definedName name="_2622__FDSAUDITLINK__" hidden="1">{"fdsup://IBCentral/FAT Viewer?action=UPDATE&amp;creator=factset&amp;DOC_NAME=fat:reuters_qtrly_source_window.fat&amp;display_string=Audit&amp;DYN_ARGS=TRUE&amp;VAR:ID1=36955010&amp;VAR:RCODE=LTCL&amp;VAR:SDATE=20081299&amp;VAR:FREQ=DAILY&amp;VAR:RELITEM=&amp;VAR:CURRENCY=&amp;VAR:CURRSOURCE=EXSHARE&amp;","VAR:NATFREQ=QUARTERLY&amp;VAR:RFIELD=FINALIZED&amp;VAR:DB_TYPE=&amp;VAR:UNITS=M&amp;window=popup&amp;width=450&amp;height=300&amp;START_MAXIMIZED=FALSE"}</definedName>
    <definedName name="_2623__FDSAUDITLINK__" hidden="1">{"fdsup://IBCentral/FAT Viewer?action=UPDATE&amp;creator=factset&amp;DOC_NAME=fat:reuters_qtrly_source_window.fat&amp;display_string=Audit&amp;DYN_ARGS=TRUE&amp;VAR:ID1=36955010&amp;VAR:RCODE=ATCA&amp;VAR:SDATE=20081299&amp;VAR:FREQ=DAILY&amp;VAR:RELITEM=&amp;VAR:CURRENCY=&amp;VAR:CURRSOURCE=EXSHARE&amp;","VAR:NATFREQ=QUARTERLY&amp;VAR:RFIELD=FINALIZED&amp;VAR:DB_TYPE=&amp;VAR:UNITS=M&amp;window=popup&amp;width=450&amp;height=300&amp;START_MAXIMIZED=FALSE"}</definedName>
    <definedName name="_2624__FDSAUDITLINK__" hidden="1">{"fdsup://IBCentral/FAT Viewer?action=UPDATE&amp;creator=factset&amp;DOC_NAME=fat:reuters_qtrly_source_window.fat&amp;display_string=Audit&amp;DYN_ARGS=TRUE&amp;VAR:ID1=36955010&amp;VAR:RCODE=ATOT&amp;VAR:SDATE=20081299&amp;VAR:FREQ=DAILY&amp;VAR:RELITEM=&amp;VAR:CURRENCY=&amp;VAR:CURRSOURCE=EXSHARE&amp;","VAR:NATFREQ=QUARTERLY&amp;VAR:RFIELD=FINALIZED&amp;VAR:DB_TYPE=&amp;VAR:UNITS=M&amp;window=popup&amp;width=450&amp;height=300&amp;START_MAXIMIZED=FALSE"}</definedName>
    <definedName name="_2625__FDSAUDITLINK__" hidden="1">{"fdsup://IBCentral/FAT Viewer?action=UPDATE&amp;creator=factset&amp;DOC_NAME=fat:reuters_qtrly_source_window.fat&amp;display_string=Audit&amp;DYN_ARGS=TRUE&amp;VAR:ID1=30257110&amp;VAR:RCODE=LTLL&amp;VAR:SDATE=20081299&amp;VAR:FREQ=DAILY&amp;VAR:RELITEM=&amp;VAR:CURRENCY=&amp;VAR:CURRSOURCE=EXSHARE&amp;","VAR:NATFREQ=QUARTERLY&amp;VAR:RFIELD=FINALIZED&amp;VAR:DB_TYPE=&amp;VAR:UNITS=M&amp;window=popup&amp;width=450&amp;height=300&amp;START_MAXIMIZED=FALSE"}</definedName>
    <definedName name="_2626__FDSAUDITLINK__" hidden="1">{"fdsup://IBCentral/FAT Viewer?action=UPDATE&amp;creator=factset&amp;DOC_NAME=fat:reuters_qtrly_source_window.fat&amp;display_string=Audit&amp;DYN_ARGS=TRUE&amp;VAR:ID1=30257110&amp;VAR:RCODE=LTCL&amp;VAR:SDATE=20081299&amp;VAR:FREQ=DAILY&amp;VAR:RELITEM=&amp;VAR:CURRENCY=&amp;VAR:CURRSOURCE=EXSHARE&amp;","VAR:NATFREQ=QUARTERLY&amp;VAR:RFIELD=FINALIZED&amp;VAR:DB_TYPE=&amp;VAR:UNITS=M&amp;window=popup&amp;width=450&amp;height=300&amp;START_MAXIMIZED=FALSE"}</definedName>
    <definedName name="_2627__FDSAUDITLINK__" hidden="1">{"fdsup://IBCentral/FAT Viewer?action=UPDATE&amp;creator=factset&amp;DOC_NAME=fat:reuters_qtrly_source_window.fat&amp;display_string=Audit&amp;DYN_ARGS=TRUE&amp;VAR:ID1=30257110&amp;VAR:RCODE=ATCA&amp;VAR:SDATE=20081299&amp;VAR:FREQ=DAILY&amp;VAR:RELITEM=&amp;VAR:CURRENCY=&amp;VAR:CURRSOURCE=EXSHARE&amp;","VAR:NATFREQ=QUARTERLY&amp;VAR:RFIELD=FINALIZED&amp;VAR:DB_TYPE=&amp;VAR:UNITS=M&amp;window=popup&amp;width=450&amp;height=300&amp;START_MAXIMIZED=FALSE"}</definedName>
    <definedName name="_2628__FDSAUDITLINK__" hidden="1">{"fdsup://IBCentral/FAT Viewer?action=UPDATE&amp;creator=factset&amp;DOC_NAME=fat:reuters_qtrly_source_window.fat&amp;display_string=Audit&amp;DYN_ARGS=TRUE&amp;VAR:ID1=30257110&amp;VAR:RCODE=ATOT&amp;VAR:SDATE=20081299&amp;VAR:FREQ=DAILY&amp;VAR:RELITEM=&amp;VAR:CURRENCY=&amp;VAR:CURRSOURCE=EXSHARE&amp;","VAR:NATFREQ=QUARTERLY&amp;VAR:RFIELD=FINALIZED&amp;VAR:DB_TYPE=&amp;VAR:UNITS=M&amp;window=popup&amp;width=450&amp;height=300&amp;START_MAXIMIZED=FALSE"}</definedName>
    <definedName name="_2629__FDSAUDITLINK__" hidden="1">{"fdsup://IBCentral/FAT Viewer?action=UPDATE&amp;creator=factset&amp;DOC_NAME=fat:reuters_qtrly_source_window.fat&amp;display_string=Audit&amp;DYN_ARGS=TRUE&amp;VAR:ID1=51843910&amp;VAR:RCODE=LTLL&amp;VAR:SDATE=20081299&amp;VAR:FREQ=DAILY&amp;VAR:RELITEM=&amp;VAR:CURRENCY=&amp;VAR:CURRSOURCE=EXSHARE&amp;","VAR:NATFREQ=QUARTERLY&amp;VAR:RFIELD=FINALIZED&amp;VAR:DB_TYPE=&amp;VAR:UNITS=M&amp;window=popup&amp;width=450&amp;height=300&amp;START_MAXIMIZED=FALSE"}</definedName>
    <definedName name="_263__FDSAUDITLINK__" hidden="1">{"fdsup://Directions/FactSet Auditing Viewer?action=AUDIT_VALUE&amp;DB=129&amp;ID1=36930010&amp;VALUEID=02999&amp;SDATE=201001&amp;PERIODTYPE=QTR_STD&amp;window=popup_no_bar&amp;width=385&amp;height=120&amp;START_MAXIMIZED=FALSE&amp;creator=factset&amp;display_string=Audit"}</definedName>
    <definedName name="_2630__FDSAUDITLINK__" hidden="1">{"fdsup://IBCentral/FAT Viewer?action=UPDATE&amp;creator=factset&amp;DOC_NAME=fat:reuters_qtrly_source_window.fat&amp;display_string=Audit&amp;DYN_ARGS=TRUE&amp;VAR:ID1=51843910&amp;VAR:RCODE=LTCL&amp;VAR:SDATE=20081299&amp;VAR:FREQ=DAILY&amp;VAR:RELITEM=&amp;VAR:CURRENCY=&amp;VAR:CURRSOURCE=EXSHARE&amp;","VAR:NATFREQ=QUARTERLY&amp;VAR:RFIELD=FINALIZED&amp;VAR:DB_TYPE=&amp;VAR:UNITS=M&amp;window=popup&amp;width=450&amp;height=300&amp;START_MAXIMIZED=FALSE"}</definedName>
    <definedName name="_2631__FDSAUDITLINK__" hidden="1">{"fdsup://IBCentral/FAT Viewer?action=UPDATE&amp;creator=factset&amp;DOC_NAME=fat:reuters_qtrly_source_window.fat&amp;display_string=Audit&amp;DYN_ARGS=TRUE&amp;VAR:ID1=51843910&amp;VAR:RCODE=ATCA&amp;VAR:SDATE=20081299&amp;VAR:FREQ=DAILY&amp;VAR:RELITEM=&amp;VAR:CURRENCY=&amp;VAR:CURRSOURCE=EXSHARE&amp;","VAR:NATFREQ=QUARTERLY&amp;VAR:RFIELD=FINALIZED&amp;VAR:DB_TYPE=&amp;VAR:UNITS=M&amp;window=popup&amp;width=450&amp;height=300&amp;START_MAXIMIZED=FALSE"}</definedName>
    <definedName name="_2632__FDSAUDITLINK__" hidden="1">{"fdsup://IBCentral/FAT Viewer?action=UPDATE&amp;creator=factset&amp;DOC_NAME=fat:reuters_qtrly_source_window.fat&amp;display_string=Audit&amp;DYN_ARGS=TRUE&amp;VAR:ID1=51843910&amp;VAR:RCODE=ATOT&amp;VAR:SDATE=20081299&amp;VAR:FREQ=DAILY&amp;VAR:RELITEM=&amp;VAR:CURRENCY=&amp;VAR:CURRSOURCE=EXSHARE&amp;","VAR:NATFREQ=QUARTERLY&amp;VAR:RFIELD=FINALIZED&amp;VAR:DB_TYPE=&amp;VAR:UNITS=M&amp;window=popup&amp;width=450&amp;height=300&amp;START_MAXIMIZED=FALSE"}</definedName>
    <definedName name="_2633__FDSAUDITLINK__" hidden="1">{"fdsup://IBCentral/FAT Viewer?action=UPDATE&amp;creator=factset&amp;DOC_NAME=fat:reuters_qtrly_source_window.fat&amp;display_string=Audit&amp;DYN_ARGS=TRUE&amp;VAR:ID1=29101110&amp;VAR:RCODE=LTLL&amp;VAR:SDATE=20081299&amp;VAR:FREQ=DAILY&amp;VAR:RELITEM=&amp;VAR:CURRENCY=&amp;VAR:CURRSOURCE=EXSHARE&amp;","VAR:NATFREQ=QUARTERLY&amp;VAR:RFIELD=FINALIZED&amp;VAR:DB_TYPE=&amp;VAR:UNITS=M&amp;window=popup&amp;width=450&amp;height=300&amp;START_MAXIMIZED=FALSE"}</definedName>
    <definedName name="_2634__FDSAUDITLINK__" hidden="1">{"fdsup://IBCentral/FAT Viewer?action=UPDATE&amp;creator=factset&amp;DOC_NAME=fat:reuters_qtrly_source_window.fat&amp;display_string=Audit&amp;DYN_ARGS=TRUE&amp;VAR:ID1=29101110&amp;VAR:RCODE=LTCL&amp;VAR:SDATE=20081299&amp;VAR:FREQ=DAILY&amp;VAR:RELITEM=&amp;VAR:CURRENCY=&amp;VAR:CURRSOURCE=EXSHARE&amp;","VAR:NATFREQ=QUARTERLY&amp;VAR:RFIELD=FINALIZED&amp;VAR:DB_TYPE=&amp;VAR:UNITS=M&amp;window=popup&amp;width=450&amp;height=300&amp;START_MAXIMIZED=FALSE"}</definedName>
    <definedName name="_2635__FDSAUDITLINK__" hidden="1">{"fdsup://IBCentral/FAT Viewer?action=UPDATE&amp;creator=factset&amp;DOC_NAME=fat:reuters_qtrly_source_window.fat&amp;display_string=Audit&amp;DYN_ARGS=TRUE&amp;VAR:ID1=29101110&amp;VAR:RCODE=ATCA&amp;VAR:SDATE=20081299&amp;VAR:FREQ=DAILY&amp;VAR:RELITEM=&amp;VAR:CURRENCY=&amp;VAR:CURRSOURCE=EXSHARE&amp;","VAR:NATFREQ=QUARTERLY&amp;VAR:RFIELD=FINALIZED&amp;VAR:DB_TYPE=&amp;VAR:UNITS=M&amp;window=popup&amp;width=450&amp;height=300&amp;START_MAXIMIZED=FALSE"}</definedName>
    <definedName name="_2636__FDSAUDITLINK__" hidden="1">{"fdsup://IBCentral/FAT Viewer?action=UPDATE&amp;creator=factset&amp;DOC_NAME=fat:reuters_qtrly_source_window.fat&amp;display_string=Audit&amp;DYN_ARGS=TRUE&amp;VAR:ID1=29101110&amp;VAR:RCODE=ATOT&amp;VAR:SDATE=20081299&amp;VAR:FREQ=DAILY&amp;VAR:RELITEM=&amp;VAR:CURRENCY=&amp;VAR:CURRSOURCE=EXSHARE&amp;","VAR:NATFREQ=QUARTERLY&amp;VAR:RFIELD=FINALIZED&amp;VAR:DB_TYPE=&amp;VAR:UNITS=M&amp;window=popup&amp;width=450&amp;height=300&amp;START_MAXIMIZED=FALSE"}</definedName>
    <definedName name="_2637__FDSAUDITLINK__" hidden="1">{"fdsup://IBCentral/FAT Viewer?action=UPDATE&amp;creator=factset&amp;DOC_NAME=fat:reuters_qtrly_source_window.fat&amp;display_string=Audit&amp;DYN_ARGS=TRUE&amp;VAR:ID1=26353410&amp;VAR:RCODE=LTLL&amp;VAR:SDATE=20081299&amp;VAR:FREQ=DAILY&amp;VAR:RELITEM=&amp;VAR:CURRENCY=&amp;VAR:CURRSOURCE=EXSHARE&amp;","VAR:NATFREQ=QUARTERLY&amp;VAR:RFIELD=FINALIZED&amp;VAR:DB_TYPE=&amp;VAR:UNITS=M&amp;window=popup&amp;width=450&amp;height=300&amp;START_MAXIMIZED=FALSE"}</definedName>
    <definedName name="_2638__FDSAUDITLINK__" hidden="1">{"fdsup://IBCentral/FAT Viewer?action=UPDATE&amp;creator=factset&amp;DOC_NAME=fat:reuters_qtrly_source_window.fat&amp;display_string=Audit&amp;DYN_ARGS=TRUE&amp;VAR:ID1=26353410&amp;VAR:RCODE=LTCL&amp;VAR:SDATE=20081299&amp;VAR:FREQ=DAILY&amp;VAR:RELITEM=&amp;VAR:CURRENCY=&amp;VAR:CURRSOURCE=EXSHARE&amp;","VAR:NATFREQ=QUARTERLY&amp;VAR:RFIELD=FINALIZED&amp;VAR:DB_TYPE=&amp;VAR:UNITS=M&amp;window=popup&amp;width=450&amp;height=300&amp;START_MAXIMIZED=FALSE"}</definedName>
    <definedName name="_2639__FDSAUDITLINK__" hidden="1">{"fdsup://IBCentral/FAT Viewer?action=UPDATE&amp;creator=factset&amp;DOC_NAME=fat:reuters_qtrly_source_window.fat&amp;display_string=Audit&amp;DYN_ARGS=TRUE&amp;VAR:ID1=26353410&amp;VAR:RCODE=ATCA&amp;VAR:SDATE=20081299&amp;VAR:FREQ=DAILY&amp;VAR:RELITEM=&amp;VAR:CURRENCY=&amp;VAR:CURRSOURCE=EXSHARE&amp;","VAR:NATFREQ=QUARTERLY&amp;VAR:RFIELD=FINALIZED&amp;VAR:DB_TYPE=&amp;VAR:UNITS=M&amp;window=popup&amp;width=450&amp;height=300&amp;START_MAXIMIZED=FALSE"}</definedName>
    <definedName name="_264__FDSAUDITLINK__" hidden="1">{"fdsup://Directions/FactSet Auditing Viewer?action=AUDIT_VALUE&amp;DB=129&amp;ID1=36955010&amp;VALUEID=02999&amp;SDATE=201001&amp;PERIODTYPE=QTR_STD&amp;window=popup_no_bar&amp;width=385&amp;height=120&amp;START_MAXIMIZED=FALSE&amp;creator=factset&amp;display_string=Audit"}</definedName>
    <definedName name="_2640__FDSAUDITLINK__" hidden="1">{"fdsup://IBCentral/FAT Viewer?action=UPDATE&amp;creator=factset&amp;DOC_NAME=fat:reuters_qtrly_source_window.fat&amp;display_string=Audit&amp;DYN_ARGS=TRUE&amp;VAR:ID1=26353410&amp;VAR:RCODE=ATOT&amp;VAR:SDATE=20081299&amp;VAR:FREQ=DAILY&amp;VAR:RELITEM=&amp;VAR:CURRENCY=&amp;VAR:CURRSOURCE=EXSHARE&amp;","VAR:NATFREQ=QUARTERLY&amp;VAR:RFIELD=FINALIZED&amp;VAR:DB_TYPE=&amp;VAR:UNITS=M&amp;window=popup&amp;width=450&amp;height=300&amp;START_MAXIMIZED=FALSE"}</definedName>
    <definedName name="_2641__FDSAUDITLINK__" hidden="1">{"fdsup://IBCentral/FAT Viewer?action=UPDATE&amp;creator=factset&amp;DOC_NAME=fat:reuters_qtrly_source_window.fat&amp;display_string=Audit&amp;DYN_ARGS=TRUE&amp;VAR:ID1=27886510&amp;VAR:RCODE=LTLL&amp;VAR:SDATE=20081299&amp;VAR:FREQ=DAILY&amp;VAR:RELITEM=&amp;VAR:CURRENCY=&amp;VAR:CURRSOURCE=EXSHARE&amp;","VAR:NATFREQ=QUARTERLY&amp;VAR:RFIELD=FINALIZED&amp;VAR:DB_TYPE=&amp;VAR:UNITS=M&amp;window=popup&amp;width=450&amp;height=300&amp;START_MAXIMIZED=FALSE"}</definedName>
    <definedName name="_2642__FDSAUDITLINK__" hidden="1">{"fdsup://IBCentral/FAT Viewer?action=UPDATE&amp;creator=factset&amp;DOC_NAME=fat:reuters_qtrly_source_window.fat&amp;display_string=Audit&amp;DYN_ARGS=TRUE&amp;VAR:ID1=27886510&amp;VAR:RCODE=LTCL&amp;VAR:SDATE=20081299&amp;VAR:FREQ=DAILY&amp;VAR:RELITEM=&amp;VAR:CURRENCY=&amp;VAR:CURRSOURCE=EXSHARE&amp;","VAR:NATFREQ=QUARTERLY&amp;VAR:RFIELD=FINALIZED&amp;VAR:DB_TYPE=&amp;VAR:UNITS=M&amp;window=popup&amp;width=450&amp;height=300&amp;START_MAXIMIZED=FALSE"}</definedName>
    <definedName name="_2643__FDSAUDITLINK__" hidden="1">{"fdsup://IBCentral/FAT Viewer?action=UPDATE&amp;creator=factset&amp;DOC_NAME=fat:reuters_qtrly_source_window.fat&amp;display_string=Audit&amp;DYN_ARGS=TRUE&amp;VAR:ID1=27886510&amp;VAR:RCODE=ATCA&amp;VAR:SDATE=20081299&amp;VAR:FREQ=DAILY&amp;VAR:RELITEM=&amp;VAR:CURRENCY=&amp;VAR:CURRSOURCE=EXSHARE&amp;","VAR:NATFREQ=QUARTERLY&amp;VAR:RFIELD=FINALIZED&amp;VAR:DB_TYPE=&amp;VAR:UNITS=M&amp;window=popup&amp;width=450&amp;height=300&amp;START_MAXIMIZED=FALSE"}</definedName>
    <definedName name="_2644__FDSAUDITLINK__" hidden="1">{"fdsup://IBCentral/FAT Viewer?action=UPDATE&amp;creator=factset&amp;DOC_NAME=fat:reuters_qtrly_source_window.fat&amp;display_string=Audit&amp;DYN_ARGS=TRUE&amp;VAR:ID1=27886510&amp;VAR:RCODE=ATOT&amp;VAR:SDATE=20081299&amp;VAR:FREQ=DAILY&amp;VAR:RELITEM=&amp;VAR:CURRENCY=&amp;VAR:CURRSOURCE=EXSHARE&amp;","VAR:NATFREQ=QUARTERLY&amp;VAR:RFIELD=FINALIZED&amp;VAR:DB_TYPE=&amp;VAR:UNITS=M&amp;window=popup&amp;width=450&amp;height=300&amp;START_MAXIMIZED=FALSE"}</definedName>
    <definedName name="_2645__FDSAUDITLINK__" hidden="1">{"fdsup://IBCentral/FAT Viewer?action=UPDATE&amp;creator=factset&amp;DOC_NAME=fat:reuters_qtrly_source_window.fat&amp;display_string=Audit&amp;DYN_ARGS=TRUE&amp;VAR:ID1=26000310&amp;VAR:RCODE=LTLL&amp;VAR:SDATE=20081299&amp;VAR:FREQ=DAILY&amp;VAR:RELITEM=&amp;VAR:CURRENCY=&amp;VAR:CURRSOURCE=EXSHARE&amp;","VAR:NATFREQ=QUARTERLY&amp;VAR:RFIELD=FINALIZED&amp;VAR:DB_TYPE=&amp;VAR:UNITS=M&amp;window=popup&amp;width=450&amp;height=300&amp;START_MAXIMIZED=FALSE"}</definedName>
    <definedName name="_2646__FDSAUDITLINK__" hidden="1">{"fdsup://IBCentral/FAT Viewer?action=UPDATE&amp;creator=factset&amp;DOC_NAME=fat:reuters_qtrly_source_window.fat&amp;display_string=Audit&amp;DYN_ARGS=TRUE&amp;VAR:ID1=26000310&amp;VAR:RCODE=LTCL&amp;VAR:SDATE=20081299&amp;VAR:FREQ=DAILY&amp;VAR:RELITEM=&amp;VAR:CURRENCY=&amp;VAR:CURRSOURCE=EXSHARE&amp;","VAR:NATFREQ=QUARTERLY&amp;VAR:RFIELD=FINALIZED&amp;VAR:DB_TYPE=&amp;VAR:UNITS=M&amp;window=popup&amp;width=450&amp;height=300&amp;START_MAXIMIZED=FALSE"}</definedName>
    <definedName name="_2647__FDSAUDITLINK__" hidden="1">{"fdsup://IBCentral/FAT Viewer?action=UPDATE&amp;creator=factset&amp;DOC_NAME=fat:reuters_qtrly_source_window.fat&amp;display_string=Audit&amp;DYN_ARGS=TRUE&amp;VAR:ID1=26000310&amp;VAR:RCODE=ATCA&amp;VAR:SDATE=20081299&amp;VAR:FREQ=DAILY&amp;VAR:RELITEM=&amp;VAR:CURRENCY=&amp;VAR:CURRSOURCE=EXSHARE&amp;","VAR:NATFREQ=QUARTERLY&amp;VAR:RFIELD=FINALIZED&amp;VAR:DB_TYPE=&amp;VAR:UNITS=M&amp;window=popup&amp;width=450&amp;height=300&amp;START_MAXIMIZED=FALSE"}</definedName>
    <definedName name="_2648__FDSAUDITLINK__" hidden="1">{"fdsup://IBCentral/FAT Viewer?action=UPDATE&amp;creator=factset&amp;DOC_NAME=fat:reuters_qtrly_source_window.fat&amp;display_string=Audit&amp;DYN_ARGS=TRUE&amp;VAR:ID1=26000310&amp;VAR:RCODE=ATOT&amp;VAR:SDATE=20081299&amp;VAR:FREQ=DAILY&amp;VAR:RELITEM=&amp;VAR:CURRENCY=&amp;VAR:CURRSOURCE=EXSHARE&amp;","VAR:NATFREQ=QUARTERLY&amp;VAR:RFIELD=FINALIZED&amp;VAR:DB_TYPE=&amp;VAR:UNITS=M&amp;window=popup&amp;width=450&amp;height=300&amp;START_MAXIMIZED=FALSE"}</definedName>
    <definedName name="_2649__FDSAUDITLINK__" hidden="1">{"fdsup://IBCentral/FAT Viewer?action=UPDATE&amp;creator=factset&amp;DOC_NAME=fat:reuters_qtrly_source_window.fat&amp;display_string=Audit&amp;DYN_ARGS=TRUE&amp;VAR:ID1=24702R10&amp;VAR:RCODE=LTLL&amp;VAR:SDATE=20081099&amp;VAR:FREQ=DAILY&amp;VAR:RELITEM=&amp;VAR:CURRENCY=&amp;VAR:CURRSOURCE=EXSHARE&amp;","VAR:NATFREQ=QUARTERLY&amp;VAR:RFIELD=FINALIZED&amp;VAR:DB_TYPE=&amp;VAR:UNITS=M&amp;window=popup&amp;width=450&amp;height=300&amp;START_MAXIMIZED=FALSE"}</definedName>
    <definedName name="_265__FDSAUDITLINK__" hidden="1">{"fdsup://Directions/FactSet Auditing Viewer?action=AUDIT_VALUE&amp;DB=129&amp;ID1=36960410&amp;VALUEID=02999&amp;SDATE=201001&amp;PERIODTYPE=QTR_STD&amp;window=popup_no_bar&amp;width=385&amp;height=120&amp;START_MAXIMIZED=FALSE&amp;creator=factset&amp;display_string=Audit"}</definedName>
    <definedName name="_2650__FDSAUDITLINK__" hidden="1">{"fdsup://IBCentral/FAT Viewer?action=UPDATE&amp;creator=factset&amp;DOC_NAME=fat:reuters_qtrly_source_window.fat&amp;display_string=Audit&amp;DYN_ARGS=TRUE&amp;VAR:ID1=24702R10&amp;VAR:RCODE=LTCL&amp;VAR:SDATE=20081099&amp;VAR:FREQ=DAILY&amp;VAR:RELITEM=&amp;VAR:CURRENCY=&amp;VAR:CURRSOURCE=EXSHARE&amp;","VAR:NATFREQ=QUARTERLY&amp;VAR:RFIELD=FINALIZED&amp;VAR:DB_TYPE=&amp;VAR:UNITS=M&amp;window=popup&amp;width=450&amp;height=300&amp;START_MAXIMIZED=FALSE"}</definedName>
    <definedName name="_2651__FDSAUDITLINK__" hidden="1">{"fdsup://IBCentral/FAT Viewer?action=UPDATE&amp;creator=factset&amp;DOC_NAME=fat:reuters_qtrly_source_window.fat&amp;display_string=Audit&amp;DYN_ARGS=TRUE&amp;VAR:ID1=24702R10&amp;VAR:RCODE=ATCA&amp;VAR:SDATE=20081099&amp;VAR:FREQ=DAILY&amp;VAR:RELITEM=&amp;VAR:CURRENCY=&amp;VAR:CURRSOURCE=EXSHARE&amp;","VAR:NATFREQ=QUARTERLY&amp;VAR:RFIELD=FINALIZED&amp;VAR:DB_TYPE=&amp;VAR:UNITS=M&amp;window=popup&amp;width=450&amp;height=300&amp;START_MAXIMIZED=FALSE"}</definedName>
    <definedName name="_2652__FDSAUDITLINK__" hidden="1">{"fdsup://IBCentral/FAT Viewer?action=UPDATE&amp;creator=factset&amp;DOC_NAME=fat:reuters_qtrly_source_window.fat&amp;display_string=Audit&amp;DYN_ARGS=TRUE&amp;VAR:ID1=24702R10&amp;VAR:RCODE=ATOT&amp;VAR:SDATE=20081099&amp;VAR:FREQ=DAILY&amp;VAR:RELITEM=&amp;VAR:CURRENCY=&amp;VAR:CURRSOURCE=EXSHARE&amp;","VAR:NATFREQ=QUARTERLY&amp;VAR:RFIELD=FINALIZED&amp;VAR:DB_TYPE=&amp;VAR:UNITS=M&amp;window=popup&amp;width=450&amp;height=300&amp;START_MAXIMIZED=FALSE"}</definedName>
    <definedName name="_2653__FDSAUDITLINK__" hidden="1">{"fdsup://IBCentral/FAT Viewer?action=UPDATE&amp;creator=factset&amp;DOC_NAME=fat:reuters_qtrly_source_window.fat&amp;display_string=Audit&amp;DYN_ARGS=TRUE&amp;VAR:ID1=23585110&amp;VAR:RCODE=LTLL&amp;VAR:SDATE=20081299&amp;VAR:FREQ=DAILY&amp;VAR:RELITEM=&amp;VAR:CURRENCY=&amp;VAR:CURRSOURCE=EXSHARE&amp;","VAR:NATFREQ=QUARTERLY&amp;VAR:RFIELD=FINALIZED&amp;VAR:DB_TYPE=&amp;VAR:UNITS=M&amp;window=popup&amp;width=450&amp;height=300&amp;START_MAXIMIZED=FALSE"}</definedName>
    <definedName name="_2654__FDSAUDITLINK__" hidden="1">{"fdsup://IBCentral/FAT Viewer?action=UPDATE&amp;creator=factset&amp;DOC_NAME=fat:reuters_qtrly_source_window.fat&amp;display_string=Audit&amp;DYN_ARGS=TRUE&amp;VAR:ID1=23585110&amp;VAR:RCODE=LTCL&amp;VAR:SDATE=20081299&amp;VAR:FREQ=DAILY&amp;VAR:RELITEM=&amp;VAR:CURRENCY=&amp;VAR:CURRSOURCE=EXSHARE&amp;","VAR:NATFREQ=QUARTERLY&amp;VAR:RFIELD=FINALIZED&amp;VAR:DB_TYPE=&amp;VAR:UNITS=M&amp;window=popup&amp;width=450&amp;height=300&amp;START_MAXIMIZED=FALSE"}</definedName>
    <definedName name="_2655__FDSAUDITLINK__" hidden="1">{"fdsup://IBCentral/FAT Viewer?action=UPDATE&amp;creator=factset&amp;DOC_NAME=fat:reuters_qtrly_source_window.fat&amp;display_string=Audit&amp;DYN_ARGS=TRUE&amp;VAR:ID1=23585110&amp;VAR:RCODE=ATCA&amp;VAR:SDATE=20081299&amp;VAR:FREQ=DAILY&amp;VAR:RELITEM=&amp;VAR:CURRENCY=&amp;VAR:CURRSOURCE=EXSHARE&amp;","VAR:NATFREQ=QUARTERLY&amp;VAR:RFIELD=FINALIZED&amp;VAR:DB_TYPE=&amp;VAR:UNITS=M&amp;window=popup&amp;width=450&amp;height=300&amp;START_MAXIMIZED=FALSE"}</definedName>
    <definedName name="_2656__FDSAUDITLINK__" hidden="1">{"fdsup://IBCentral/FAT Viewer?action=UPDATE&amp;creator=factset&amp;DOC_NAME=fat:reuters_qtrly_source_window.fat&amp;display_string=Audit&amp;DYN_ARGS=TRUE&amp;VAR:ID1=23585110&amp;VAR:RCODE=ATOT&amp;VAR:SDATE=20081299&amp;VAR:FREQ=DAILY&amp;VAR:RELITEM=&amp;VAR:CURRENCY=&amp;VAR:CURRSOURCE=EXSHARE&amp;","VAR:NATFREQ=QUARTERLY&amp;VAR:RFIELD=FINALIZED&amp;VAR:DB_TYPE=&amp;VAR:UNITS=M&amp;window=popup&amp;width=450&amp;height=300&amp;START_MAXIMIZED=FALSE"}</definedName>
    <definedName name="_2657__FDSAUDITLINK__" hidden="1">{"fdsup://IBCentral/FAT Viewer?action=UPDATE&amp;creator=factset&amp;DOC_NAME=fat:reuters_qtrly_source_window.fat&amp;display_string=Audit&amp;DYN_ARGS=TRUE&amp;VAR:ID1=22160K10&amp;VAR:RCODE=LTLL&amp;VAR:SDATE=20081199&amp;VAR:FREQ=DAILY&amp;VAR:RELITEM=&amp;VAR:CURRENCY=&amp;VAR:CURRSOURCE=EXSHARE&amp;","VAR:NATFREQ=QUARTERLY&amp;VAR:RFIELD=FINALIZED&amp;VAR:DB_TYPE=&amp;VAR:UNITS=M&amp;window=popup&amp;width=450&amp;height=300&amp;START_MAXIMIZED=FALSE"}</definedName>
    <definedName name="_2658__FDSAUDITLINK__" hidden="1">{"fdsup://IBCentral/FAT Viewer?action=UPDATE&amp;creator=factset&amp;DOC_NAME=fat:reuters_qtrly_source_window.fat&amp;display_string=Audit&amp;DYN_ARGS=TRUE&amp;VAR:ID1=22160K10&amp;VAR:RCODE=LTCL&amp;VAR:SDATE=20081199&amp;VAR:FREQ=DAILY&amp;VAR:RELITEM=&amp;VAR:CURRENCY=&amp;VAR:CURRSOURCE=EXSHARE&amp;","VAR:NATFREQ=QUARTERLY&amp;VAR:RFIELD=FINALIZED&amp;VAR:DB_TYPE=&amp;VAR:UNITS=M&amp;window=popup&amp;width=450&amp;height=300&amp;START_MAXIMIZED=FALSE"}</definedName>
    <definedName name="_2659__FDSAUDITLINK__" hidden="1">{"fdsup://IBCentral/FAT Viewer?action=UPDATE&amp;creator=factset&amp;DOC_NAME=fat:reuters_qtrly_source_window.fat&amp;display_string=Audit&amp;DYN_ARGS=TRUE&amp;VAR:ID1=22160K10&amp;VAR:RCODE=ATCA&amp;VAR:SDATE=20081199&amp;VAR:FREQ=DAILY&amp;VAR:RELITEM=&amp;VAR:CURRENCY=&amp;VAR:CURRSOURCE=EXSHARE&amp;","VAR:NATFREQ=QUARTERLY&amp;VAR:RFIELD=FINALIZED&amp;VAR:DB_TYPE=&amp;VAR:UNITS=M&amp;window=popup&amp;width=450&amp;height=300&amp;START_MAXIMIZED=FALSE"}</definedName>
    <definedName name="_266__FDSAUDITLINK__" hidden="1">{"fdsup://Directions/FactSet Auditing Viewer?action=AUDIT_VALUE&amp;DB=129&amp;ID1=Y2693R10&amp;VALUEID=02999&amp;SDATE=201001&amp;PERIODTYPE=QTR_STD&amp;window=popup_no_bar&amp;width=385&amp;height=120&amp;START_MAXIMIZED=FALSE&amp;creator=factset&amp;display_string=Audit"}</definedName>
    <definedName name="_2660__FDSAUDITLINK__" hidden="1">{"fdsup://IBCentral/FAT Viewer?action=UPDATE&amp;creator=factset&amp;DOC_NAME=fat:reuters_qtrly_source_window.fat&amp;display_string=Audit&amp;DYN_ARGS=TRUE&amp;VAR:ID1=22160K10&amp;VAR:RCODE=ATOT&amp;VAR:SDATE=20081199&amp;VAR:FREQ=DAILY&amp;VAR:RELITEM=&amp;VAR:CURRENCY=&amp;VAR:CURRSOURCE=EXSHARE&amp;","VAR:NATFREQ=QUARTERLY&amp;VAR:RFIELD=FINALIZED&amp;VAR:DB_TYPE=&amp;VAR:UNITS=M&amp;window=popup&amp;width=450&amp;height=300&amp;START_MAXIMIZED=FALSE"}</definedName>
    <definedName name="_2661__FDSAUDITLINK__" hidden="1">{"fdsup://IBCentral/FAT Viewer?action=UPDATE&amp;creator=factset&amp;DOC_NAME=fat:reuters_qtrly_source_window.fat&amp;display_string=Audit&amp;DYN_ARGS=TRUE&amp;VAR:ID1=13442910&amp;VAR:RCODE=LTLL&amp;VAR:SDATE=20081099&amp;VAR:FREQ=DAILY&amp;VAR:RELITEM=&amp;VAR:CURRENCY=&amp;VAR:CURRSOURCE=EXSHARE&amp;","VAR:NATFREQ=QUARTERLY&amp;VAR:RFIELD=FINALIZED&amp;VAR:DB_TYPE=&amp;VAR:UNITS=M&amp;window=popup&amp;width=450&amp;height=300&amp;START_MAXIMIZED=FALSE"}</definedName>
    <definedName name="_2662__FDSAUDITLINK__" hidden="1">{"fdsup://IBCentral/FAT Viewer?action=UPDATE&amp;creator=factset&amp;DOC_NAME=fat:reuters_qtrly_source_window.fat&amp;display_string=Audit&amp;DYN_ARGS=TRUE&amp;VAR:ID1=13442910&amp;VAR:RCODE=LTCL&amp;VAR:SDATE=20081099&amp;VAR:FREQ=DAILY&amp;VAR:RELITEM=&amp;VAR:CURRENCY=&amp;VAR:CURRSOURCE=EXSHARE&amp;","VAR:NATFREQ=QUARTERLY&amp;VAR:RFIELD=FINALIZED&amp;VAR:DB_TYPE=&amp;VAR:UNITS=M&amp;window=popup&amp;width=450&amp;height=300&amp;START_MAXIMIZED=FALSE"}</definedName>
    <definedName name="_2663__FDSAUDITLINK__" hidden="1">{"fdsup://IBCentral/FAT Viewer?action=UPDATE&amp;creator=factset&amp;DOC_NAME=fat:reuters_qtrly_source_window.fat&amp;display_string=Audit&amp;DYN_ARGS=TRUE&amp;VAR:ID1=13442910&amp;VAR:RCODE=ATCA&amp;VAR:SDATE=20081099&amp;VAR:FREQ=DAILY&amp;VAR:RELITEM=&amp;VAR:CURRENCY=&amp;VAR:CURRSOURCE=EXSHARE&amp;","VAR:NATFREQ=QUARTERLY&amp;VAR:RFIELD=FINALIZED&amp;VAR:DB_TYPE=&amp;VAR:UNITS=M&amp;window=popup&amp;width=450&amp;height=300&amp;START_MAXIMIZED=FALSE"}</definedName>
    <definedName name="_2664__FDSAUDITLINK__" hidden="1">{"fdsup://IBCentral/FAT Viewer?action=UPDATE&amp;creator=factset&amp;DOC_NAME=fat:reuters_qtrly_source_window.fat&amp;display_string=Audit&amp;DYN_ARGS=TRUE&amp;VAR:ID1=13442910&amp;VAR:RCODE=ATOT&amp;VAR:SDATE=20081099&amp;VAR:FREQ=DAILY&amp;VAR:RELITEM=&amp;VAR:CURRENCY=&amp;VAR:CURRSOURCE=EXSHARE&amp;","VAR:NATFREQ=QUARTERLY&amp;VAR:RFIELD=FINALIZED&amp;VAR:DB_TYPE=&amp;VAR:UNITS=M&amp;window=popup&amp;width=450&amp;height=300&amp;START_MAXIMIZED=FALSE"}</definedName>
    <definedName name="_2665__FDSAUDITLINK__" hidden="1">{"fdsup://IBCentral/FAT Viewer?action=UPDATE&amp;creator=factset&amp;DOC_NAME=fat:reuters_qtrly_source_window.fat&amp;display_string=Audit&amp;DYN_ARGS=TRUE&amp;VAR:ID1=11012210&amp;VAR:RCODE=LTLL&amp;VAR:SDATE=20081299&amp;VAR:FREQ=DAILY&amp;VAR:RELITEM=&amp;VAR:CURRENCY=&amp;VAR:CURRSOURCE=EXSHARE&amp;","VAR:NATFREQ=QUARTERLY&amp;VAR:RFIELD=FINALIZED&amp;VAR:DB_TYPE=&amp;VAR:UNITS=M&amp;window=popup&amp;width=450&amp;height=300&amp;START_MAXIMIZED=FALSE"}</definedName>
    <definedName name="_2666__FDSAUDITLINK__" hidden="1">{"fdsup://IBCentral/FAT Viewer?action=UPDATE&amp;creator=factset&amp;DOC_NAME=fat:reuters_qtrly_source_window.fat&amp;display_string=Audit&amp;DYN_ARGS=TRUE&amp;VAR:ID1=11012210&amp;VAR:RCODE=LTCL&amp;VAR:SDATE=20081299&amp;VAR:FREQ=DAILY&amp;VAR:RELITEM=&amp;VAR:CURRENCY=&amp;VAR:CURRSOURCE=EXSHARE&amp;","VAR:NATFREQ=QUARTERLY&amp;VAR:RFIELD=FINALIZED&amp;VAR:DB_TYPE=&amp;VAR:UNITS=M&amp;window=popup&amp;width=450&amp;height=300&amp;START_MAXIMIZED=FALSE"}</definedName>
    <definedName name="_2667__FDSAUDITLINK__" hidden="1">{"fdsup://IBCentral/FAT Viewer?action=UPDATE&amp;creator=factset&amp;DOC_NAME=fat:reuters_qtrly_source_window.fat&amp;display_string=Audit&amp;DYN_ARGS=TRUE&amp;VAR:ID1=11012210&amp;VAR:RCODE=ATCA&amp;VAR:SDATE=20081299&amp;VAR:FREQ=DAILY&amp;VAR:RELITEM=&amp;VAR:CURRENCY=&amp;VAR:CURRSOURCE=EXSHARE&amp;","VAR:NATFREQ=QUARTERLY&amp;VAR:RFIELD=FINALIZED&amp;VAR:DB_TYPE=&amp;VAR:UNITS=M&amp;window=popup&amp;width=450&amp;height=300&amp;START_MAXIMIZED=FALSE"}</definedName>
    <definedName name="_2668__FDSAUDITLINK__" hidden="1">{"fdsup://IBCentral/FAT Viewer?action=UPDATE&amp;creator=factset&amp;DOC_NAME=fat:reuters_qtrly_source_window.fat&amp;display_string=Audit&amp;DYN_ARGS=TRUE&amp;VAR:ID1=11012210&amp;VAR:RCODE=ATOT&amp;VAR:SDATE=20081299&amp;VAR:FREQ=DAILY&amp;VAR:RELITEM=&amp;VAR:CURRENCY=&amp;VAR:CURRSOURCE=EXSHARE&amp;","VAR:NATFREQ=QUARTERLY&amp;VAR:RFIELD=FINALIZED&amp;VAR:DB_TYPE=&amp;VAR:UNITS=M&amp;window=popup&amp;width=450&amp;height=300&amp;START_MAXIMIZED=FALSE"}</definedName>
    <definedName name="_2669__FDSAUDITLINK__" hidden="1">{"fdsup://IBCentral/FAT Viewer?action=UPDATE&amp;creator=factset&amp;DOC_NAME=fat:reuters_qtrly_source_window.fat&amp;display_string=Audit&amp;DYN_ARGS=TRUE&amp;VAR:ID1=09702310&amp;VAR:RCODE=LTLL&amp;VAR:SDATE=20081299&amp;VAR:FREQ=DAILY&amp;VAR:RELITEM=&amp;VAR:CURRENCY=&amp;VAR:CURRSOURCE=EXSHARE&amp;","VAR:NATFREQ=QUARTERLY&amp;VAR:RFIELD=FINALIZED&amp;VAR:DB_TYPE=&amp;VAR:UNITS=M&amp;window=popup&amp;width=450&amp;height=300&amp;START_MAXIMIZED=FALSE"}</definedName>
    <definedName name="_267__FDSAUDITLINK__" hidden="1">{"fdsup://Directions/FactSet Auditing Viewer?action=AUDIT_VALUE&amp;DB=129&amp;ID1=37153210&amp;VALUEID=02999&amp;SDATE=201001&amp;PERIODTYPE=QTR_STD&amp;window=popup_no_bar&amp;width=385&amp;height=120&amp;START_MAXIMIZED=FALSE&amp;creator=factset&amp;display_string=Audit"}</definedName>
    <definedName name="_2670__FDSAUDITLINK__" hidden="1">{"fdsup://IBCentral/FAT Viewer?action=UPDATE&amp;creator=factset&amp;DOC_NAME=fat:reuters_qtrly_source_window.fat&amp;display_string=Audit&amp;DYN_ARGS=TRUE&amp;VAR:ID1=09702310&amp;VAR:RCODE=LTCL&amp;VAR:SDATE=20081299&amp;VAR:FREQ=DAILY&amp;VAR:RELITEM=&amp;VAR:CURRENCY=&amp;VAR:CURRSOURCE=EXSHARE&amp;","VAR:NATFREQ=QUARTERLY&amp;VAR:RFIELD=FINALIZED&amp;VAR:DB_TYPE=&amp;VAR:UNITS=M&amp;window=popup&amp;width=450&amp;height=300&amp;START_MAXIMIZED=FALSE"}</definedName>
    <definedName name="_2671__FDSAUDITLINK__" hidden="1">{"fdsup://IBCentral/FAT Viewer?action=UPDATE&amp;creator=factset&amp;DOC_NAME=fat:reuters_qtrly_source_window.fat&amp;display_string=Audit&amp;DYN_ARGS=TRUE&amp;VAR:ID1=09702310&amp;VAR:RCODE=ATCA&amp;VAR:SDATE=20081299&amp;VAR:FREQ=DAILY&amp;VAR:RELITEM=&amp;VAR:CURRENCY=&amp;VAR:CURRSOURCE=EXSHARE&amp;","VAR:NATFREQ=QUARTERLY&amp;VAR:RFIELD=FINALIZED&amp;VAR:DB_TYPE=&amp;VAR:UNITS=M&amp;window=popup&amp;width=450&amp;height=300&amp;START_MAXIMIZED=FALSE"}</definedName>
    <definedName name="_2672__FDSAUDITLINK__" hidden="1">{"fdsup://IBCentral/FAT Viewer?action=UPDATE&amp;creator=factset&amp;DOC_NAME=fat:reuters_qtrly_source_window.fat&amp;display_string=Audit&amp;DYN_ARGS=TRUE&amp;VAR:ID1=09702310&amp;VAR:RCODE=ATOT&amp;VAR:SDATE=20081299&amp;VAR:FREQ=DAILY&amp;VAR:RELITEM=&amp;VAR:CURRENCY=&amp;VAR:CURRSOURCE=EXSHARE&amp;","VAR:NATFREQ=QUARTERLY&amp;VAR:RFIELD=FINALIZED&amp;VAR:DB_TYPE=&amp;VAR:UNITS=M&amp;window=popup&amp;width=450&amp;height=300&amp;START_MAXIMIZED=FALSE"}</definedName>
    <definedName name="_2673__FDSAUDITLINK__" hidden="1">{"fdsup://IBCentral/FAT Viewer?action=UPDATE&amp;creator=factset&amp;DOC_NAME=fat:reuters_qtrly_source_window.fat&amp;display_string=Audit&amp;DYN_ARGS=TRUE&amp;VAR:ID1=07588710&amp;VAR:RCODE=LTLL&amp;VAR:SDATE=20081299&amp;VAR:FREQ=DAILY&amp;VAR:RELITEM=&amp;VAR:CURRENCY=&amp;VAR:CURRSOURCE=EXSHARE&amp;","VAR:NATFREQ=QUARTERLY&amp;VAR:RFIELD=FINALIZED&amp;VAR:DB_TYPE=&amp;VAR:UNITS=M&amp;window=popup&amp;width=450&amp;height=300&amp;START_MAXIMIZED=FALSE"}</definedName>
    <definedName name="_2674__FDSAUDITLINK__" hidden="1">{"fdsup://IBCentral/FAT Viewer?action=UPDATE&amp;creator=factset&amp;DOC_NAME=fat:reuters_qtrly_source_window.fat&amp;display_string=Audit&amp;DYN_ARGS=TRUE&amp;VAR:ID1=07588710&amp;VAR:RCODE=LTCL&amp;VAR:SDATE=20081299&amp;VAR:FREQ=DAILY&amp;VAR:RELITEM=&amp;VAR:CURRENCY=&amp;VAR:CURRSOURCE=EXSHARE&amp;","VAR:NATFREQ=QUARTERLY&amp;VAR:RFIELD=FINALIZED&amp;VAR:DB_TYPE=&amp;VAR:UNITS=M&amp;window=popup&amp;width=450&amp;height=300&amp;START_MAXIMIZED=FALSE"}</definedName>
    <definedName name="_2675__FDSAUDITLINK__" hidden="1">{"fdsup://IBCentral/FAT Viewer?action=UPDATE&amp;creator=factset&amp;DOC_NAME=fat:reuters_qtrly_source_window.fat&amp;display_string=Audit&amp;DYN_ARGS=TRUE&amp;VAR:ID1=07588710&amp;VAR:RCODE=ATCA&amp;VAR:SDATE=20081299&amp;VAR:FREQ=DAILY&amp;VAR:RELITEM=&amp;VAR:CURRENCY=&amp;VAR:CURRSOURCE=EXSHARE&amp;","VAR:NATFREQ=QUARTERLY&amp;VAR:RFIELD=FINALIZED&amp;VAR:DB_TYPE=&amp;VAR:UNITS=M&amp;window=popup&amp;width=450&amp;height=300&amp;START_MAXIMIZED=FALSE"}</definedName>
    <definedName name="_2676__FDSAUDITLINK__" hidden="1">{"fdsup://IBCentral/FAT Viewer?action=UPDATE&amp;creator=factset&amp;DOC_NAME=fat:reuters_qtrly_source_window.fat&amp;display_string=Audit&amp;DYN_ARGS=TRUE&amp;VAR:ID1=07588710&amp;VAR:RCODE=ATOT&amp;VAR:SDATE=20081299&amp;VAR:FREQ=DAILY&amp;VAR:RELITEM=&amp;VAR:CURRENCY=&amp;VAR:CURRSOURCE=EXSHARE&amp;","VAR:NATFREQ=QUARTERLY&amp;VAR:RFIELD=FINALIZED&amp;VAR:DB_TYPE=&amp;VAR:UNITS=M&amp;window=popup&amp;width=450&amp;height=300&amp;START_MAXIMIZED=FALSE"}</definedName>
    <definedName name="_2677__FDSAUDITLINK__" hidden="1">{"fdsup://IBCentral/FAT Viewer?action=UPDATE&amp;creator=factset&amp;DOC_NAME=fat:reuters_qtrly_source_window.fat&amp;display_string=Audit&amp;DYN_ARGS=TRUE&amp;VAR:ID1=05722410&amp;VAR:RCODE=LTLL&amp;VAR:SDATE=20081299&amp;VAR:FREQ=DAILY&amp;VAR:RELITEM=&amp;VAR:CURRENCY=&amp;VAR:CURRSOURCE=EXSHARE&amp;","VAR:NATFREQ=QUARTERLY&amp;VAR:RFIELD=FINALIZED&amp;VAR:DB_TYPE=&amp;VAR:UNITS=M&amp;window=popup&amp;width=450&amp;height=300&amp;START_MAXIMIZED=FALSE"}</definedName>
    <definedName name="_2678__FDSAUDITLINK__" hidden="1">{"fdsup://IBCentral/FAT Viewer?action=UPDATE&amp;creator=factset&amp;DOC_NAME=fat:reuters_qtrly_source_window.fat&amp;display_string=Audit&amp;DYN_ARGS=TRUE&amp;VAR:ID1=05722410&amp;VAR:RCODE=LTCL&amp;VAR:SDATE=20081299&amp;VAR:FREQ=DAILY&amp;VAR:RELITEM=&amp;VAR:CURRENCY=&amp;VAR:CURRSOURCE=EXSHARE&amp;","VAR:NATFREQ=QUARTERLY&amp;VAR:RFIELD=FINALIZED&amp;VAR:DB_TYPE=&amp;VAR:UNITS=M&amp;window=popup&amp;width=450&amp;height=300&amp;START_MAXIMIZED=FALSE"}</definedName>
    <definedName name="_2679__FDSAUDITLINK__" hidden="1">{"fdsup://IBCentral/FAT Viewer?action=UPDATE&amp;creator=factset&amp;DOC_NAME=fat:reuters_qtrly_source_window.fat&amp;display_string=Audit&amp;DYN_ARGS=TRUE&amp;VAR:ID1=05722410&amp;VAR:RCODE=ATCA&amp;VAR:SDATE=20081299&amp;VAR:FREQ=DAILY&amp;VAR:RELITEM=&amp;VAR:CURRENCY=&amp;VAR:CURRSOURCE=EXSHARE&amp;","VAR:NATFREQ=QUARTERLY&amp;VAR:RFIELD=FINALIZED&amp;VAR:DB_TYPE=&amp;VAR:UNITS=M&amp;window=popup&amp;width=450&amp;height=300&amp;START_MAXIMIZED=FALSE"}</definedName>
    <definedName name="_268__FDSAUDITLINK__" hidden="1">{"fdsup://Directions/FactSet Auditing Viewer?action=AUDIT_VALUE&amp;DB=129&amp;ID1=37247A10&amp;VALUEID=02999&amp;SDATE=201001&amp;PERIODTYPE=QTR_STD&amp;window=popup_no_bar&amp;width=385&amp;height=120&amp;START_MAXIMIZED=FALSE&amp;creator=factset&amp;display_string=Audit"}</definedName>
    <definedName name="_2680__FDSAUDITLINK__" hidden="1">{"fdsup://IBCentral/FAT Viewer?action=UPDATE&amp;creator=factset&amp;DOC_NAME=fat:reuters_qtrly_source_window.fat&amp;display_string=Audit&amp;DYN_ARGS=TRUE&amp;VAR:ID1=05722410&amp;VAR:RCODE=ATOT&amp;VAR:SDATE=20081299&amp;VAR:FREQ=DAILY&amp;VAR:RELITEM=&amp;VAR:CURRENCY=&amp;VAR:CURRSOURCE=EXSHARE&amp;","VAR:NATFREQ=QUARTERLY&amp;VAR:RFIELD=FINALIZED&amp;VAR:DB_TYPE=&amp;VAR:UNITS=M&amp;window=popup&amp;width=450&amp;height=300&amp;START_MAXIMIZED=FALSE"}</definedName>
    <definedName name="_2681__FDSAUDITLINK__" hidden="1">{"fdsup://IBCentral/FAT Viewer?action=UPDATE&amp;creator=factset&amp;DOC_NAME=fat:reuters_qtrly_source_window.fat&amp;display_string=Audit&amp;DYN_ARGS=TRUE&amp;VAR:ID1=05430310&amp;VAR:RCODE=LTLL&amp;VAR:SDATE=20081299&amp;VAR:FREQ=DAILY&amp;VAR:RELITEM=&amp;VAR:CURRENCY=&amp;VAR:CURRSOURCE=EXSHARE&amp;","VAR:NATFREQ=QUARTERLY&amp;VAR:RFIELD=FINALIZED&amp;VAR:DB_TYPE=&amp;VAR:UNITS=M&amp;window=popup&amp;width=450&amp;height=300&amp;START_MAXIMIZED=FALSE"}</definedName>
    <definedName name="_2682__FDSAUDITLINK__" hidden="1">{"fdsup://IBCentral/FAT Viewer?action=UPDATE&amp;creator=factset&amp;DOC_NAME=fat:reuters_qtrly_source_window.fat&amp;display_string=Audit&amp;DYN_ARGS=TRUE&amp;VAR:ID1=05430310&amp;VAR:RCODE=LTCL&amp;VAR:SDATE=20081299&amp;VAR:FREQ=DAILY&amp;VAR:RELITEM=&amp;VAR:CURRENCY=&amp;VAR:CURRSOURCE=EXSHARE&amp;","VAR:NATFREQ=QUARTERLY&amp;VAR:RFIELD=FINALIZED&amp;VAR:DB_TYPE=&amp;VAR:UNITS=M&amp;window=popup&amp;width=450&amp;height=300&amp;START_MAXIMIZED=FALSE"}</definedName>
    <definedName name="_2683__FDSAUDITLINK__" hidden="1">{"fdsup://IBCentral/FAT Viewer?action=UPDATE&amp;creator=factset&amp;DOC_NAME=fat:reuters_qtrly_source_window.fat&amp;display_string=Audit&amp;DYN_ARGS=TRUE&amp;VAR:ID1=05430310&amp;VAR:RCODE=ATCA&amp;VAR:SDATE=20081299&amp;VAR:FREQ=DAILY&amp;VAR:RELITEM=&amp;VAR:CURRENCY=&amp;VAR:CURRSOURCE=EXSHARE&amp;","VAR:NATFREQ=QUARTERLY&amp;VAR:RFIELD=FINALIZED&amp;VAR:DB_TYPE=&amp;VAR:UNITS=M&amp;window=popup&amp;width=450&amp;height=300&amp;START_MAXIMIZED=FALSE"}</definedName>
    <definedName name="_2684__FDSAUDITLINK__" hidden="1">{"fdsup://IBCentral/FAT Viewer?action=UPDATE&amp;creator=factset&amp;DOC_NAME=fat:reuters_qtrly_source_window.fat&amp;display_string=Audit&amp;DYN_ARGS=TRUE&amp;VAR:ID1=05430310&amp;VAR:RCODE=ATOT&amp;VAR:SDATE=20081299&amp;VAR:FREQ=DAILY&amp;VAR:RELITEM=&amp;VAR:CURRENCY=&amp;VAR:CURRSOURCE=EXSHARE&amp;","VAR:NATFREQ=QUARTERLY&amp;VAR:RFIELD=FINALIZED&amp;VAR:DB_TYPE=&amp;VAR:UNITS=M&amp;window=popup&amp;width=450&amp;height=300&amp;START_MAXIMIZED=FALSE"}</definedName>
    <definedName name="_2685__FDSAUDITLINK__" hidden="1">{"fdsup://IBCentral/FAT Viewer?action=UPDATE&amp;creator=factset&amp;DOC_NAME=fat:reuters_qtrly_source_window.fat&amp;display_string=Audit&amp;DYN_ARGS=TRUE&amp;VAR:ID1=00206R10&amp;VAR:RCODE=LTLL&amp;VAR:SDATE=20081299&amp;VAR:FREQ=DAILY&amp;VAR:RELITEM=&amp;VAR:CURRENCY=&amp;VAR:CURRSOURCE=EXSHARE&amp;","VAR:NATFREQ=QUARTERLY&amp;VAR:RFIELD=FINALIZED&amp;VAR:DB_TYPE=&amp;VAR:UNITS=M&amp;window=popup&amp;width=450&amp;height=300&amp;START_MAXIMIZED=FALSE"}</definedName>
    <definedName name="_2686__FDSAUDITLINK__" hidden="1">{"fdsup://IBCentral/FAT Viewer?action=UPDATE&amp;creator=factset&amp;DOC_NAME=fat:reuters_qtrly_source_window.fat&amp;display_string=Audit&amp;DYN_ARGS=TRUE&amp;VAR:ID1=00206R10&amp;VAR:RCODE=LTCL&amp;VAR:SDATE=20081299&amp;VAR:FREQ=DAILY&amp;VAR:RELITEM=&amp;VAR:CURRENCY=&amp;VAR:CURRSOURCE=EXSHARE&amp;","VAR:NATFREQ=QUARTERLY&amp;VAR:RFIELD=FINALIZED&amp;VAR:DB_TYPE=&amp;VAR:UNITS=M&amp;window=popup&amp;width=450&amp;height=300&amp;START_MAXIMIZED=FALSE"}</definedName>
    <definedName name="_2687__FDSAUDITLINK__" hidden="1">{"fdsup://IBCentral/FAT Viewer?action=UPDATE&amp;creator=factset&amp;DOC_NAME=fat:reuters_qtrly_source_window.fat&amp;display_string=Audit&amp;DYN_ARGS=TRUE&amp;VAR:ID1=00206R10&amp;VAR:RCODE=ATCA&amp;VAR:SDATE=20081299&amp;VAR:FREQ=DAILY&amp;VAR:RELITEM=&amp;VAR:CURRENCY=&amp;VAR:CURRSOURCE=EXSHARE&amp;","VAR:NATFREQ=QUARTERLY&amp;VAR:RFIELD=FINALIZED&amp;VAR:DB_TYPE=&amp;VAR:UNITS=M&amp;window=popup&amp;width=450&amp;height=300&amp;START_MAXIMIZED=FALSE"}</definedName>
    <definedName name="_2688__FDSAUDITLINK__" hidden="1">{"fdsup://IBCentral/FAT Viewer?action=UPDATE&amp;creator=factset&amp;DOC_NAME=fat:reuters_qtrly_source_window.fat&amp;display_string=Audit&amp;DYN_ARGS=TRUE&amp;VAR:ID1=00206R10&amp;VAR:RCODE=ATOT&amp;VAR:SDATE=20081299&amp;VAR:FREQ=DAILY&amp;VAR:RELITEM=&amp;VAR:CURRENCY=&amp;VAR:CURRSOURCE=EXSHARE&amp;","VAR:NATFREQ=QUARTERLY&amp;VAR:RFIELD=FINALIZED&amp;VAR:DB_TYPE=&amp;VAR:UNITS=M&amp;window=popup&amp;width=450&amp;height=300&amp;START_MAXIMIZED=FALSE"}</definedName>
    <definedName name="_2689__FDSAUDITLINK__" hidden="1">{"fdsup://IBCentral/FAT Viewer?action=UPDATE&amp;creator=factset&amp;DOC_NAME=fat:reuters_qtrly_source_window.fat&amp;display_string=Audit&amp;DYN_ARGS=TRUE&amp;VAR:ID1=03948310&amp;VAR:RCODE=LTLL&amp;VAR:SDATE=20081299&amp;VAR:FREQ=DAILY&amp;VAR:RELITEM=&amp;VAR:CURRENCY=&amp;VAR:CURRSOURCE=EXSHARE&amp;","VAR:NATFREQ=QUARTERLY&amp;VAR:RFIELD=FINALIZED&amp;VAR:DB_TYPE=&amp;VAR:UNITS=M&amp;window=popup&amp;width=450&amp;height=300&amp;START_MAXIMIZED=FALSE"}</definedName>
    <definedName name="_269__FDSAUDITLINK__" hidden="1">{"fdsup://Directions/FactSet Auditing Viewer?action=AUDIT_VALUE&amp;DB=129&amp;ID1=37291710&amp;VALUEID=02999&amp;SDATE=201001&amp;PERIODTYPE=QTR_STD&amp;window=popup_no_bar&amp;width=385&amp;height=120&amp;START_MAXIMIZED=FALSE&amp;creator=factset&amp;display_string=Audit"}</definedName>
    <definedName name="_2690__FDSAUDITLINK__" hidden="1">{"fdsup://IBCentral/FAT Viewer?action=UPDATE&amp;creator=factset&amp;DOC_NAME=fat:reuters_qtrly_source_window.fat&amp;display_string=Audit&amp;DYN_ARGS=TRUE&amp;VAR:ID1=03948310&amp;VAR:RCODE=LTCL&amp;VAR:SDATE=20081299&amp;VAR:FREQ=DAILY&amp;VAR:RELITEM=&amp;VAR:CURRENCY=&amp;VAR:CURRSOURCE=EXSHARE&amp;","VAR:NATFREQ=QUARTERLY&amp;VAR:RFIELD=FINALIZED&amp;VAR:DB_TYPE=&amp;VAR:UNITS=M&amp;window=popup&amp;width=450&amp;height=300&amp;START_MAXIMIZED=FALSE"}</definedName>
    <definedName name="_2691__FDSAUDITLINK__" hidden="1">{"fdsup://IBCentral/FAT Viewer?action=UPDATE&amp;creator=factset&amp;DOC_NAME=fat:reuters_qtrly_source_window.fat&amp;display_string=Audit&amp;DYN_ARGS=TRUE&amp;VAR:ID1=03948310&amp;VAR:RCODE=ATCA&amp;VAR:SDATE=20081299&amp;VAR:FREQ=DAILY&amp;VAR:RELITEM=&amp;VAR:CURRENCY=&amp;VAR:CURRSOURCE=EXSHARE&amp;","VAR:NATFREQ=QUARTERLY&amp;VAR:RFIELD=FINALIZED&amp;VAR:DB_TYPE=&amp;VAR:UNITS=M&amp;window=popup&amp;width=450&amp;height=300&amp;START_MAXIMIZED=FALSE"}</definedName>
    <definedName name="_2692__FDSAUDITLINK__" hidden="1">{"fdsup://IBCentral/FAT Viewer?action=UPDATE&amp;creator=factset&amp;DOC_NAME=fat:reuters_qtrly_source_window.fat&amp;display_string=Audit&amp;DYN_ARGS=TRUE&amp;VAR:ID1=03948310&amp;VAR:RCODE=ATOT&amp;VAR:SDATE=20081299&amp;VAR:FREQ=DAILY&amp;VAR:RELITEM=&amp;VAR:CURRENCY=&amp;VAR:CURRSOURCE=EXSHARE&amp;","VAR:NATFREQ=QUARTERLY&amp;VAR:RFIELD=FINALIZED&amp;VAR:DB_TYPE=&amp;VAR:UNITS=M&amp;window=popup&amp;width=450&amp;height=300&amp;START_MAXIMIZED=FALSE"}</definedName>
    <definedName name="_2693__FDSAUDITLINK__" hidden="1">{"fdsup://IBCentral/FAT Viewer?action=UPDATE&amp;creator=factset&amp;DOC_NAME=fat:reuters_qtrly_source_window.fat&amp;display_string=Audit&amp;DYN_ARGS=TRUE&amp;VAR:ID1=00915810&amp;VAR:RCODE=LTLL&amp;VAR:SDATE=20081299&amp;VAR:FREQ=DAILY&amp;VAR:RELITEM=&amp;VAR:CURRENCY=&amp;VAR:CURRSOURCE=EXSHARE&amp;","VAR:NATFREQ=QUARTERLY&amp;VAR:RFIELD=FINALIZED&amp;VAR:DB_TYPE=&amp;VAR:UNITS=M&amp;window=popup&amp;width=450&amp;height=300&amp;START_MAXIMIZED=FALSE"}</definedName>
    <definedName name="_2694__FDSAUDITLINK__" hidden="1">{"fdsup://IBCentral/FAT Viewer?action=UPDATE&amp;creator=factset&amp;DOC_NAME=fat:reuters_qtrly_source_window.fat&amp;display_string=Audit&amp;DYN_ARGS=TRUE&amp;VAR:ID1=00915810&amp;VAR:RCODE=LTCL&amp;VAR:SDATE=20081299&amp;VAR:FREQ=DAILY&amp;VAR:RELITEM=&amp;VAR:CURRENCY=&amp;VAR:CURRSOURCE=EXSHARE&amp;","VAR:NATFREQ=QUARTERLY&amp;VAR:RFIELD=FINALIZED&amp;VAR:DB_TYPE=&amp;VAR:UNITS=M&amp;window=popup&amp;width=450&amp;height=300&amp;START_MAXIMIZED=FALSE"}</definedName>
    <definedName name="_2695__FDSAUDITLINK__" hidden="1">{"fdsup://IBCentral/FAT Viewer?action=UPDATE&amp;creator=factset&amp;DOC_NAME=fat:reuters_qtrly_source_window.fat&amp;display_string=Audit&amp;DYN_ARGS=TRUE&amp;VAR:ID1=00915810&amp;VAR:RCODE=ATCA&amp;VAR:SDATE=20081299&amp;VAR:FREQ=DAILY&amp;VAR:RELITEM=&amp;VAR:CURRENCY=&amp;VAR:CURRSOURCE=EXSHARE&amp;","VAR:NATFREQ=QUARTERLY&amp;VAR:RFIELD=FINALIZED&amp;VAR:DB_TYPE=&amp;VAR:UNITS=M&amp;window=popup&amp;width=450&amp;height=300&amp;START_MAXIMIZED=FALSE"}</definedName>
    <definedName name="_2696__FDSAUDITLINK__" hidden="1">{"fdsup://IBCentral/FAT Viewer?action=UPDATE&amp;creator=factset&amp;DOC_NAME=fat:reuters_qtrly_source_window.fat&amp;display_string=Audit&amp;DYN_ARGS=TRUE&amp;VAR:ID1=00915810&amp;VAR:RCODE=ATOT&amp;VAR:SDATE=20081299&amp;VAR:FREQ=DAILY&amp;VAR:RELITEM=&amp;VAR:CURRENCY=&amp;VAR:CURRSOURCE=EXSHARE&amp;","VAR:NATFREQ=QUARTERLY&amp;VAR:RFIELD=FINALIZED&amp;VAR:DB_TYPE=&amp;VAR:UNITS=M&amp;window=popup&amp;width=450&amp;height=300&amp;START_MAXIMIZED=FALSE"}</definedName>
    <definedName name="_2697__FDSAUDITLINK__" hidden="1">{"fdsup://IBCentral/FAT Viewer?action=UPDATE&amp;creator=factset&amp;DOC_NAME=fat:reuters_qtrly_source_window.fat&amp;display_string=Audit&amp;DYN_ARGS=TRUE&amp;VAR:ID1=93964010&amp;VAR:RCODE=LTLL&amp;VAR:SDATE=20081299&amp;VAR:FREQ=DAILY&amp;VAR:RELITEM=&amp;VAR:CURRENCY=&amp;VAR:CURRSOURCE=EXSHARE&amp;","VAR:NATFREQ=QUARTERLY&amp;VAR:RFIELD=FINALIZED&amp;VAR:DB_TYPE=&amp;VAR:UNITS=M&amp;window=popup&amp;width=450&amp;height=300&amp;START_MAXIMIZED=FALSE"}</definedName>
    <definedName name="_2698__FDSAUDITLINK__" hidden="1">{"fdsup://IBCentral/FAT Viewer?action=UPDATE&amp;creator=factset&amp;DOC_NAME=fat:reuters_qtrly_source_window.fat&amp;display_string=Audit&amp;DYN_ARGS=TRUE&amp;VAR:ID1=93964010&amp;VAR:RCODE=LTCL&amp;VAR:SDATE=20081299&amp;VAR:FREQ=DAILY&amp;VAR:RELITEM=&amp;VAR:CURRENCY=&amp;VAR:CURRSOURCE=EXSHARE&amp;","VAR:NATFREQ=QUARTERLY&amp;VAR:RFIELD=FINALIZED&amp;VAR:DB_TYPE=&amp;VAR:UNITS=M&amp;window=popup&amp;width=450&amp;height=300&amp;START_MAXIMIZED=FALSE"}</definedName>
    <definedName name="_2699__FDSAUDITLINK__" hidden="1">{"fdsup://IBCentral/FAT Viewer?action=UPDATE&amp;creator=factset&amp;DOC_NAME=fat:reuters_qtrly_source_window.fat&amp;display_string=Audit&amp;DYN_ARGS=TRUE&amp;VAR:ID1=93964010&amp;VAR:RCODE=ATCA&amp;VAR:SDATE=20081299&amp;VAR:FREQ=DAILY&amp;VAR:RELITEM=&amp;VAR:CURRENCY=&amp;VAR:CURRSOURCE=EXSHARE&amp;","VAR:NATFREQ=QUARTERLY&amp;VAR:RFIELD=FINALIZED&amp;VAR:DB_TYPE=&amp;VAR:UNITS=M&amp;window=popup&amp;width=450&amp;height=300&amp;START_MAXIMIZED=FALSE"}</definedName>
    <definedName name="_27__FDSAUDITLINK__" hidden="1">{"fdsup://Directions/FactSet Auditing Viewer?action=AUDIT_VALUE&amp;DB=129&amp;ID1=02209S10&amp;VALUEID=02999&amp;SDATE=201001&amp;PERIODTYPE=QTR_STD&amp;window=popup_no_bar&amp;width=385&amp;height=120&amp;START_MAXIMIZED=FALSE&amp;creator=factset&amp;display_string=Audit"}</definedName>
    <definedName name="_270__FDSAUDITLINK__" hidden="1">{"fdsup://Directions/FactSet Auditing Viewer?action=AUDIT_VALUE&amp;DB=129&amp;ID1=36159R10&amp;VALUEID=02999&amp;SDATE=201001&amp;PERIODTYPE=QTR_STD&amp;window=popup_no_bar&amp;width=385&amp;height=120&amp;START_MAXIMIZED=FALSE&amp;creator=factset&amp;display_string=Audit"}</definedName>
    <definedName name="_2700__FDSAUDITLINK__" hidden="1">{"fdsup://IBCentral/FAT Viewer?action=UPDATE&amp;creator=factset&amp;DOC_NAME=fat:reuters_qtrly_source_window.fat&amp;display_string=Audit&amp;DYN_ARGS=TRUE&amp;VAR:ID1=93964010&amp;VAR:RCODE=ATOT&amp;VAR:SDATE=20081299&amp;VAR:FREQ=DAILY&amp;VAR:RELITEM=&amp;VAR:CURRENCY=&amp;VAR:CURRSOURCE=EXSHARE&amp;","VAR:NATFREQ=QUARTERLY&amp;VAR:RFIELD=FINALIZED&amp;VAR:DB_TYPE=&amp;VAR:UNITS=M&amp;window=popup&amp;width=450&amp;height=300&amp;START_MAXIMIZED=FALSE"}</definedName>
    <definedName name="_2701__FDSAUDITLINK__" hidden="1">{"fdsup://IBCentral/FAT Viewer?action=UPDATE&amp;creator=factset&amp;DOC_NAME=fat:reuters_qtrly_source_window.fat&amp;display_string=Audit&amp;DYN_ARGS=TRUE&amp;VAR:ID1=25468710&amp;VAR:RCODE=LTLL&amp;VAR:SDATE=20081299&amp;VAR:FREQ=DAILY&amp;VAR:RELITEM=&amp;VAR:CURRENCY=&amp;VAR:CURRSOURCE=EXSHARE&amp;","VAR:NATFREQ=QUARTERLY&amp;VAR:RFIELD=FINALIZED&amp;VAR:DB_TYPE=&amp;VAR:UNITS=M&amp;window=popup&amp;width=450&amp;height=300&amp;START_MAXIMIZED=FALSE"}</definedName>
    <definedName name="_2702__FDSAUDITLINK__" hidden="1">{"fdsup://IBCentral/FAT Viewer?action=UPDATE&amp;creator=factset&amp;DOC_NAME=fat:reuters_qtrly_source_window.fat&amp;display_string=Audit&amp;DYN_ARGS=TRUE&amp;VAR:ID1=25468710&amp;VAR:RCODE=LTCL&amp;VAR:SDATE=20081299&amp;VAR:FREQ=DAILY&amp;VAR:RELITEM=&amp;VAR:CURRENCY=&amp;VAR:CURRSOURCE=EXSHARE&amp;","VAR:NATFREQ=QUARTERLY&amp;VAR:RFIELD=FINALIZED&amp;VAR:DB_TYPE=&amp;VAR:UNITS=M&amp;window=popup&amp;width=450&amp;height=300&amp;START_MAXIMIZED=FALSE"}</definedName>
    <definedName name="_2703__FDSAUDITLINK__" hidden="1">{"fdsup://IBCentral/FAT Viewer?action=UPDATE&amp;creator=factset&amp;DOC_NAME=fat:reuters_qtrly_source_window.fat&amp;display_string=Audit&amp;DYN_ARGS=TRUE&amp;VAR:ID1=25468710&amp;VAR:RCODE=ATCA&amp;VAR:SDATE=20081299&amp;VAR:FREQ=DAILY&amp;VAR:RELITEM=&amp;VAR:CURRENCY=&amp;VAR:CURRSOURCE=EXSHARE&amp;","VAR:NATFREQ=QUARTERLY&amp;VAR:RFIELD=FINALIZED&amp;VAR:DB_TYPE=&amp;VAR:UNITS=M&amp;window=popup&amp;width=450&amp;height=300&amp;START_MAXIMIZED=FALSE"}</definedName>
    <definedName name="_2704__FDSAUDITLINK__" hidden="1">{"fdsup://IBCentral/FAT Viewer?action=UPDATE&amp;creator=factset&amp;DOC_NAME=fat:reuters_qtrly_source_window.fat&amp;display_string=Audit&amp;DYN_ARGS=TRUE&amp;VAR:ID1=25468710&amp;VAR:RCODE=ATOT&amp;VAR:SDATE=20081299&amp;VAR:FREQ=DAILY&amp;VAR:RELITEM=&amp;VAR:CURRENCY=&amp;VAR:CURRSOURCE=EXSHARE&amp;","VAR:NATFREQ=QUARTERLY&amp;VAR:RFIELD=FINALIZED&amp;VAR:DB_TYPE=&amp;VAR:UNITS=M&amp;window=popup&amp;width=450&amp;height=300&amp;START_MAXIMIZED=FALSE"}</definedName>
    <definedName name="_2705__FDSAUDITLINK__" hidden="1">{"fdsup://IBCentral/FAT Viewer?action=UPDATE&amp;creator=factset&amp;DOC_NAME=fat:reuters_qtrly_source_window.fat&amp;display_string=Audit&amp;DYN_ARGS=TRUE&amp;VAR:ID1=87182910&amp;VAR:RCODE=LTLL&amp;VAR:SDATE=20081299&amp;VAR:FREQ=DAILY&amp;VAR:RELITEM=&amp;VAR:CURRENCY=&amp;VAR:CURRSOURCE=EXSHARE&amp;","VAR:NATFREQ=QUARTERLY&amp;VAR:RFIELD=FINALIZED&amp;VAR:DB_TYPE=&amp;VAR:UNITS=M&amp;window=popup&amp;width=450&amp;height=300&amp;START_MAXIMIZED=FALSE"}</definedName>
    <definedName name="_2706__FDSAUDITLINK__" hidden="1">{"fdsup://IBCentral/FAT Viewer?action=UPDATE&amp;creator=factset&amp;DOC_NAME=fat:reuters_qtrly_source_window.fat&amp;display_string=Audit&amp;DYN_ARGS=TRUE&amp;VAR:ID1=87182910&amp;VAR:RCODE=LTCL&amp;VAR:SDATE=20081299&amp;VAR:FREQ=DAILY&amp;VAR:RELITEM=&amp;VAR:CURRENCY=&amp;VAR:CURRSOURCE=EXSHARE&amp;","VAR:NATFREQ=QUARTERLY&amp;VAR:RFIELD=FINALIZED&amp;VAR:DB_TYPE=&amp;VAR:UNITS=M&amp;window=popup&amp;width=450&amp;height=300&amp;START_MAXIMIZED=FALSE"}</definedName>
    <definedName name="_2707__FDSAUDITLINK__" hidden="1">{"fdsup://IBCentral/FAT Viewer?action=UPDATE&amp;creator=factset&amp;DOC_NAME=fat:reuters_qtrly_source_window.fat&amp;display_string=Audit&amp;DYN_ARGS=TRUE&amp;VAR:ID1=87182910&amp;VAR:RCODE=ATCA&amp;VAR:SDATE=20081299&amp;VAR:FREQ=DAILY&amp;VAR:RELITEM=&amp;VAR:CURRENCY=&amp;VAR:CURRSOURCE=EXSHARE&amp;","VAR:NATFREQ=QUARTERLY&amp;VAR:RFIELD=FINALIZED&amp;VAR:DB_TYPE=&amp;VAR:UNITS=M&amp;window=popup&amp;width=450&amp;height=300&amp;START_MAXIMIZED=FALSE"}</definedName>
    <definedName name="_2708__FDSAUDITLINK__" hidden="1">{"fdsup://IBCentral/FAT Viewer?action=UPDATE&amp;creator=factset&amp;DOC_NAME=fat:reuters_qtrly_source_window.fat&amp;display_string=Audit&amp;DYN_ARGS=TRUE&amp;VAR:ID1=87182910&amp;VAR:RCODE=ATOT&amp;VAR:SDATE=20081299&amp;VAR:FREQ=DAILY&amp;VAR:RELITEM=&amp;VAR:CURRENCY=&amp;VAR:CURRSOURCE=EXSHARE&amp;","VAR:NATFREQ=QUARTERLY&amp;VAR:RFIELD=FINALIZED&amp;VAR:DB_TYPE=&amp;VAR:UNITS=M&amp;window=popup&amp;width=450&amp;height=300&amp;START_MAXIMIZED=FALSE"}</definedName>
    <definedName name="_2709__FDSAUDITLINK__" hidden="1">{"fdsup://IBCentral/FAT Viewer?action=UPDATE&amp;creator=factset&amp;DOC_NAME=fat:reuters_qtrly_source_window.fat&amp;display_string=Audit&amp;DYN_ARGS=TRUE&amp;VAR:ID1=80685710&amp;VAR:RCODE=LTLL&amp;VAR:SDATE=20081299&amp;VAR:FREQ=DAILY&amp;VAR:RELITEM=&amp;VAR:CURRENCY=&amp;VAR:CURRSOURCE=EXSHARE&amp;","VAR:NATFREQ=QUARTERLY&amp;VAR:RFIELD=FINALIZED&amp;VAR:DB_TYPE=&amp;VAR:UNITS=M&amp;window=popup&amp;width=450&amp;height=300&amp;START_MAXIMIZED=FALSE"}</definedName>
    <definedName name="_271__FDSAUDITLINK__" hidden="1">{"fdsup://Directions/FactSet Auditing Viewer?action=AUDIT_VALUE&amp;DB=129&amp;ID1=37250W10&amp;VALUEID=02999&amp;SDATE=201001&amp;PERIODTYPE=QTR_STD&amp;window=popup_no_bar&amp;width=385&amp;height=120&amp;START_MAXIMIZED=FALSE&amp;creator=factset&amp;display_string=Audit"}</definedName>
    <definedName name="_2710__FDSAUDITLINK__" hidden="1">{"fdsup://IBCentral/FAT Viewer?action=UPDATE&amp;creator=factset&amp;DOC_NAME=fat:reuters_qtrly_source_window.fat&amp;display_string=Audit&amp;DYN_ARGS=TRUE&amp;VAR:ID1=80685710&amp;VAR:RCODE=LTCL&amp;VAR:SDATE=20081299&amp;VAR:FREQ=DAILY&amp;VAR:RELITEM=&amp;VAR:CURRENCY=&amp;VAR:CURRSOURCE=EXSHARE&amp;","VAR:NATFREQ=QUARTERLY&amp;VAR:RFIELD=FINALIZED&amp;VAR:DB_TYPE=&amp;VAR:UNITS=M&amp;window=popup&amp;width=450&amp;height=300&amp;START_MAXIMIZED=FALSE"}</definedName>
    <definedName name="_2711__FDSAUDITLINK__" hidden="1">{"fdsup://IBCentral/FAT Viewer?action=UPDATE&amp;creator=factset&amp;DOC_NAME=fat:reuters_qtrly_source_window.fat&amp;display_string=Audit&amp;DYN_ARGS=TRUE&amp;VAR:ID1=80685710&amp;VAR:RCODE=ATCA&amp;VAR:SDATE=20081299&amp;VAR:FREQ=DAILY&amp;VAR:RELITEM=&amp;VAR:CURRENCY=&amp;VAR:CURRSOURCE=EXSHARE&amp;","VAR:NATFREQ=QUARTERLY&amp;VAR:RFIELD=FINALIZED&amp;VAR:DB_TYPE=&amp;VAR:UNITS=M&amp;window=popup&amp;width=450&amp;height=300&amp;START_MAXIMIZED=FALSE"}</definedName>
    <definedName name="_2712__FDSAUDITLINK__" hidden="1">{"fdsup://IBCentral/FAT Viewer?action=UPDATE&amp;creator=factset&amp;DOC_NAME=fat:reuters_qtrly_source_window.fat&amp;display_string=Audit&amp;DYN_ARGS=TRUE&amp;VAR:ID1=80685710&amp;VAR:RCODE=ATOT&amp;VAR:SDATE=20081299&amp;VAR:FREQ=DAILY&amp;VAR:RELITEM=&amp;VAR:CURRENCY=&amp;VAR:CURRSOURCE=EXSHARE&amp;","VAR:NATFREQ=QUARTERLY&amp;VAR:RFIELD=FINALIZED&amp;VAR:DB_TYPE=&amp;VAR:UNITS=M&amp;window=popup&amp;width=450&amp;height=300&amp;START_MAXIMIZED=FALSE"}</definedName>
    <definedName name="_2713__FDSAUDITLINK__" hidden="1">{"fdsup://IBCentral/FAT Viewer?action=UPDATE&amp;creator=factset&amp;DOC_NAME=fat:reuters_qtrly_source_window.fat&amp;display_string=Audit&amp;DYN_ARGS=TRUE&amp;VAR:ID1=77434110&amp;VAR:RCODE=LTLL&amp;VAR:SDATE=20081299&amp;VAR:FREQ=DAILY&amp;VAR:RELITEM=&amp;VAR:CURRENCY=&amp;VAR:CURRSOURCE=EXSHARE&amp;","VAR:NATFREQ=QUARTERLY&amp;VAR:RFIELD=FINALIZED&amp;VAR:DB_TYPE=&amp;VAR:UNITS=M&amp;window=popup&amp;width=450&amp;height=300&amp;START_MAXIMIZED=FALSE"}</definedName>
    <definedName name="_2714__FDSAUDITLINK__" hidden="1">{"fdsup://IBCentral/FAT Viewer?action=UPDATE&amp;creator=factset&amp;DOC_NAME=fat:reuters_qtrly_source_window.fat&amp;display_string=Audit&amp;DYN_ARGS=TRUE&amp;VAR:ID1=77434110&amp;VAR:RCODE=LTCL&amp;VAR:SDATE=20081299&amp;VAR:FREQ=DAILY&amp;VAR:RELITEM=&amp;VAR:CURRENCY=&amp;VAR:CURRSOURCE=EXSHARE&amp;","VAR:NATFREQ=QUARTERLY&amp;VAR:RFIELD=FINALIZED&amp;VAR:DB_TYPE=&amp;VAR:UNITS=M&amp;window=popup&amp;width=450&amp;height=300&amp;START_MAXIMIZED=FALSE"}</definedName>
    <definedName name="_2715__FDSAUDITLINK__" hidden="1">{"fdsup://IBCentral/FAT Viewer?action=UPDATE&amp;creator=factset&amp;DOC_NAME=fat:reuters_qtrly_source_window.fat&amp;display_string=Audit&amp;DYN_ARGS=TRUE&amp;VAR:ID1=77434110&amp;VAR:RCODE=ATCA&amp;VAR:SDATE=20081299&amp;VAR:FREQ=DAILY&amp;VAR:RELITEM=&amp;VAR:CURRENCY=&amp;VAR:CURRSOURCE=EXSHARE&amp;","VAR:NATFREQ=QUARTERLY&amp;VAR:RFIELD=FINALIZED&amp;VAR:DB_TYPE=&amp;VAR:UNITS=M&amp;window=popup&amp;width=450&amp;height=300&amp;START_MAXIMIZED=FALSE"}</definedName>
    <definedName name="_2716__FDSAUDITLINK__" hidden="1">{"fdsup://IBCentral/FAT Viewer?action=UPDATE&amp;creator=factset&amp;DOC_NAME=fat:reuters_qtrly_source_window.fat&amp;display_string=Audit&amp;DYN_ARGS=TRUE&amp;VAR:ID1=77434110&amp;VAR:RCODE=ATOT&amp;VAR:SDATE=20081299&amp;VAR:FREQ=DAILY&amp;VAR:RELITEM=&amp;VAR:CURRENCY=&amp;VAR:CURRSOURCE=EXSHARE&amp;","VAR:NATFREQ=QUARTERLY&amp;VAR:RFIELD=FINALIZED&amp;VAR:DB_TYPE=&amp;VAR:UNITS=M&amp;window=popup&amp;width=450&amp;height=300&amp;START_MAXIMIZED=FALSE"}</definedName>
    <definedName name="_2717__FDSAUDITLINK__" hidden="1">{"fdsup://IBCentral/FAT Viewer?action=UPDATE&amp;creator=factset&amp;DOC_NAME=fat:reuters_qtrly_source_window.fat&amp;display_string=Audit&amp;DYN_ARGS=TRUE&amp;VAR:ID1=72447910&amp;VAR:RCODE=LTLL&amp;VAR:SDATE=20081299&amp;VAR:FREQ=DAILY&amp;VAR:RELITEM=&amp;VAR:CURRENCY=&amp;VAR:CURRSOURCE=EXSHARE&amp;","VAR:NATFREQ=QUARTERLY&amp;VAR:RFIELD=FINALIZED&amp;VAR:DB_TYPE=&amp;VAR:UNITS=M&amp;window=popup&amp;width=450&amp;height=300&amp;START_MAXIMIZED=FALSE"}</definedName>
    <definedName name="_2718__FDSAUDITLINK__" hidden="1">{"fdsup://IBCentral/FAT Viewer?action=UPDATE&amp;creator=factset&amp;DOC_NAME=fat:reuters_qtrly_source_window.fat&amp;display_string=Audit&amp;DYN_ARGS=TRUE&amp;VAR:ID1=72447910&amp;VAR:RCODE=LTCL&amp;VAR:SDATE=20081299&amp;VAR:FREQ=DAILY&amp;VAR:RELITEM=&amp;VAR:CURRENCY=&amp;VAR:CURRSOURCE=EXSHARE&amp;","VAR:NATFREQ=QUARTERLY&amp;VAR:RFIELD=FINALIZED&amp;VAR:DB_TYPE=&amp;VAR:UNITS=M&amp;window=popup&amp;width=450&amp;height=300&amp;START_MAXIMIZED=FALSE"}</definedName>
    <definedName name="_2719__FDSAUDITLINK__" hidden="1">{"fdsup://IBCentral/FAT Viewer?action=UPDATE&amp;creator=factset&amp;DOC_NAME=fat:reuters_qtrly_source_window.fat&amp;display_string=Audit&amp;DYN_ARGS=TRUE&amp;VAR:ID1=72447910&amp;VAR:RCODE=ATCA&amp;VAR:SDATE=20081299&amp;VAR:FREQ=DAILY&amp;VAR:RELITEM=&amp;VAR:CURRENCY=&amp;VAR:CURRSOURCE=EXSHARE&amp;","VAR:NATFREQ=QUARTERLY&amp;VAR:RFIELD=FINALIZED&amp;VAR:DB_TYPE=&amp;VAR:UNITS=M&amp;window=popup&amp;width=450&amp;height=300&amp;START_MAXIMIZED=FALSE"}</definedName>
    <definedName name="_272__FDSAUDITLINK__" hidden="1">{"fdsup://Directions/FactSet Auditing Viewer?action=AUDIT_VALUE&amp;DB=129&amp;ID1=37320030&amp;VALUEID=02999&amp;SDATE=201001&amp;PERIODTYPE=QTR_STD&amp;window=popup_no_bar&amp;width=385&amp;height=120&amp;START_MAXIMIZED=FALSE&amp;creator=factset&amp;display_string=Audit"}</definedName>
    <definedName name="_2720__FDSAUDITLINK__" hidden="1">{"fdsup://IBCentral/FAT Viewer?action=UPDATE&amp;creator=factset&amp;DOC_NAME=fat:reuters_qtrly_source_window.fat&amp;display_string=Audit&amp;DYN_ARGS=TRUE&amp;VAR:ID1=72447910&amp;VAR:RCODE=ATOT&amp;VAR:SDATE=20081299&amp;VAR:FREQ=DAILY&amp;VAR:RELITEM=&amp;VAR:CURRENCY=&amp;VAR:CURRSOURCE=EXSHARE&amp;","VAR:NATFREQ=QUARTERLY&amp;VAR:RFIELD=FINALIZED&amp;VAR:DB_TYPE=&amp;VAR:UNITS=M&amp;window=popup&amp;width=450&amp;height=300&amp;START_MAXIMIZED=FALSE"}</definedName>
    <definedName name="_2721__FDSAUDITLINK__" hidden="1">{"fdsup://IBCentral/FAT Viewer?action=UPDATE&amp;creator=factset&amp;DOC_NAME=fat:reuters_qtrly_source_window.fat&amp;display_string=Audit&amp;DYN_ARGS=TRUE&amp;VAR:ID1=69371810&amp;VAR:RCODE=LTLL&amp;VAR:SDATE=20081299&amp;VAR:FREQ=DAILY&amp;VAR:RELITEM=&amp;VAR:CURRENCY=&amp;VAR:CURRSOURCE=EXSHARE&amp;","VAR:NATFREQ=QUARTERLY&amp;VAR:RFIELD=FINALIZED&amp;VAR:DB_TYPE=&amp;VAR:UNITS=M&amp;window=popup&amp;width=450&amp;height=300&amp;START_MAXIMIZED=FALSE"}</definedName>
    <definedName name="_2722__FDSAUDITLINK__" hidden="1">{"fdsup://IBCentral/FAT Viewer?action=UPDATE&amp;creator=factset&amp;DOC_NAME=fat:reuters_qtrly_source_window.fat&amp;display_string=Audit&amp;DYN_ARGS=TRUE&amp;VAR:ID1=69371810&amp;VAR:RCODE=LTCL&amp;VAR:SDATE=20081299&amp;VAR:FREQ=DAILY&amp;VAR:RELITEM=&amp;VAR:CURRENCY=&amp;VAR:CURRSOURCE=EXSHARE&amp;","VAR:NATFREQ=QUARTERLY&amp;VAR:RFIELD=FINALIZED&amp;VAR:DB_TYPE=&amp;VAR:UNITS=M&amp;window=popup&amp;width=450&amp;height=300&amp;START_MAXIMIZED=FALSE"}</definedName>
    <definedName name="_2723__FDSAUDITLINK__" hidden="1">{"fdsup://IBCentral/FAT Viewer?action=UPDATE&amp;creator=factset&amp;DOC_NAME=fat:reuters_qtrly_source_window.fat&amp;display_string=Audit&amp;DYN_ARGS=TRUE&amp;VAR:ID1=69371810&amp;VAR:RCODE=ATCA&amp;VAR:SDATE=20081299&amp;VAR:FREQ=DAILY&amp;VAR:RELITEM=&amp;VAR:CURRENCY=&amp;VAR:CURRSOURCE=EXSHARE&amp;","VAR:NATFREQ=QUARTERLY&amp;VAR:RFIELD=FINALIZED&amp;VAR:DB_TYPE=&amp;VAR:UNITS=M&amp;window=popup&amp;width=450&amp;height=300&amp;START_MAXIMIZED=FALSE"}</definedName>
    <definedName name="_2724__FDSAUDITLINK__" hidden="1">{"fdsup://IBCentral/FAT Viewer?action=UPDATE&amp;creator=factset&amp;DOC_NAME=fat:reuters_qtrly_source_window.fat&amp;display_string=Audit&amp;DYN_ARGS=TRUE&amp;VAR:ID1=69371810&amp;VAR:RCODE=ATOT&amp;VAR:SDATE=20081299&amp;VAR:FREQ=DAILY&amp;VAR:RELITEM=&amp;VAR:CURRENCY=&amp;VAR:CURRSOURCE=EXSHARE&amp;","VAR:NATFREQ=QUARTERLY&amp;VAR:RFIELD=FINALIZED&amp;VAR:DB_TYPE=&amp;VAR:UNITS=M&amp;window=popup&amp;width=450&amp;height=300&amp;START_MAXIMIZED=FALSE"}</definedName>
    <definedName name="_2725__FDSAUDITLINK__" hidden="1">{"fdsup://IBCentral/FAT Viewer?action=UPDATE&amp;creator=factset&amp;DOC_NAME=fat:reuters_qtrly_source_window.fat&amp;display_string=Audit&amp;DYN_ARGS=TRUE&amp;VAR:ID1=62949110&amp;VAR:RCODE=LTLL&amp;VAR:SDATE=20081299&amp;VAR:FREQ=DAILY&amp;VAR:RELITEM=&amp;VAR:CURRENCY=&amp;VAR:CURRSOURCE=EXSHARE&amp;","VAR:NATFREQ=QUARTERLY&amp;VAR:RFIELD=FINALIZED&amp;VAR:DB_TYPE=&amp;VAR:UNITS=M&amp;window=popup&amp;width=450&amp;height=300&amp;START_MAXIMIZED=FALSE"}</definedName>
    <definedName name="_2726__FDSAUDITLINK__" hidden="1">{"fdsup://IBCentral/FAT Viewer?action=UPDATE&amp;creator=factset&amp;DOC_NAME=fat:reuters_qtrly_source_window.fat&amp;display_string=Audit&amp;DYN_ARGS=TRUE&amp;VAR:ID1=62949110&amp;VAR:RCODE=LTCL&amp;VAR:SDATE=20081299&amp;VAR:FREQ=DAILY&amp;VAR:RELITEM=&amp;VAR:CURRENCY=&amp;VAR:CURRSOURCE=EXSHARE&amp;","VAR:NATFREQ=QUARTERLY&amp;VAR:RFIELD=FINALIZED&amp;VAR:DB_TYPE=&amp;VAR:UNITS=M&amp;window=popup&amp;width=450&amp;height=300&amp;START_MAXIMIZED=FALSE"}</definedName>
    <definedName name="_2727__FDSAUDITLINK__" hidden="1">{"fdsup://IBCentral/FAT Viewer?action=UPDATE&amp;creator=factset&amp;DOC_NAME=fat:reuters_qtrly_source_window.fat&amp;display_string=Audit&amp;DYN_ARGS=TRUE&amp;VAR:ID1=62949110&amp;VAR:RCODE=ATCA&amp;VAR:SDATE=20081299&amp;VAR:FREQ=DAILY&amp;VAR:RELITEM=&amp;VAR:CURRENCY=&amp;VAR:CURRSOURCE=EXSHARE&amp;","VAR:NATFREQ=QUARTERLY&amp;VAR:RFIELD=FINALIZED&amp;VAR:DB_TYPE=&amp;VAR:UNITS=M&amp;window=popup&amp;width=450&amp;height=300&amp;START_MAXIMIZED=FALSE"}</definedName>
    <definedName name="_2728__FDSAUDITLINK__" hidden="1">{"fdsup://IBCentral/FAT Viewer?action=UPDATE&amp;creator=factset&amp;DOC_NAME=fat:reuters_qtrly_source_window.fat&amp;display_string=Audit&amp;DYN_ARGS=TRUE&amp;VAR:ID1=62949110&amp;VAR:RCODE=ATOT&amp;VAR:SDATE=20081299&amp;VAR:FREQ=DAILY&amp;VAR:RELITEM=&amp;VAR:CURRENCY=&amp;VAR:CURRSOURCE=EXSHARE&amp;","VAR:NATFREQ=QUARTERLY&amp;VAR:RFIELD=FINALIZED&amp;VAR:DB_TYPE=&amp;VAR:UNITS=M&amp;window=popup&amp;width=450&amp;height=300&amp;START_MAXIMIZED=FALSE"}</definedName>
    <definedName name="_2729__FDSAUDITLINK__" hidden="1">{"fdsup://IBCentral/FAT Viewer?action=UPDATE&amp;creator=factset&amp;DOC_NAME=fat:reuters_qtrly_source_window.fat&amp;display_string=Audit&amp;DYN_ARGS=TRUE&amp;VAR:ID1=67034610&amp;VAR:RCODE=LTLL&amp;VAR:SDATE=20081299&amp;VAR:FREQ=DAILY&amp;VAR:RELITEM=&amp;VAR:CURRENCY=&amp;VAR:CURRSOURCE=EXSHARE&amp;","VAR:NATFREQ=QUARTERLY&amp;VAR:RFIELD=FINALIZED&amp;VAR:DB_TYPE=&amp;VAR:UNITS=M&amp;window=popup&amp;width=450&amp;height=300&amp;START_MAXIMIZED=FALSE"}</definedName>
    <definedName name="_273__FDSAUDITLINK__" hidden="1">{"fdsup://Directions/FactSet Auditing Viewer?action=AUDIT_VALUE&amp;DB=129&amp;ID1=37468910&amp;VALUEID=02999&amp;SDATE=201001&amp;PERIODTYPE=QTR_STD&amp;window=popup_no_bar&amp;width=385&amp;height=120&amp;START_MAXIMIZED=FALSE&amp;creator=factset&amp;display_string=Audit"}</definedName>
    <definedName name="_2730__FDSAUDITLINK__" hidden="1">{"fdsup://IBCentral/FAT Viewer?action=UPDATE&amp;creator=factset&amp;DOC_NAME=fat:reuters_qtrly_source_window.fat&amp;display_string=Audit&amp;DYN_ARGS=TRUE&amp;VAR:ID1=67034610&amp;VAR:RCODE=LTCL&amp;VAR:SDATE=20081299&amp;VAR:FREQ=DAILY&amp;VAR:RELITEM=&amp;VAR:CURRENCY=&amp;VAR:CURRSOURCE=EXSHARE&amp;","VAR:NATFREQ=QUARTERLY&amp;VAR:RFIELD=FINALIZED&amp;VAR:DB_TYPE=&amp;VAR:UNITS=M&amp;window=popup&amp;width=450&amp;height=300&amp;START_MAXIMIZED=FALSE"}</definedName>
    <definedName name="_2731__FDSAUDITLINK__" hidden="1">{"fdsup://IBCentral/FAT Viewer?action=UPDATE&amp;creator=factset&amp;DOC_NAME=fat:reuters_qtrly_source_window.fat&amp;display_string=Audit&amp;DYN_ARGS=TRUE&amp;VAR:ID1=67034610&amp;VAR:RCODE=ATCA&amp;VAR:SDATE=20081299&amp;VAR:FREQ=DAILY&amp;VAR:RELITEM=&amp;VAR:CURRENCY=&amp;VAR:CURRSOURCE=EXSHARE&amp;","VAR:NATFREQ=QUARTERLY&amp;VAR:RFIELD=FINALIZED&amp;VAR:DB_TYPE=&amp;VAR:UNITS=M&amp;window=popup&amp;width=450&amp;height=300&amp;START_MAXIMIZED=FALSE"}</definedName>
    <definedName name="_2732__FDSAUDITLINK__" hidden="1">{"fdsup://IBCentral/FAT Viewer?action=UPDATE&amp;creator=factset&amp;DOC_NAME=fat:reuters_qtrly_source_window.fat&amp;display_string=Audit&amp;DYN_ARGS=TRUE&amp;VAR:ID1=67034610&amp;VAR:RCODE=ATOT&amp;VAR:SDATE=20081299&amp;VAR:FREQ=DAILY&amp;VAR:RELITEM=&amp;VAR:CURRENCY=&amp;VAR:CURRSOURCE=EXSHARE&amp;","VAR:NATFREQ=QUARTERLY&amp;VAR:RFIELD=FINALIZED&amp;VAR:DB_TYPE=&amp;VAR:UNITS=M&amp;window=popup&amp;width=450&amp;height=300&amp;START_MAXIMIZED=FALSE"}</definedName>
    <definedName name="_2733__FDSAUDITLINK__" hidden="1">{"fdsup://IBCentral/FAT Viewer?action=UPDATE&amp;creator=factset&amp;DOC_NAME=fat:reuters_qtrly_source_window.fat&amp;display_string=Audit&amp;DYN_ARGS=TRUE&amp;VAR:ID1=65410610&amp;VAR:RCODE=LTLL&amp;VAR:SDATE=20081199&amp;VAR:FREQ=DAILY&amp;VAR:RELITEM=&amp;VAR:CURRENCY=&amp;VAR:CURRSOURCE=EXSHARE&amp;","VAR:NATFREQ=QUARTERLY&amp;VAR:RFIELD=FINALIZED&amp;VAR:DB_TYPE=&amp;VAR:UNITS=M&amp;window=popup&amp;width=450&amp;height=300&amp;START_MAXIMIZED=FALSE"}</definedName>
    <definedName name="_2734__FDSAUDITLINK__" hidden="1">{"fdsup://IBCentral/FAT Viewer?action=UPDATE&amp;creator=factset&amp;DOC_NAME=fat:reuters_qtrly_source_window.fat&amp;display_string=Audit&amp;DYN_ARGS=TRUE&amp;VAR:ID1=65410610&amp;VAR:RCODE=LTCL&amp;VAR:SDATE=20081199&amp;VAR:FREQ=DAILY&amp;VAR:RELITEM=&amp;VAR:CURRENCY=&amp;VAR:CURRSOURCE=EXSHARE&amp;","VAR:NATFREQ=QUARTERLY&amp;VAR:RFIELD=FINALIZED&amp;VAR:DB_TYPE=&amp;VAR:UNITS=M&amp;window=popup&amp;width=450&amp;height=300&amp;START_MAXIMIZED=FALSE"}</definedName>
    <definedName name="_2735__FDSAUDITLINK__" hidden="1">{"fdsup://IBCentral/FAT Viewer?action=UPDATE&amp;creator=factset&amp;DOC_NAME=fat:reuters_qtrly_source_window.fat&amp;display_string=Audit&amp;DYN_ARGS=TRUE&amp;VAR:ID1=65410610&amp;VAR:RCODE=ATCA&amp;VAR:SDATE=20081199&amp;VAR:FREQ=DAILY&amp;VAR:RELITEM=&amp;VAR:CURRENCY=&amp;VAR:CURRSOURCE=EXSHARE&amp;","VAR:NATFREQ=QUARTERLY&amp;VAR:RFIELD=FINALIZED&amp;VAR:DB_TYPE=&amp;VAR:UNITS=M&amp;window=popup&amp;width=450&amp;height=300&amp;START_MAXIMIZED=FALSE"}</definedName>
    <definedName name="_2736__FDSAUDITLINK__" hidden="1">{"fdsup://IBCentral/FAT Viewer?action=UPDATE&amp;creator=factset&amp;DOC_NAME=fat:reuters_qtrly_source_window.fat&amp;display_string=Audit&amp;DYN_ARGS=TRUE&amp;VAR:ID1=65410610&amp;VAR:RCODE=ATOT&amp;VAR:SDATE=20081199&amp;VAR:FREQ=DAILY&amp;VAR:RELITEM=&amp;VAR:CURRENCY=&amp;VAR:CURRSOURCE=EXSHARE&amp;","VAR:NATFREQ=QUARTERLY&amp;VAR:RFIELD=FINALIZED&amp;VAR:DB_TYPE=&amp;VAR:UNITS=M&amp;window=popup&amp;width=450&amp;height=300&amp;START_MAXIMIZED=FALSE"}</definedName>
    <definedName name="_2737__FDSAUDITLINK__" hidden="1">{"fdsup://IBCentral/FAT Viewer?action=UPDATE&amp;creator=factset&amp;DOC_NAME=fat:reuters_qtrly_source_window.fat&amp;display_string=Audit&amp;DYN_ARGS=TRUE&amp;VAR:ID1=58505510&amp;VAR:RCODE=LTLL&amp;VAR:SDATE=20081099&amp;VAR:FREQ=DAILY&amp;VAR:RELITEM=&amp;VAR:CURRENCY=&amp;VAR:CURRSOURCE=EXSHARE&amp;","VAR:NATFREQ=QUARTERLY&amp;VAR:RFIELD=FINALIZED&amp;VAR:DB_TYPE=&amp;VAR:UNITS=M&amp;window=popup&amp;width=450&amp;height=300&amp;START_MAXIMIZED=FALSE"}</definedName>
    <definedName name="_2738__FDSAUDITLINK__" hidden="1">{"fdsup://IBCentral/FAT Viewer?action=UPDATE&amp;creator=factset&amp;DOC_NAME=fat:reuters_qtrly_source_window.fat&amp;display_string=Audit&amp;DYN_ARGS=TRUE&amp;VAR:ID1=58505510&amp;VAR:RCODE=LTCL&amp;VAR:SDATE=20081099&amp;VAR:FREQ=DAILY&amp;VAR:RELITEM=&amp;VAR:CURRENCY=&amp;VAR:CURRSOURCE=EXSHARE&amp;","VAR:NATFREQ=QUARTERLY&amp;VAR:RFIELD=FINALIZED&amp;VAR:DB_TYPE=&amp;VAR:UNITS=M&amp;window=popup&amp;width=450&amp;height=300&amp;START_MAXIMIZED=FALSE"}</definedName>
    <definedName name="_2739__FDSAUDITLINK__" hidden="1">{"fdsup://IBCentral/FAT Viewer?action=UPDATE&amp;creator=factset&amp;DOC_NAME=fat:reuters_qtrly_source_window.fat&amp;display_string=Audit&amp;DYN_ARGS=TRUE&amp;VAR:ID1=58505510&amp;VAR:RCODE=ATCA&amp;VAR:SDATE=20081099&amp;VAR:FREQ=DAILY&amp;VAR:RELITEM=&amp;VAR:CURRENCY=&amp;VAR:CURRSOURCE=EXSHARE&amp;","VAR:NATFREQ=QUARTERLY&amp;VAR:RFIELD=FINALIZED&amp;VAR:DB_TYPE=&amp;VAR:UNITS=M&amp;window=popup&amp;width=450&amp;height=300&amp;START_MAXIMIZED=FALSE"}</definedName>
    <definedName name="_274__FDSAUDITLINK__" hidden="1">{"fdsup://Directions/FactSet Auditing Viewer?action=AUDIT_VALUE&amp;DB=129&amp;ID1=G3921A17&amp;VALUEID=02999&amp;SDATE=201001&amp;PERIODTYPE=QTR_STD&amp;window=popup_no_bar&amp;width=385&amp;height=120&amp;START_MAXIMIZED=FALSE&amp;creator=factset&amp;display_string=Audit"}</definedName>
    <definedName name="_2740__FDSAUDITLINK__" hidden="1">{"fdsup://IBCentral/FAT Viewer?action=UPDATE&amp;creator=factset&amp;DOC_NAME=fat:reuters_qtrly_source_window.fat&amp;display_string=Audit&amp;DYN_ARGS=TRUE&amp;VAR:ID1=58505510&amp;VAR:RCODE=ATOT&amp;VAR:SDATE=20081099&amp;VAR:FREQ=DAILY&amp;VAR:RELITEM=&amp;VAR:CURRENCY=&amp;VAR:CURRSOURCE=EXSHARE&amp;","VAR:NATFREQ=QUARTERLY&amp;VAR:RFIELD=FINALIZED&amp;VAR:DB_TYPE=&amp;VAR:UNITS=M&amp;window=popup&amp;width=450&amp;height=300&amp;START_MAXIMIZED=FALSE"}</definedName>
    <definedName name="_2741__FDSAUDITLINK__" hidden="1">{"fdsup://IBCentral/FAT Viewer?action=UPDATE&amp;creator=factset&amp;DOC_NAME=fat:reuters_qtrly_source_window.fat&amp;display_string=Audit&amp;DYN_ARGS=TRUE&amp;VAR:ID1=58064510&amp;VAR:RCODE=LTLL&amp;VAR:SDATE=20081299&amp;VAR:FREQ=DAILY&amp;VAR:RELITEM=&amp;VAR:CURRENCY=&amp;VAR:CURRSOURCE=EXSHARE&amp;","VAR:NATFREQ=QUARTERLY&amp;VAR:RFIELD=FINALIZED&amp;VAR:DB_TYPE=&amp;VAR:UNITS=M&amp;window=popup&amp;width=450&amp;height=300&amp;START_MAXIMIZED=FALSE"}</definedName>
    <definedName name="_2742__FDSAUDITLINK__" hidden="1">{"fdsup://IBCentral/FAT Viewer?action=UPDATE&amp;creator=factset&amp;DOC_NAME=fat:reuters_qtrly_source_window.fat&amp;display_string=Audit&amp;DYN_ARGS=TRUE&amp;VAR:ID1=58064510&amp;VAR:RCODE=LTCL&amp;VAR:SDATE=20081299&amp;VAR:FREQ=DAILY&amp;VAR:RELITEM=&amp;VAR:CURRENCY=&amp;VAR:CURRSOURCE=EXSHARE&amp;","VAR:NATFREQ=QUARTERLY&amp;VAR:RFIELD=FINALIZED&amp;VAR:DB_TYPE=&amp;VAR:UNITS=M&amp;window=popup&amp;width=450&amp;height=300&amp;START_MAXIMIZED=FALSE"}</definedName>
    <definedName name="_2743__FDSAUDITLINK__" hidden="1">{"fdsup://IBCentral/FAT Viewer?action=UPDATE&amp;creator=factset&amp;DOC_NAME=fat:reuters_qtrly_source_window.fat&amp;display_string=Audit&amp;DYN_ARGS=TRUE&amp;VAR:ID1=58064510&amp;VAR:RCODE=ATCA&amp;VAR:SDATE=20081299&amp;VAR:FREQ=DAILY&amp;VAR:RELITEM=&amp;VAR:CURRENCY=&amp;VAR:CURRSOURCE=EXSHARE&amp;","VAR:NATFREQ=QUARTERLY&amp;VAR:RFIELD=FINALIZED&amp;VAR:DB_TYPE=&amp;VAR:UNITS=M&amp;window=popup&amp;width=450&amp;height=300&amp;START_MAXIMIZED=FALSE"}</definedName>
    <definedName name="_2744__FDSAUDITLINK__" hidden="1">{"fdsup://IBCentral/FAT Viewer?action=UPDATE&amp;creator=factset&amp;DOC_NAME=fat:reuters_qtrly_source_window.fat&amp;display_string=Audit&amp;DYN_ARGS=TRUE&amp;VAR:ID1=58064510&amp;VAR:RCODE=ATOT&amp;VAR:SDATE=20081299&amp;VAR:FREQ=DAILY&amp;VAR:RELITEM=&amp;VAR:CURRENCY=&amp;VAR:CURRSOURCE=EXSHARE&amp;","VAR:NATFREQ=QUARTERLY&amp;VAR:RFIELD=FINALIZED&amp;VAR:DB_TYPE=&amp;VAR:UNITS=M&amp;window=popup&amp;width=450&amp;height=300&amp;START_MAXIMIZED=FALSE"}</definedName>
    <definedName name="_2745__FDSAUDITLINK__" hidden="1">{"fdsup://IBCentral/FAT Viewer?action=UPDATE&amp;creator=factset&amp;DOC_NAME=fat:reuters_qtrly_source_window.fat&amp;display_string=Audit&amp;DYN_ARGS=TRUE&amp;VAR:ID1=54866110&amp;VAR:RCODE=LTLL&amp;VAR:SDATE=20081099&amp;VAR:FREQ=DAILY&amp;VAR:RELITEM=&amp;VAR:CURRENCY=&amp;VAR:CURRSOURCE=EXSHARE&amp;","VAR:NATFREQ=QUARTERLY&amp;VAR:RFIELD=FINALIZED&amp;VAR:DB_TYPE=&amp;VAR:UNITS=M&amp;window=popup&amp;width=450&amp;height=300&amp;START_MAXIMIZED=FALSE"}</definedName>
    <definedName name="_2746__FDSAUDITLINK__" hidden="1">{"fdsup://IBCentral/FAT Viewer?action=UPDATE&amp;creator=factset&amp;DOC_NAME=fat:reuters_qtrly_source_window.fat&amp;display_string=Audit&amp;DYN_ARGS=TRUE&amp;VAR:ID1=54866110&amp;VAR:RCODE=LTCL&amp;VAR:SDATE=20081099&amp;VAR:FREQ=DAILY&amp;VAR:RELITEM=&amp;VAR:CURRENCY=&amp;VAR:CURRSOURCE=EXSHARE&amp;","VAR:NATFREQ=QUARTERLY&amp;VAR:RFIELD=FINALIZED&amp;VAR:DB_TYPE=&amp;VAR:UNITS=M&amp;window=popup&amp;width=450&amp;height=300&amp;START_MAXIMIZED=FALSE"}</definedName>
    <definedName name="_2747__FDSAUDITLINK__" hidden="1">{"fdsup://IBCentral/FAT Viewer?action=UPDATE&amp;creator=factset&amp;DOC_NAME=fat:reuters_qtrly_source_window.fat&amp;display_string=Audit&amp;DYN_ARGS=TRUE&amp;VAR:ID1=54866110&amp;VAR:RCODE=ATCA&amp;VAR:SDATE=20081099&amp;VAR:FREQ=DAILY&amp;VAR:RELITEM=&amp;VAR:CURRENCY=&amp;VAR:CURRSOURCE=EXSHARE&amp;","VAR:NATFREQ=QUARTERLY&amp;VAR:RFIELD=FINALIZED&amp;VAR:DB_TYPE=&amp;VAR:UNITS=M&amp;window=popup&amp;width=450&amp;height=300&amp;START_MAXIMIZED=FALSE"}</definedName>
    <definedName name="_2748__FDSAUDITLINK__" hidden="1">{"fdsup://IBCentral/FAT Viewer?action=UPDATE&amp;creator=factset&amp;DOC_NAME=fat:reuters_qtrly_source_window.fat&amp;display_string=Audit&amp;DYN_ARGS=TRUE&amp;VAR:ID1=54866110&amp;VAR:RCODE=ATOT&amp;VAR:SDATE=20081099&amp;VAR:FREQ=DAILY&amp;VAR:RELITEM=&amp;VAR:CURRENCY=&amp;VAR:CURRSOURCE=EXSHARE&amp;","VAR:NATFREQ=QUARTERLY&amp;VAR:RFIELD=FINALIZED&amp;VAR:DB_TYPE=&amp;VAR:UNITS=M&amp;window=popup&amp;width=450&amp;height=300&amp;START_MAXIMIZED=FALSE"}</definedName>
    <definedName name="_2749__FDSAUDITLINK__" hidden="1">{"fdsup://IBCentral/FAT Viewer?action=UPDATE&amp;creator=factset&amp;DOC_NAME=fat:reuters_qtrly_source_window.fat&amp;display_string=Audit&amp;DYN_ARGS=TRUE&amp;VAR:ID1=45920010&amp;VAR:RCODE=LTLL&amp;VAR:SDATE=20081299&amp;VAR:FREQ=DAILY&amp;VAR:RELITEM=&amp;VAR:CURRENCY=&amp;VAR:CURRSOURCE=EXSHARE&amp;","VAR:NATFREQ=QUARTERLY&amp;VAR:RFIELD=FINALIZED&amp;VAR:DB_TYPE=&amp;VAR:UNITS=M&amp;window=popup&amp;width=450&amp;height=300&amp;START_MAXIMIZED=FALSE"}</definedName>
    <definedName name="_275__FDSAUDITLINK__" hidden="1">{"fdsup://Directions/FactSet Auditing Viewer?action=AUDIT_VALUE&amp;DB=129&amp;ID1=37946S10&amp;VALUEID=02999&amp;SDATE=201001&amp;PERIODTYPE=QTR_STD&amp;window=popup_no_bar&amp;width=385&amp;height=120&amp;START_MAXIMIZED=FALSE&amp;creator=factset&amp;display_string=Audit"}</definedName>
    <definedName name="_2750__FDSAUDITLINK__" hidden="1">{"fdsup://IBCentral/FAT Viewer?action=UPDATE&amp;creator=factset&amp;DOC_NAME=fat:reuters_qtrly_source_window.fat&amp;display_string=Audit&amp;DYN_ARGS=TRUE&amp;VAR:ID1=45920010&amp;VAR:RCODE=LTCL&amp;VAR:SDATE=20081299&amp;VAR:FREQ=DAILY&amp;VAR:RELITEM=&amp;VAR:CURRENCY=&amp;VAR:CURRSOURCE=EXSHARE&amp;","VAR:NATFREQ=QUARTERLY&amp;VAR:RFIELD=FINALIZED&amp;VAR:DB_TYPE=&amp;VAR:UNITS=M&amp;window=popup&amp;width=450&amp;height=300&amp;START_MAXIMIZED=FALSE"}</definedName>
    <definedName name="_2751__FDSAUDITLINK__" hidden="1">{"fdsup://IBCentral/FAT Viewer?action=UPDATE&amp;creator=factset&amp;DOC_NAME=fat:reuters_qtrly_source_window.fat&amp;display_string=Audit&amp;DYN_ARGS=TRUE&amp;VAR:ID1=45920010&amp;VAR:RCODE=ATCA&amp;VAR:SDATE=20081299&amp;VAR:FREQ=DAILY&amp;VAR:RELITEM=&amp;VAR:CURRENCY=&amp;VAR:CURRSOURCE=EXSHARE&amp;","VAR:NATFREQ=QUARTERLY&amp;VAR:RFIELD=FINALIZED&amp;VAR:DB_TYPE=&amp;VAR:UNITS=M&amp;window=popup&amp;width=450&amp;height=300&amp;START_MAXIMIZED=FALSE"}</definedName>
    <definedName name="_2752__FDSAUDITLINK__" hidden="1">{"fdsup://IBCentral/FAT Viewer?action=UPDATE&amp;creator=factset&amp;DOC_NAME=fat:reuters_qtrly_source_window.fat&amp;display_string=Audit&amp;DYN_ARGS=TRUE&amp;VAR:ID1=45920010&amp;VAR:RCODE=ATOT&amp;VAR:SDATE=20081299&amp;VAR:FREQ=DAILY&amp;VAR:RELITEM=&amp;VAR:CURRENCY=&amp;VAR:CURRSOURCE=EXSHARE&amp;","VAR:NATFREQ=QUARTERLY&amp;VAR:RFIELD=FINALIZED&amp;VAR:DB_TYPE=&amp;VAR:UNITS=M&amp;window=popup&amp;width=450&amp;height=300&amp;START_MAXIMIZED=FALSE"}</definedName>
    <definedName name="_2753__FDSAUDITLINK__" hidden="1">{"fdsup://IBCentral/FAT Viewer?action=UPDATE&amp;creator=factset&amp;DOC_NAME=fat:reuters_qtrly_source_window.fat&amp;display_string=Audit&amp;DYN_ARGS=TRUE&amp;VAR:ID1=36871040&amp;VAR:RCODE=LTLL&amp;VAR:SDATE=20081299&amp;VAR:FREQ=DAILY&amp;VAR:RELITEM=&amp;VAR:CURRENCY=&amp;VAR:CURRSOURCE=EXSHARE&amp;","VAR:NATFREQ=QUARTERLY&amp;VAR:RFIELD=FINALIZED&amp;VAR:DB_TYPE=&amp;VAR:UNITS=M&amp;window=popup&amp;width=450&amp;height=300&amp;START_MAXIMIZED=FALSE"}</definedName>
    <definedName name="_2754__FDSAUDITLINK__" hidden="1">{"fdsup://IBCentral/FAT Viewer?action=UPDATE&amp;creator=factset&amp;DOC_NAME=fat:reuters_qtrly_source_window.fat&amp;display_string=Audit&amp;DYN_ARGS=TRUE&amp;VAR:ID1=36871040&amp;VAR:RCODE=LTCL&amp;VAR:SDATE=20081299&amp;VAR:FREQ=DAILY&amp;VAR:RELITEM=&amp;VAR:CURRENCY=&amp;VAR:CURRSOURCE=EXSHARE&amp;","VAR:NATFREQ=QUARTERLY&amp;VAR:RFIELD=FINALIZED&amp;VAR:DB_TYPE=&amp;VAR:UNITS=M&amp;window=popup&amp;width=450&amp;height=300&amp;START_MAXIMIZED=FALSE"}</definedName>
    <definedName name="_2755__FDSAUDITLINK__" hidden="1">{"fdsup://IBCentral/FAT Viewer?action=UPDATE&amp;creator=factset&amp;DOC_NAME=fat:reuters_qtrly_source_window.fat&amp;display_string=Audit&amp;DYN_ARGS=TRUE&amp;VAR:ID1=36871040&amp;VAR:RCODE=ATCA&amp;VAR:SDATE=20081299&amp;VAR:FREQ=DAILY&amp;VAR:RELITEM=&amp;VAR:CURRENCY=&amp;VAR:CURRSOURCE=EXSHARE&amp;","VAR:NATFREQ=QUARTERLY&amp;VAR:RFIELD=FINALIZED&amp;VAR:DB_TYPE=&amp;VAR:UNITS=M&amp;window=popup&amp;width=450&amp;height=300&amp;START_MAXIMIZED=FALSE"}</definedName>
    <definedName name="_2756__FDSAUDITLINK__" hidden="1">{"fdsup://IBCentral/FAT Viewer?action=UPDATE&amp;creator=factset&amp;DOC_NAME=fat:reuters_qtrly_source_window.fat&amp;display_string=Audit&amp;DYN_ARGS=TRUE&amp;VAR:ID1=36871040&amp;VAR:RCODE=ATOT&amp;VAR:SDATE=20081299&amp;VAR:FREQ=DAILY&amp;VAR:RELITEM=&amp;VAR:CURRENCY=&amp;VAR:CURRSOURCE=EXSHARE&amp;","VAR:NATFREQ=QUARTERLY&amp;VAR:RFIELD=FINALIZED&amp;VAR:DB_TYPE=&amp;VAR:UNITS=M&amp;window=popup&amp;width=450&amp;height=300&amp;START_MAXIMIZED=FALSE"}</definedName>
    <definedName name="_2757__FDSAUDITLINK__" hidden="1">{"fdsup://IBCentral/FAT Viewer?action=UPDATE&amp;creator=factset&amp;DOC_NAME=fat:reuters_qtrly_source_window.fat&amp;display_string=Audit&amp;DYN_ARGS=TRUE&amp;VAR:ID1=53245710&amp;VAR:RCODE=LTLL&amp;VAR:SDATE=20081299&amp;VAR:FREQ=DAILY&amp;VAR:RELITEM=&amp;VAR:CURRENCY=&amp;VAR:CURRSOURCE=EXSHARE&amp;","VAR:NATFREQ=QUARTERLY&amp;VAR:RFIELD=FINALIZED&amp;VAR:DB_TYPE=&amp;VAR:UNITS=M&amp;window=popup&amp;width=450&amp;height=300&amp;START_MAXIMIZED=FALSE"}</definedName>
    <definedName name="_2758__FDSAUDITLINK__" hidden="1">{"fdsup://IBCentral/FAT Viewer?action=UPDATE&amp;creator=factset&amp;DOC_NAME=fat:reuters_qtrly_source_window.fat&amp;display_string=Audit&amp;DYN_ARGS=TRUE&amp;VAR:ID1=53245710&amp;VAR:RCODE=LTCL&amp;VAR:SDATE=20081299&amp;VAR:FREQ=DAILY&amp;VAR:RELITEM=&amp;VAR:CURRENCY=&amp;VAR:CURRSOURCE=EXSHARE&amp;","VAR:NATFREQ=QUARTERLY&amp;VAR:RFIELD=FINALIZED&amp;VAR:DB_TYPE=&amp;VAR:UNITS=M&amp;window=popup&amp;width=450&amp;height=300&amp;START_MAXIMIZED=FALSE"}</definedName>
    <definedName name="_2759__FDSAUDITLINK__" hidden="1">{"fdsup://IBCentral/FAT Viewer?action=UPDATE&amp;creator=factset&amp;DOC_NAME=fat:reuters_qtrly_source_window.fat&amp;display_string=Audit&amp;DYN_ARGS=TRUE&amp;VAR:ID1=53245710&amp;VAR:RCODE=ATCA&amp;VAR:SDATE=20081299&amp;VAR:FREQ=DAILY&amp;VAR:RELITEM=&amp;VAR:CURRENCY=&amp;VAR:CURRSOURCE=EXSHARE&amp;","VAR:NATFREQ=QUARTERLY&amp;VAR:RFIELD=FINALIZED&amp;VAR:DB_TYPE=&amp;VAR:UNITS=M&amp;window=popup&amp;width=450&amp;height=300&amp;START_MAXIMIZED=FALSE"}</definedName>
    <definedName name="_276__FDSAUDITLINK__" hidden="1">{"fdsup://Directions/FactSet Auditing Viewer?action=AUDIT_VALUE&amp;DB=129&amp;ID1=38238810&amp;VALUEID=02999&amp;SDATE=201001&amp;PERIODTYPE=QTR_STD&amp;window=popup_no_bar&amp;width=385&amp;height=120&amp;START_MAXIMIZED=FALSE&amp;creator=factset&amp;display_string=Audit"}</definedName>
    <definedName name="_2760__FDSAUDITLINK__" hidden="1">{"fdsup://IBCentral/FAT Viewer?action=UPDATE&amp;creator=factset&amp;DOC_NAME=fat:reuters_qtrly_source_window.fat&amp;display_string=Audit&amp;DYN_ARGS=TRUE&amp;VAR:ID1=53245710&amp;VAR:RCODE=ATOT&amp;VAR:SDATE=20081299&amp;VAR:FREQ=DAILY&amp;VAR:RELITEM=&amp;VAR:CURRENCY=&amp;VAR:CURRSOURCE=EXSHARE&amp;","VAR:NATFREQ=QUARTERLY&amp;VAR:RFIELD=FINALIZED&amp;VAR:DB_TYPE=&amp;VAR:UNITS=M&amp;window=popup&amp;width=450&amp;height=300&amp;START_MAXIMIZED=FALSE"}</definedName>
    <definedName name="_2761__FDSAUDITLINK__" hidden="1">{"fdsup://IBCentral/FAT Viewer?action=UPDATE&amp;creator=factset&amp;DOC_NAME=fat:reuters_qtrly_source_window.fat&amp;display_string=Audit&amp;DYN_ARGS=TRUE&amp;VAR:ID1=20825C10&amp;VAR:RCODE=LTLL&amp;VAR:SDATE=20081299&amp;VAR:FREQ=DAILY&amp;VAR:RELITEM=&amp;VAR:CURRENCY=&amp;VAR:CURRSOURCE=EXSHARE&amp;","VAR:NATFREQ=QUARTERLY&amp;VAR:RFIELD=FINALIZED&amp;VAR:DB_TYPE=&amp;VAR:UNITS=M&amp;window=popup&amp;width=450&amp;height=300&amp;START_MAXIMIZED=FALSE"}</definedName>
    <definedName name="_2762__FDSAUDITLINK__" hidden="1">{"fdsup://IBCentral/FAT Viewer?action=UPDATE&amp;creator=factset&amp;DOC_NAME=fat:reuters_qtrly_source_window.fat&amp;display_string=Audit&amp;DYN_ARGS=TRUE&amp;VAR:ID1=20825C10&amp;VAR:RCODE=LTCL&amp;VAR:SDATE=20081299&amp;VAR:FREQ=DAILY&amp;VAR:RELITEM=&amp;VAR:CURRENCY=&amp;VAR:CURRSOURCE=EXSHARE&amp;","VAR:NATFREQ=QUARTERLY&amp;VAR:RFIELD=FINALIZED&amp;VAR:DB_TYPE=&amp;VAR:UNITS=M&amp;window=popup&amp;width=450&amp;height=300&amp;START_MAXIMIZED=FALSE"}</definedName>
    <definedName name="_2763__FDSAUDITLINK__" hidden="1">{"fdsup://IBCentral/FAT Viewer?action=UPDATE&amp;creator=factset&amp;DOC_NAME=fat:reuters_qtrly_source_window.fat&amp;display_string=Audit&amp;DYN_ARGS=TRUE&amp;VAR:ID1=20825C10&amp;VAR:RCODE=ATCA&amp;VAR:SDATE=20081299&amp;VAR:FREQ=DAILY&amp;VAR:RELITEM=&amp;VAR:CURRENCY=&amp;VAR:CURRSOURCE=EXSHARE&amp;","VAR:NATFREQ=QUARTERLY&amp;VAR:RFIELD=FINALIZED&amp;VAR:DB_TYPE=&amp;VAR:UNITS=M&amp;window=popup&amp;width=450&amp;height=300&amp;START_MAXIMIZED=FALSE"}</definedName>
    <definedName name="_2764__FDSAUDITLINK__" hidden="1">{"fdsup://IBCentral/FAT Viewer?action=UPDATE&amp;creator=factset&amp;DOC_NAME=fat:reuters_qtrly_source_window.fat&amp;display_string=Audit&amp;DYN_ARGS=TRUE&amp;VAR:ID1=20825C10&amp;VAR:RCODE=ATOT&amp;VAR:SDATE=20081299&amp;VAR:FREQ=DAILY&amp;VAR:RELITEM=&amp;VAR:CURRENCY=&amp;VAR:CURRSOURCE=EXSHARE&amp;","VAR:NATFREQ=QUARTERLY&amp;VAR:RFIELD=FINALIZED&amp;VAR:DB_TYPE=&amp;VAR:UNITS=M&amp;window=popup&amp;width=450&amp;height=300&amp;START_MAXIMIZED=FALSE"}</definedName>
    <definedName name="_2765__FDSAUDITLINK__" hidden="1">{"fdsup://IBCentral/FAT Viewer?action=UPDATE&amp;creator=factset&amp;DOC_NAME=fat:reuters_qtrly_source_window.fat&amp;display_string=Audit&amp;DYN_ARGS=TRUE&amp;VAR:ID1=17275R10&amp;VAR:RCODE=LTLL&amp;VAR:SDATE=20081099&amp;VAR:FREQ=DAILY&amp;VAR:RELITEM=&amp;VAR:CURRENCY=&amp;VAR:CURRSOURCE=EXSHARE&amp;","VAR:NATFREQ=QUARTERLY&amp;VAR:RFIELD=FINALIZED&amp;VAR:DB_TYPE=&amp;VAR:UNITS=M&amp;window=popup&amp;width=450&amp;height=300&amp;START_MAXIMIZED=FALSE"}</definedName>
    <definedName name="_2766__FDSAUDITLINK__" hidden="1">{"fdsup://IBCentral/FAT Viewer?action=UPDATE&amp;creator=factset&amp;DOC_NAME=fat:reuters_qtrly_source_window.fat&amp;display_string=Audit&amp;DYN_ARGS=TRUE&amp;VAR:ID1=17275R10&amp;VAR:RCODE=LTCL&amp;VAR:SDATE=20081099&amp;VAR:FREQ=DAILY&amp;VAR:RELITEM=&amp;VAR:CURRENCY=&amp;VAR:CURRSOURCE=EXSHARE&amp;","VAR:NATFREQ=QUARTERLY&amp;VAR:RFIELD=FINALIZED&amp;VAR:DB_TYPE=&amp;VAR:UNITS=M&amp;window=popup&amp;width=450&amp;height=300&amp;START_MAXIMIZED=FALSE"}</definedName>
    <definedName name="_2767__FDSAUDITLINK__" hidden="1">{"fdsup://IBCentral/FAT Viewer?action=UPDATE&amp;creator=factset&amp;DOC_NAME=fat:reuters_qtrly_source_window.fat&amp;display_string=Audit&amp;DYN_ARGS=TRUE&amp;VAR:ID1=17275R10&amp;VAR:RCODE=ATCA&amp;VAR:SDATE=20081099&amp;VAR:FREQ=DAILY&amp;VAR:RELITEM=&amp;VAR:CURRENCY=&amp;VAR:CURRSOURCE=EXSHARE&amp;","VAR:NATFREQ=QUARTERLY&amp;VAR:RFIELD=FINALIZED&amp;VAR:DB_TYPE=&amp;VAR:UNITS=M&amp;window=popup&amp;width=450&amp;height=300&amp;START_MAXIMIZED=FALSE"}</definedName>
    <definedName name="_2768__FDSAUDITLINK__" hidden="1">{"fdsup://IBCentral/FAT Viewer?action=UPDATE&amp;creator=factset&amp;DOC_NAME=fat:reuters_qtrly_source_window.fat&amp;display_string=Audit&amp;DYN_ARGS=TRUE&amp;VAR:ID1=17275R10&amp;VAR:RCODE=ATOT&amp;VAR:SDATE=20081099&amp;VAR:FREQ=DAILY&amp;VAR:RELITEM=&amp;VAR:CURRENCY=&amp;VAR:CURRSOURCE=EXSHARE&amp;","VAR:NATFREQ=QUARTERLY&amp;VAR:RFIELD=FINALIZED&amp;VAR:DB_TYPE=&amp;VAR:UNITS=M&amp;window=popup&amp;width=450&amp;height=300&amp;START_MAXIMIZED=FALSE"}</definedName>
    <definedName name="_2769__FDSAUDITLINK__" hidden="1">{"fdsup://IBCentral/FAT Viewer?action=UPDATE&amp;creator=factset&amp;DOC_NAME=fat:reuters_qtrly_source_window.fat&amp;display_string=Audit&amp;DYN_ARGS=TRUE&amp;VAR:ID1=00282410&amp;VAR:RCODE=LTLL&amp;VAR:SDATE=20081299&amp;VAR:FREQ=DAILY&amp;VAR:RELITEM=&amp;VAR:CURRENCY=&amp;VAR:CURRSOURCE=EXSHARE&amp;","VAR:NATFREQ=QUARTERLY&amp;VAR:RFIELD=FINALIZED&amp;VAR:DB_TYPE=&amp;VAR:UNITS=M&amp;window=popup&amp;width=450&amp;height=300&amp;START_MAXIMIZED=FALSE"}</definedName>
    <definedName name="_277__FDSAUDITLINK__" hidden="1">{"fdsup://Directions/FactSet Auditing Viewer?action=AUDIT_VALUE&amp;DB=129&amp;ID1=38255010&amp;VALUEID=02999&amp;SDATE=201001&amp;PERIODTYPE=QTR_STD&amp;window=popup_no_bar&amp;width=385&amp;height=120&amp;START_MAXIMIZED=FALSE&amp;creator=factset&amp;display_string=Audit"}</definedName>
    <definedName name="_2770__FDSAUDITLINK__" hidden="1">{"fdsup://IBCentral/FAT Viewer?action=UPDATE&amp;creator=factset&amp;DOC_NAME=fat:reuters_qtrly_source_window.fat&amp;display_string=Audit&amp;DYN_ARGS=TRUE&amp;VAR:ID1=00282410&amp;VAR:RCODE=LTCL&amp;VAR:SDATE=20081299&amp;VAR:FREQ=DAILY&amp;VAR:RELITEM=&amp;VAR:CURRENCY=&amp;VAR:CURRSOURCE=EXSHARE&amp;","VAR:NATFREQ=QUARTERLY&amp;VAR:RFIELD=FINALIZED&amp;VAR:DB_TYPE=&amp;VAR:UNITS=M&amp;window=popup&amp;width=450&amp;height=300&amp;START_MAXIMIZED=FALSE"}</definedName>
    <definedName name="_2771__FDSAUDITLINK__" hidden="1">{"fdsup://IBCentral/FAT Viewer?action=UPDATE&amp;creator=factset&amp;DOC_NAME=fat:reuters_qtrly_source_window.fat&amp;display_string=Audit&amp;DYN_ARGS=TRUE&amp;VAR:ID1=00282410&amp;VAR:RCODE=ATCA&amp;VAR:SDATE=20081299&amp;VAR:FREQ=DAILY&amp;VAR:RELITEM=&amp;VAR:CURRENCY=&amp;VAR:CURRSOURCE=EXSHARE&amp;","VAR:NATFREQ=QUARTERLY&amp;VAR:RFIELD=FINALIZED&amp;VAR:DB_TYPE=&amp;VAR:UNITS=M&amp;window=popup&amp;width=450&amp;height=300&amp;START_MAXIMIZED=FALSE"}</definedName>
    <definedName name="_2772__FDSAUDITLINK__" hidden="1">{"fdsup://IBCentral/FAT Viewer?action=UPDATE&amp;creator=factset&amp;DOC_NAME=fat:reuters_qtrly_source_window.fat&amp;display_string=Audit&amp;DYN_ARGS=TRUE&amp;VAR:ID1=00282410&amp;VAR:RCODE=ATOT&amp;VAR:SDATE=20081299&amp;VAR:FREQ=DAILY&amp;VAR:RELITEM=&amp;VAR:CURRENCY=&amp;VAR:CURRSOURCE=EXSHARE&amp;","VAR:NATFREQ=QUARTERLY&amp;VAR:RFIELD=FINALIZED&amp;VAR:DB_TYPE=&amp;VAR:UNITS=M&amp;window=popup&amp;width=450&amp;height=300&amp;START_MAXIMIZED=FALSE"}</definedName>
    <definedName name="_2773__FDSAUDITLINK__" hidden="1">{"fdsup://IBCentral/FAT Viewer?action=UPDATE&amp;creator=factset&amp;DOC_NAME=fat:reuters_qtrly_source_window.fat&amp;display_string=Audit&amp;DYN_ARGS=TRUE&amp;VAR:ID1=57978020&amp;VAR:RCODE=LTLL&amp;VAR:SDATE=20081199&amp;VAR:FREQ=DAILY&amp;VAR:RELITEM=&amp;VAR:CURRENCY=&amp;VAR:CURRSOURCE=EXSHARE&amp;","VAR:NATFREQ=QUARTERLY&amp;VAR:RFIELD=FINALIZED&amp;VAR:DB_TYPE=&amp;VAR:UNITS=M&amp;window=popup&amp;width=450&amp;height=300&amp;START_MAXIMIZED=FALSE"}</definedName>
    <definedName name="_2774__FDSAUDITLINK__" hidden="1">{"fdsup://IBCentral/FAT Viewer?action=UPDATE&amp;creator=factset&amp;DOC_NAME=fat:reuters_qtrly_source_window.fat&amp;display_string=Audit&amp;DYN_ARGS=TRUE&amp;VAR:ID1=57978020&amp;VAR:RCODE=LTCL&amp;VAR:SDATE=20081199&amp;VAR:FREQ=DAILY&amp;VAR:RELITEM=&amp;VAR:CURRENCY=&amp;VAR:CURRSOURCE=EXSHARE&amp;","VAR:NATFREQ=QUARTERLY&amp;VAR:RFIELD=FINALIZED&amp;VAR:DB_TYPE=&amp;VAR:UNITS=M&amp;window=popup&amp;width=450&amp;height=300&amp;START_MAXIMIZED=FALSE"}</definedName>
    <definedName name="_2775__FDSAUDITLINK__" hidden="1">{"fdsup://IBCentral/FAT Viewer?action=UPDATE&amp;creator=factset&amp;DOC_NAME=fat:reuters_qtrly_source_window.fat&amp;display_string=Audit&amp;DYN_ARGS=TRUE&amp;VAR:ID1=57978020&amp;VAR:RCODE=ATCA&amp;VAR:SDATE=20081199&amp;VAR:FREQ=DAILY&amp;VAR:RELITEM=&amp;VAR:CURRENCY=&amp;VAR:CURRSOURCE=EXSHARE&amp;","VAR:NATFREQ=QUARTERLY&amp;VAR:RFIELD=FINALIZED&amp;VAR:DB_TYPE=&amp;VAR:UNITS=M&amp;window=popup&amp;width=450&amp;height=300&amp;START_MAXIMIZED=FALSE"}</definedName>
    <definedName name="_2776__FDSAUDITLINK__" hidden="1">{"fdsup://IBCentral/FAT Viewer?action=UPDATE&amp;creator=factset&amp;DOC_NAME=fat:reuters_qtrly_source_window.fat&amp;display_string=Audit&amp;DYN_ARGS=TRUE&amp;VAR:ID1=57978020&amp;VAR:RCODE=ATOT&amp;VAR:SDATE=20081199&amp;VAR:FREQ=DAILY&amp;VAR:RELITEM=&amp;VAR:CURRENCY=&amp;VAR:CURRSOURCE=EXSHARE&amp;","VAR:NATFREQ=QUARTERLY&amp;VAR:RFIELD=FINALIZED&amp;VAR:DB_TYPE=&amp;VAR:UNITS=M&amp;window=popup&amp;width=450&amp;height=300&amp;START_MAXIMIZED=FALSE"}</definedName>
    <definedName name="_2777__FDSAUDITLINK__" hidden="1">{"fdsup://IBCentral/FAT Viewer?action=UPDATE&amp;creator=factset&amp;DOC_NAME=fat:reuters_qtrly_source_window.fat&amp;display_string=Audit&amp;DYN_ARGS=TRUE&amp;VAR:ID1=43851610&amp;VAR:RCODE=LTLL&amp;VAR:SDATE=20081299&amp;VAR:FREQ=DAILY&amp;VAR:RELITEM=&amp;VAR:CURRENCY=&amp;VAR:CURRSOURCE=EXSHARE&amp;","VAR:NATFREQ=QUARTERLY&amp;VAR:RFIELD=FINALIZED&amp;VAR:DB_TYPE=&amp;VAR:UNITS=M&amp;window=popup&amp;width=450&amp;height=300&amp;START_MAXIMIZED=FALSE"}</definedName>
    <definedName name="_2778__FDSAUDITLINK__" hidden="1">{"fdsup://IBCentral/FAT Viewer?action=UPDATE&amp;creator=factset&amp;DOC_NAME=fat:reuters_qtrly_source_window.fat&amp;display_string=Audit&amp;DYN_ARGS=TRUE&amp;VAR:ID1=43851610&amp;VAR:RCODE=LTCL&amp;VAR:SDATE=20081299&amp;VAR:FREQ=DAILY&amp;VAR:RELITEM=&amp;VAR:CURRENCY=&amp;VAR:CURRSOURCE=EXSHARE&amp;","VAR:NATFREQ=QUARTERLY&amp;VAR:RFIELD=FINALIZED&amp;VAR:DB_TYPE=&amp;VAR:UNITS=M&amp;window=popup&amp;width=450&amp;height=300&amp;START_MAXIMIZED=FALSE"}</definedName>
    <definedName name="_2779__FDSAUDITLINK__" hidden="1">{"fdsup://IBCentral/FAT Viewer?action=UPDATE&amp;creator=factset&amp;DOC_NAME=fat:reuters_qtrly_source_window.fat&amp;display_string=Audit&amp;DYN_ARGS=TRUE&amp;VAR:ID1=43851610&amp;VAR:RCODE=ATCA&amp;VAR:SDATE=20081299&amp;VAR:FREQ=DAILY&amp;VAR:RELITEM=&amp;VAR:CURRENCY=&amp;VAR:CURRSOURCE=EXSHARE&amp;","VAR:NATFREQ=QUARTERLY&amp;VAR:RFIELD=FINALIZED&amp;VAR:DB_TYPE=&amp;VAR:UNITS=M&amp;window=popup&amp;width=450&amp;height=300&amp;START_MAXIMIZED=FALSE"}</definedName>
    <definedName name="_278__FDSAUDITLINK__" hidden="1">{"fdsup://Directions/FactSet Auditing Viewer?action=AUDIT_VALUE&amp;DB=129&amp;ID1=38431310&amp;VALUEID=02999&amp;SDATE=201001&amp;PERIODTYPE=QTR_STD&amp;window=popup_no_bar&amp;width=385&amp;height=120&amp;START_MAXIMIZED=FALSE&amp;creator=factset&amp;display_string=Audit"}</definedName>
    <definedName name="_2780__FDSAUDITLINK__" hidden="1">{"fdsup://IBCentral/FAT Viewer?action=UPDATE&amp;creator=factset&amp;DOC_NAME=fat:reuters_qtrly_source_window.fat&amp;display_string=Audit&amp;DYN_ARGS=TRUE&amp;VAR:ID1=43851610&amp;VAR:RCODE=ATOT&amp;VAR:SDATE=20081299&amp;VAR:FREQ=DAILY&amp;VAR:RELITEM=&amp;VAR:CURRENCY=&amp;VAR:CURRSOURCE=EXSHARE&amp;","VAR:NATFREQ=QUARTERLY&amp;VAR:RFIELD=FINALIZED&amp;VAR:DB_TYPE=&amp;VAR:UNITS=M&amp;window=popup&amp;width=450&amp;height=300&amp;START_MAXIMIZED=FALSE"}</definedName>
    <definedName name="_2781__FDSAUDITLINK__" hidden="1">{"fdsup://IBCentral/FAT Viewer?action=UPDATE&amp;creator=factset&amp;DOC_NAME=fat:reuters_qtrly_source_window.fat&amp;display_string=Audit&amp;DYN_ARGS=TRUE&amp;VAR:ID1=27805810&amp;VAR:RCODE=LTLL&amp;VAR:SDATE=20081299&amp;VAR:FREQ=DAILY&amp;VAR:RELITEM=&amp;VAR:CURRENCY=&amp;VAR:CURRSOURCE=EXSHARE&amp;","VAR:NATFREQ=QUARTERLY&amp;VAR:RFIELD=FINALIZED&amp;VAR:DB_TYPE=&amp;VAR:UNITS=M&amp;window=popup&amp;width=450&amp;height=300&amp;START_MAXIMIZED=FALSE"}</definedName>
    <definedName name="_2782__FDSAUDITLINK__" hidden="1">{"fdsup://IBCentral/FAT Viewer?action=UPDATE&amp;creator=factset&amp;DOC_NAME=fat:reuters_qtrly_source_window.fat&amp;display_string=Audit&amp;DYN_ARGS=TRUE&amp;VAR:ID1=27805810&amp;VAR:RCODE=LTCL&amp;VAR:SDATE=20081299&amp;VAR:FREQ=DAILY&amp;VAR:RELITEM=&amp;VAR:CURRENCY=&amp;VAR:CURRSOURCE=EXSHARE&amp;","VAR:NATFREQ=QUARTERLY&amp;VAR:RFIELD=FINALIZED&amp;VAR:DB_TYPE=&amp;VAR:UNITS=M&amp;window=popup&amp;width=450&amp;height=300&amp;START_MAXIMIZED=FALSE"}</definedName>
    <definedName name="_2783__FDSAUDITLINK__" hidden="1">{"fdsup://IBCentral/FAT Viewer?action=UPDATE&amp;creator=factset&amp;DOC_NAME=fat:reuters_qtrly_source_window.fat&amp;display_string=Audit&amp;DYN_ARGS=TRUE&amp;VAR:ID1=27805810&amp;VAR:RCODE=ATCA&amp;VAR:SDATE=20081299&amp;VAR:FREQ=DAILY&amp;VAR:RELITEM=&amp;VAR:CURRENCY=&amp;VAR:CURRSOURCE=EXSHARE&amp;","VAR:NATFREQ=QUARTERLY&amp;VAR:RFIELD=FINALIZED&amp;VAR:DB_TYPE=&amp;VAR:UNITS=M&amp;window=popup&amp;width=450&amp;height=300&amp;START_MAXIMIZED=FALSE"}</definedName>
    <definedName name="_2784__FDSAUDITLINK__" hidden="1">{"fdsup://IBCentral/FAT Viewer?action=UPDATE&amp;creator=factset&amp;DOC_NAME=fat:reuters_qtrly_source_window.fat&amp;display_string=Audit&amp;DYN_ARGS=TRUE&amp;VAR:ID1=27805810&amp;VAR:RCODE=ATOT&amp;VAR:SDATE=20081299&amp;VAR:FREQ=DAILY&amp;VAR:RELITEM=&amp;VAR:CURRENCY=&amp;VAR:CURRSOURCE=EXSHARE&amp;","VAR:NATFREQ=QUARTERLY&amp;VAR:RFIELD=FINALIZED&amp;VAR:DB_TYPE=&amp;VAR:UNITS=M&amp;window=popup&amp;width=450&amp;height=300&amp;START_MAXIMIZED=FALSE"}</definedName>
    <definedName name="_2785__FDSAUDITLINK__" hidden="1">{"fdsup://IBCentral/FAT Viewer?action=UPDATE&amp;creator=factset&amp;DOC_NAME=fat:reuters_qtrly_source_window.fat&amp;display_string=Audit&amp;DYN_ARGS=TRUE&amp;VAR:ID1=14912310&amp;VAR:RCODE=LTLL&amp;VAR:SDATE=20081299&amp;VAR:FREQ=DAILY&amp;VAR:RELITEM=&amp;VAR:CURRENCY=&amp;VAR:CURRSOURCE=EXSHARE&amp;","VAR:NATFREQ=QUARTERLY&amp;VAR:RFIELD=FINALIZED&amp;VAR:DB_TYPE=&amp;VAR:UNITS=M&amp;window=popup&amp;width=450&amp;height=300&amp;START_MAXIMIZED=FALSE"}</definedName>
    <definedName name="_2786__FDSAUDITLINK__" hidden="1">{"fdsup://IBCentral/FAT Viewer?action=UPDATE&amp;creator=factset&amp;DOC_NAME=fat:reuters_qtrly_source_window.fat&amp;display_string=Audit&amp;DYN_ARGS=TRUE&amp;VAR:ID1=14912310&amp;VAR:RCODE=LTCL&amp;VAR:SDATE=20081299&amp;VAR:FREQ=DAILY&amp;VAR:RELITEM=&amp;VAR:CURRENCY=&amp;VAR:CURRSOURCE=EXSHARE&amp;","VAR:NATFREQ=QUARTERLY&amp;VAR:RFIELD=FINALIZED&amp;VAR:DB_TYPE=&amp;VAR:UNITS=M&amp;window=popup&amp;width=450&amp;height=300&amp;START_MAXIMIZED=FALSE"}</definedName>
    <definedName name="_2787__FDSAUDITLINK__" hidden="1">{"fdsup://IBCentral/FAT Viewer?action=UPDATE&amp;creator=factset&amp;DOC_NAME=fat:reuters_qtrly_source_window.fat&amp;display_string=Audit&amp;DYN_ARGS=TRUE&amp;VAR:ID1=14912310&amp;VAR:RCODE=ATCA&amp;VAR:SDATE=20081299&amp;VAR:FREQ=DAILY&amp;VAR:RELITEM=&amp;VAR:CURRENCY=&amp;VAR:CURRSOURCE=EXSHARE&amp;","VAR:NATFREQ=QUARTERLY&amp;VAR:RFIELD=FINALIZED&amp;VAR:DB_TYPE=&amp;VAR:UNITS=M&amp;window=popup&amp;width=450&amp;height=300&amp;START_MAXIMIZED=FALSE"}</definedName>
    <definedName name="_2788__FDSAUDITLINK__" hidden="1">{"fdsup://IBCentral/FAT Viewer?action=UPDATE&amp;creator=factset&amp;DOC_NAME=fat:reuters_qtrly_source_window.fat&amp;display_string=Audit&amp;DYN_ARGS=TRUE&amp;VAR:ID1=14912310&amp;VAR:RCODE=ATOT&amp;VAR:SDATE=20081299&amp;VAR:FREQ=DAILY&amp;VAR:RELITEM=&amp;VAR:CURRENCY=&amp;VAR:CURRSOURCE=EXSHARE&amp;","VAR:NATFREQ=QUARTERLY&amp;VAR:RFIELD=FINALIZED&amp;VAR:DB_TYPE=&amp;VAR:UNITS=M&amp;window=popup&amp;width=450&amp;height=300&amp;START_MAXIMIZED=FALSE"}</definedName>
    <definedName name="_2789__FDSAUDITLINK__" hidden="1">{"fdsup://IBCentral/FAT Viewer?action=UPDATE&amp;creator=factset&amp;DOC_NAME=fat:reuters_qtrly_source_window.fat&amp;display_string=Audit&amp;DYN_ARGS=TRUE&amp;VAR:ID1=93964010&amp;VAR:RCODE=LTLL&amp;VAR:SDATE=20081299&amp;VAR:FREQ=DAILY&amp;VAR:RELITEM=&amp;VAR:CURRENCY=&amp;VAR:CURRSOURCE=EXSHARE&amp;","VAR:NATFREQ=QUARTERLY&amp;VAR:RFIELD=FINALIZED&amp;VAR:DB_TYPE=&amp;VAR:UNITS=M&amp;window=popup&amp;width=450&amp;height=300&amp;START_MAXIMIZED=FALSE"}</definedName>
    <definedName name="_279__FDSAUDITLINK__" hidden="1">{"fdsup://Directions/FactSet Auditing Viewer?action=AUDIT_VALUE&amp;DB=129&amp;ID1=38937510&amp;VALUEID=02999&amp;SDATE=201001&amp;PERIODTYPE=QTR_STD&amp;window=popup_no_bar&amp;width=385&amp;height=120&amp;START_MAXIMIZED=FALSE&amp;creator=factset&amp;display_string=Audit"}</definedName>
    <definedName name="_2790__FDSAUDITLINK__" hidden="1">{"fdsup://IBCentral/FAT Viewer?action=UPDATE&amp;creator=factset&amp;DOC_NAME=fat:reuters_qtrly_source_window.fat&amp;display_string=Audit&amp;DYN_ARGS=TRUE&amp;VAR:ID1=93964010&amp;VAR:RCODE=ATOT&amp;VAR:SDATE=20081299&amp;VAR:FREQ=DAILY&amp;VAR:RELITEM=&amp;VAR:CURRENCY=&amp;VAR:CURRSOURCE=EXSHARE&amp;","VAR:NATFREQ=QUARTERLY&amp;VAR:RFIELD=FINALIZED&amp;VAR:DB_TYPE=&amp;VAR:UNITS=M&amp;window=popup&amp;width=450&amp;height=300&amp;START_MAXIMIZED=FALSE"}</definedName>
    <definedName name="_2791__FDSAUDITLINK__" hidden="1">{"fdsup://IBCentral/FAT Viewer?action=UPDATE&amp;creator=factset&amp;DOC_NAME=fat:reuters_qtrly_source_window.fat&amp;display_string=Audit&amp;DYN_ARGS=TRUE&amp;VAR:ID1=93964010&amp;VAR:RCODE=LTCL&amp;VAR:SDATE=20081299&amp;VAR:FREQ=DAILY&amp;VAR:RELITEM=&amp;VAR:CURRENCY=&amp;VAR:CURRSOURCE=EXSHARE&amp;","VAR:NATFREQ=QUARTERLY&amp;VAR:RFIELD=FINALIZED&amp;VAR:DB_TYPE=&amp;VAR:UNITS=M&amp;window=popup&amp;width=450&amp;height=300&amp;START_MAXIMIZED=FALSE"}</definedName>
    <definedName name="_2792__FDSAUDITLINK__" hidden="1">{"fdsup://IBCentral/FAT Viewer?action=UPDATE&amp;creator=factset&amp;DOC_NAME=fat:reuters_qtrly_source_window.fat&amp;display_string=Audit&amp;DYN_ARGS=TRUE&amp;VAR:ID1=93964010&amp;VAR:RCODE=ATCA&amp;VAR:SDATE=20081299&amp;VAR:FREQ=DAILY&amp;VAR:RELITEM=&amp;VAR:CURRENCY=&amp;VAR:CURRSOURCE=EXSHARE&amp;","VAR:NATFREQ=QUARTERLY&amp;VAR:RFIELD=FINALIZED&amp;VAR:DB_TYPE=&amp;VAR:UNITS=M&amp;window=popup&amp;width=450&amp;height=300&amp;START_MAXIMIZED=FALSE"}</definedName>
    <definedName name="_2793__FDSAUDITLINK__" hidden="1">{"fdsup://IBCentral/FAT Viewer?action=UPDATE&amp;creator=factset&amp;DOC_NAME=fat:reuters_qtrly_source_window.fat&amp;display_string=Audit&amp;DYN_ARGS=TRUE&amp;VAR:ID1=25468710&amp;VAR:RCODE=LTLL&amp;VAR:SDATE=20081299&amp;VAR:FREQ=DAILY&amp;VAR:RELITEM=&amp;VAR:CURRENCY=&amp;VAR:CURRSOURCE=EXSHARE&amp;","VAR:NATFREQ=QUARTERLY&amp;VAR:RFIELD=FINALIZED&amp;VAR:DB_TYPE=&amp;VAR:UNITS=M&amp;window=popup&amp;width=450&amp;height=300&amp;START_MAXIMIZED=FALSE"}</definedName>
    <definedName name="_2794__FDSAUDITLINK__" hidden="1">{"fdsup://IBCentral/FAT Viewer?action=UPDATE&amp;creator=factset&amp;DOC_NAME=fat:reuters_qtrly_source_window.fat&amp;display_string=Audit&amp;DYN_ARGS=TRUE&amp;VAR:ID1=25468710&amp;VAR:RCODE=ATOT&amp;VAR:SDATE=20081299&amp;VAR:FREQ=DAILY&amp;VAR:RELITEM=&amp;VAR:CURRENCY=&amp;VAR:CURRSOURCE=EXSHARE&amp;","VAR:NATFREQ=QUARTERLY&amp;VAR:RFIELD=FINALIZED&amp;VAR:DB_TYPE=&amp;VAR:UNITS=M&amp;window=popup&amp;width=450&amp;height=300&amp;START_MAXIMIZED=FALSE"}</definedName>
    <definedName name="_2795__FDSAUDITLINK__" hidden="1">{"fdsup://IBCentral/FAT Viewer?action=UPDATE&amp;creator=factset&amp;DOC_NAME=fat:reuters_qtrly_source_window.fat&amp;display_string=Audit&amp;DYN_ARGS=TRUE&amp;VAR:ID1=25468710&amp;VAR:RCODE=LTCL&amp;VAR:SDATE=20081299&amp;VAR:FREQ=DAILY&amp;VAR:RELITEM=&amp;VAR:CURRENCY=&amp;VAR:CURRSOURCE=EXSHARE&amp;","VAR:NATFREQ=QUARTERLY&amp;VAR:RFIELD=FINALIZED&amp;VAR:DB_TYPE=&amp;VAR:UNITS=M&amp;window=popup&amp;width=450&amp;height=300&amp;START_MAXIMIZED=FALSE"}</definedName>
    <definedName name="_2796__FDSAUDITLINK__" hidden="1">{"fdsup://IBCentral/FAT Viewer?action=UPDATE&amp;creator=factset&amp;DOC_NAME=fat:reuters_qtrly_source_window.fat&amp;display_string=Audit&amp;DYN_ARGS=TRUE&amp;VAR:ID1=25468710&amp;VAR:RCODE=ATCA&amp;VAR:SDATE=20081299&amp;VAR:FREQ=DAILY&amp;VAR:RELITEM=&amp;VAR:CURRENCY=&amp;VAR:CURRSOURCE=EXSHARE&amp;","VAR:NATFREQ=QUARTERLY&amp;VAR:RFIELD=FINALIZED&amp;VAR:DB_TYPE=&amp;VAR:UNITS=M&amp;window=popup&amp;width=450&amp;height=300&amp;START_MAXIMIZED=FALSE"}</definedName>
    <definedName name="_2797__FDSAUDITLINK__" hidden="1">{"fdsup://IBCentral/FAT Viewer?action=UPDATE&amp;creator=factset&amp;DOC_NAME=fat:reuters_qtrly_source_window.fat&amp;display_string=Audit&amp;DYN_ARGS=TRUE&amp;VAR:ID1=87182910&amp;VAR:RCODE=LTLL&amp;VAR:SDATE=20081299&amp;VAR:FREQ=DAILY&amp;VAR:RELITEM=&amp;VAR:CURRENCY=&amp;VAR:CURRSOURCE=EXSHARE&amp;","VAR:NATFREQ=QUARTERLY&amp;VAR:RFIELD=FINALIZED&amp;VAR:DB_TYPE=&amp;VAR:UNITS=M&amp;window=popup&amp;width=450&amp;height=300&amp;START_MAXIMIZED=FALSE"}</definedName>
    <definedName name="_2798__FDSAUDITLINK__" hidden="1">{"fdsup://IBCentral/FAT Viewer?action=UPDATE&amp;creator=factset&amp;DOC_NAME=fat:reuters_qtrly_source_window.fat&amp;display_string=Audit&amp;DYN_ARGS=TRUE&amp;VAR:ID1=87182910&amp;VAR:RCODE=ATOT&amp;VAR:SDATE=20081299&amp;VAR:FREQ=DAILY&amp;VAR:RELITEM=&amp;VAR:CURRENCY=&amp;VAR:CURRSOURCE=EXSHARE&amp;","VAR:NATFREQ=QUARTERLY&amp;VAR:RFIELD=FINALIZED&amp;VAR:DB_TYPE=&amp;VAR:UNITS=M&amp;window=popup&amp;width=450&amp;height=300&amp;START_MAXIMIZED=FALSE"}</definedName>
    <definedName name="_2799__FDSAUDITLINK__" hidden="1">{"fdsup://IBCentral/FAT Viewer?action=UPDATE&amp;creator=factset&amp;DOC_NAME=fat:reuters_qtrly_source_window.fat&amp;display_string=Audit&amp;DYN_ARGS=TRUE&amp;VAR:ID1=87182910&amp;VAR:RCODE=LTCL&amp;VAR:SDATE=20081299&amp;VAR:FREQ=DAILY&amp;VAR:RELITEM=&amp;VAR:CURRENCY=&amp;VAR:CURRSOURCE=EXSHARE&amp;","VAR:NATFREQ=QUARTERLY&amp;VAR:RFIELD=FINALIZED&amp;VAR:DB_TYPE=&amp;VAR:UNITS=M&amp;window=popup&amp;width=450&amp;height=300&amp;START_MAXIMIZED=FALSE"}</definedName>
    <definedName name="_27IQ_CURRENCY_GAIN_INS" hidden="1">"c238"</definedName>
    <definedName name="_28__FDSAUDITLINK__" hidden="1">{"fdsup://Directions/FactSet Auditing Viewer?action=AUDIT_VALUE&amp;DB=129&amp;ID1=02313510&amp;VALUEID=02999&amp;SDATE=201001&amp;PERIODTYPE=QTR_STD&amp;window=popup_no_bar&amp;width=385&amp;height=120&amp;START_MAXIMIZED=FALSE&amp;creator=factset&amp;display_string=Audit"}</definedName>
    <definedName name="_280__FDSAUDITLINK__" hidden="1">{"fdsup://Directions/FactSet Auditing Viewer?action=AUDIT_VALUE&amp;DB=129&amp;ID1=39060710&amp;VALUEID=02999&amp;SDATE=201001&amp;PERIODTYPE=QTR_STD&amp;window=popup_no_bar&amp;width=385&amp;height=120&amp;START_MAXIMIZED=FALSE&amp;creator=factset&amp;display_string=Audit"}</definedName>
    <definedName name="_2800__FDSAUDITLINK__" hidden="1">{"fdsup://IBCentral/FAT Viewer?action=UPDATE&amp;creator=factset&amp;DOC_NAME=fat:reuters_qtrly_source_window.fat&amp;display_string=Audit&amp;DYN_ARGS=TRUE&amp;VAR:ID1=87182910&amp;VAR:RCODE=ATCA&amp;VAR:SDATE=20081299&amp;VAR:FREQ=DAILY&amp;VAR:RELITEM=&amp;VAR:CURRENCY=&amp;VAR:CURRSOURCE=EXSHARE&amp;","VAR:NATFREQ=QUARTERLY&amp;VAR:RFIELD=FINALIZED&amp;VAR:DB_TYPE=&amp;VAR:UNITS=M&amp;window=popup&amp;width=450&amp;height=300&amp;START_MAXIMIZED=FALSE"}</definedName>
    <definedName name="_2801__FDSAUDITLINK__" hidden="1">{"fdsup://IBCentral/FAT Viewer?action=UPDATE&amp;creator=factset&amp;DOC_NAME=fat:reuters_qtrly_source_window.fat&amp;display_string=Audit&amp;DYN_ARGS=TRUE&amp;VAR:ID1=80685710&amp;VAR:RCODE=LTLL&amp;VAR:SDATE=20081299&amp;VAR:FREQ=DAILY&amp;VAR:RELITEM=&amp;VAR:CURRENCY=&amp;VAR:CURRSOURCE=EXSHARE&amp;","VAR:NATFREQ=QUARTERLY&amp;VAR:RFIELD=FINALIZED&amp;VAR:DB_TYPE=&amp;VAR:UNITS=M&amp;window=popup&amp;width=450&amp;height=300&amp;START_MAXIMIZED=FALSE"}</definedName>
    <definedName name="_2802__FDSAUDITLINK__" hidden="1">{"fdsup://IBCentral/FAT Viewer?action=UPDATE&amp;creator=factset&amp;DOC_NAME=fat:reuters_qtrly_source_window.fat&amp;display_string=Audit&amp;DYN_ARGS=TRUE&amp;VAR:ID1=80685710&amp;VAR:RCODE=ATOT&amp;VAR:SDATE=20081299&amp;VAR:FREQ=DAILY&amp;VAR:RELITEM=&amp;VAR:CURRENCY=&amp;VAR:CURRSOURCE=EXSHARE&amp;","VAR:NATFREQ=QUARTERLY&amp;VAR:RFIELD=FINALIZED&amp;VAR:DB_TYPE=&amp;VAR:UNITS=M&amp;window=popup&amp;width=450&amp;height=300&amp;START_MAXIMIZED=FALSE"}</definedName>
    <definedName name="_2803__FDSAUDITLINK__" hidden="1">{"fdsup://IBCentral/FAT Viewer?action=UPDATE&amp;creator=factset&amp;DOC_NAME=fat:reuters_qtrly_source_window.fat&amp;display_string=Audit&amp;DYN_ARGS=TRUE&amp;VAR:ID1=80685710&amp;VAR:RCODE=LTCL&amp;VAR:SDATE=20081299&amp;VAR:FREQ=DAILY&amp;VAR:RELITEM=&amp;VAR:CURRENCY=&amp;VAR:CURRSOURCE=EXSHARE&amp;","VAR:NATFREQ=QUARTERLY&amp;VAR:RFIELD=FINALIZED&amp;VAR:DB_TYPE=&amp;VAR:UNITS=M&amp;window=popup&amp;width=450&amp;height=300&amp;START_MAXIMIZED=FALSE"}</definedName>
    <definedName name="_2804__FDSAUDITLINK__" hidden="1">{"fdsup://IBCentral/FAT Viewer?action=UPDATE&amp;creator=factset&amp;DOC_NAME=fat:reuters_qtrly_source_window.fat&amp;display_string=Audit&amp;DYN_ARGS=TRUE&amp;VAR:ID1=80685710&amp;VAR:RCODE=ATCA&amp;VAR:SDATE=20081299&amp;VAR:FREQ=DAILY&amp;VAR:RELITEM=&amp;VAR:CURRENCY=&amp;VAR:CURRSOURCE=EXSHARE&amp;","VAR:NATFREQ=QUARTERLY&amp;VAR:RFIELD=FINALIZED&amp;VAR:DB_TYPE=&amp;VAR:UNITS=M&amp;window=popup&amp;width=450&amp;height=300&amp;START_MAXIMIZED=FALSE"}</definedName>
    <definedName name="_2805__FDSAUDITLINK__" hidden="1">{"fdsup://IBCentral/FAT Viewer?action=UPDATE&amp;creator=factset&amp;DOC_NAME=fat:reuters_qtrly_source_window.fat&amp;display_string=Audit&amp;DYN_ARGS=TRUE&amp;VAR:ID1=77434110&amp;VAR:RCODE=LTLL&amp;VAR:SDATE=20081299&amp;VAR:FREQ=DAILY&amp;VAR:RELITEM=&amp;VAR:CURRENCY=&amp;VAR:CURRSOURCE=EXSHARE&amp;","VAR:NATFREQ=QUARTERLY&amp;VAR:RFIELD=FINALIZED&amp;VAR:DB_TYPE=&amp;VAR:UNITS=M&amp;window=popup&amp;width=450&amp;height=300&amp;START_MAXIMIZED=FALSE"}</definedName>
    <definedName name="_2806__FDSAUDITLINK__" hidden="1">{"fdsup://IBCentral/FAT Viewer?action=UPDATE&amp;creator=factset&amp;DOC_NAME=fat:reuters_qtrly_source_window.fat&amp;display_string=Audit&amp;DYN_ARGS=TRUE&amp;VAR:ID1=77434110&amp;VAR:RCODE=ATOT&amp;VAR:SDATE=20081299&amp;VAR:FREQ=DAILY&amp;VAR:RELITEM=&amp;VAR:CURRENCY=&amp;VAR:CURRSOURCE=EXSHARE&amp;","VAR:NATFREQ=QUARTERLY&amp;VAR:RFIELD=FINALIZED&amp;VAR:DB_TYPE=&amp;VAR:UNITS=M&amp;window=popup&amp;width=450&amp;height=300&amp;START_MAXIMIZED=FALSE"}</definedName>
    <definedName name="_2807__FDSAUDITLINK__" hidden="1">{"fdsup://IBCentral/FAT Viewer?action=UPDATE&amp;creator=factset&amp;DOC_NAME=fat:reuters_qtrly_source_window.fat&amp;display_string=Audit&amp;DYN_ARGS=TRUE&amp;VAR:ID1=77434110&amp;VAR:RCODE=LTCL&amp;VAR:SDATE=20081299&amp;VAR:FREQ=DAILY&amp;VAR:RELITEM=&amp;VAR:CURRENCY=&amp;VAR:CURRSOURCE=EXSHARE&amp;","VAR:NATFREQ=QUARTERLY&amp;VAR:RFIELD=FINALIZED&amp;VAR:DB_TYPE=&amp;VAR:UNITS=M&amp;window=popup&amp;width=450&amp;height=300&amp;START_MAXIMIZED=FALSE"}</definedName>
    <definedName name="_2808__FDSAUDITLINK__" hidden="1">{"fdsup://IBCentral/FAT Viewer?action=UPDATE&amp;creator=factset&amp;DOC_NAME=fat:reuters_qtrly_source_window.fat&amp;display_string=Audit&amp;DYN_ARGS=TRUE&amp;VAR:ID1=77434110&amp;VAR:RCODE=ATCA&amp;VAR:SDATE=20081299&amp;VAR:FREQ=DAILY&amp;VAR:RELITEM=&amp;VAR:CURRENCY=&amp;VAR:CURRSOURCE=EXSHARE&amp;","VAR:NATFREQ=QUARTERLY&amp;VAR:RFIELD=FINALIZED&amp;VAR:DB_TYPE=&amp;VAR:UNITS=M&amp;window=popup&amp;width=450&amp;height=300&amp;START_MAXIMIZED=FALSE"}</definedName>
    <definedName name="_2809__FDSAUDITLINK__" hidden="1">{"fdsup://IBCentral/FAT Viewer?action=UPDATE&amp;creator=factset&amp;DOC_NAME=fat:reuters_qtrly_source_window.fat&amp;display_string=Audit&amp;DYN_ARGS=TRUE&amp;VAR:ID1=72447910&amp;VAR:RCODE=LTLL&amp;VAR:SDATE=20081299&amp;VAR:FREQ=DAILY&amp;VAR:RELITEM=&amp;VAR:CURRENCY=&amp;VAR:CURRSOURCE=EXSHARE&amp;","VAR:NATFREQ=QUARTERLY&amp;VAR:RFIELD=FINALIZED&amp;VAR:DB_TYPE=&amp;VAR:UNITS=M&amp;window=popup&amp;width=450&amp;height=300&amp;START_MAXIMIZED=FALSE"}</definedName>
    <definedName name="_281__FDSAUDITLINK__" hidden="1">{"fdsup://Directions/FactSet Auditing Viewer?action=AUDIT_VALUE&amp;DB=129&amp;ID1=39152310&amp;VALUEID=02999&amp;SDATE=201001&amp;PERIODTYPE=QTR_STD&amp;window=popup_no_bar&amp;width=385&amp;height=120&amp;START_MAXIMIZED=FALSE&amp;creator=factset&amp;display_string=Audit"}</definedName>
    <definedName name="_2810__FDSAUDITLINK__" hidden="1">{"fdsup://IBCentral/FAT Viewer?action=UPDATE&amp;creator=factset&amp;DOC_NAME=fat:reuters_qtrly_source_window.fat&amp;display_string=Audit&amp;DYN_ARGS=TRUE&amp;VAR:ID1=72447910&amp;VAR:RCODE=ATOT&amp;VAR:SDATE=20081299&amp;VAR:FREQ=DAILY&amp;VAR:RELITEM=&amp;VAR:CURRENCY=&amp;VAR:CURRSOURCE=EXSHARE&amp;","VAR:NATFREQ=QUARTERLY&amp;VAR:RFIELD=FINALIZED&amp;VAR:DB_TYPE=&amp;VAR:UNITS=M&amp;window=popup&amp;width=450&amp;height=300&amp;START_MAXIMIZED=FALSE"}</definedName>
    <definedName name="_2811__FDSAUDITLINK__" hidden="1">{"fdsup://IBCentral/FAT Viewer?action=UPDATE&amp;creator=factset&amp;DOC_NAME=fat:reuters_qtrly_source_window.fat&amp;display_string=Audit&amp;DYN_ARGS=TRUE&amp;VAR:ID1=72447910&amp;VAR:RCODE=LTCL&amp;VAR:SDATE=20081299&amp;VAR:FREQ=DAILY&amp;VAR:RELITEM=&amp;VAR:CURRENCY=&amp;VAR:CURRSOURCE=EXSHARE&amp;","VAR:NATFREQ=QUARTERLY&amp;VAR:RFIELD=FINALIZED&amp;VAR:DB_TYPE=&amp;VAR:UNITS=M&amp;window=popup&amp;width=450&amp;height=300&amp;START_MAXIMIZED=FALSE"}</definedName>
    <definedName name="_2812__FDSAUDITLINK__" hidden="1">{"fdsup://IBCentral/FAT Viewer?action=UPDATE&amp;creator=factset&amp;DOC_NAME=fat:reuters_qtrly_source_window.fat&amp;display_string=Audit&amp;DYN_ARGS=TRUE&amp;VAR:ID1=72447910&amp;VAR:RCODE=ATCA&amp;VAR:SDATE=20081299&amp;VAR:FREQ=DAILY&amp;VAR:RELITEM=&amp;VAR:CURRENCY=&amp;VAR:CURRSOURCE=EXSHARE&amp;","VAR:NATFREQ=QUARTERLY&amp;VAR:RFIELD=FINALIZED&amp;VAR:DB_TYPE=&amp;VAR:UNITS=M&amp;window=popup&amp;width=450&amp;height=300&amp;START_MAXIMIZED=FALSE"}</definedName>
    <definedName name="_2813__FDSAUDITLINK__" hidden="1">{"fdsup://IBCentral/FAT Viewer?action=UPDATE&amp;creator=factset&amp;DOC_NAME=fat:reuters_qtrly_source_window.fat&amp;display_string=Audit&amp;DYN_ARGS=TRUE&amp;VAR:ID1=69371810&amp;VAR:RCODE=LTLL&amp;VAR:SDATE=20081299&amp;VAR:FREQ=DAILY&amp;VAR:RELITEM=&amp;VAR:CURRENCY=&amp;VAR:CURRSOURCE=EXSHARE&amp;","VAR:NATFREQ=QUARTERLY&amp;VAR:RFIELD=FINALIZED&amp;VAR:DB_TYPE=&amp;VAR:UNITS=M&amp;window=popup&amp;width=450&amp;height=300&amp;START_MAXIMIZED=FALSE"}</definedName>
    <definedName name="_2814__FDSAUDITLINK__" hidden="1">{"fdsup://IBCentral/FAT Viewer?action=UPDATE&amp;creator=factset&amp;DOC_NAME=fat:reuters_qtrly_source_window.fat&amp;display_string=Audit&amp;DYN_ARGS=TRUE&amp;VAR:ID1=69371810&amp;VAR:RCODE=ATOT&amp;VAR:SDATE=20081299&amp;VAR:FREQ=DAILY&amp;VAR:RELITEM=&amp;VAR:CURRENCY=&amp;VAR:CURRSOURCE=EXSHARE&amp;","VAR:NATFREQ=QUARTERLY&amp;VAR:RFIELD=FINALIZED&amp;VAR:DB_TYPE=&amp;VAR:UNITS=M&amp;window=popup&amp;width=450&amp;height=300&amp;START_MAXIMIZED=FALSE"}</definedName>
    <definedName name="_2815__FDSAUDITLINK__" hidden="1">{"fdsup://IBCentral/FAT Viewer?action=UPDATE&amp;creator=factset&amp;DOC_NAME=fat:reuters_qtrly_source_window.fat&amp;display_string=Audit&amp;DYN_ARGS=TRUE&amp;VAR:ID1=69371810&amp;VAR:RCODE=LTCL&amp;VAR:SDATE=20081299&amp;VAR:FREQ=DAILY&amp;VAR:RELITEM=&amp;VAR:CURRENCY=&amp;VAR:CURRSOURCE=EXSHARE&amp;","VAR:NATFREQ=QUARTERLY&amp;VAR:RFIELD=FINALIZED&amp;VAR:DB_TYPE=&amp;VAR:UNITS=M&amp;window=popup&amp;width=450&amp;height=300&amp;START_MAXIMIZED=FALSE"}</definedName>
    <definedName name="_2816__FDSAUDITLINK__" hidden="1">{"fdsup://IBCentral/FAT Viewer?action=UPDATE&amp;creator=factset&amp;DOC_NAME=fat:reuters_qtrly_source_window.fat&amp;display_string=Audit&amp;DYN_ARGS=TRUE&amp;VAR:ID1=69371810&amp;VAR:RCODE=ATCA&amp;VAR:SDATE=20081299&amp;VAR:FREQ=DAILY&amp;VAR:RELITEM=&amp;VAR:CURRENCY=&amp;VAR:CURRSOURCE=EXSHARE&amp;","VAR:NATFREQ=QUARTERLY&amp;VAR:RFIELD=FINALIZED&amp;VAR:DB_TYPE=&amp;VAR:UNITS=M&amp;window=popup&amp;width=450&amp;height=300&amp;START_MAXIMIZED=FALSE"}</definedName>
    <definedName name="_2817__FDSAUDITLINK__" hidden="1">{"fdsup://IBCentral/FAT Viewer?action=UPDATE&amp;creator=factset&amp;DOC_NAME=fat:reuters_qtrly_source_window.fat&amp;display_string=Audit&amp;DYN_ARGS=TRUE&amp;VAR:ID1=62949110&amp;VAR:RCODE=LTLL&amp;VAR:SDATE=20081299&amp;VAR:FREQ=DAILY&amp;VAR:RELITEM=&amp;VAR:CURRENCY=&amp;VAR:CURRSOURCE=EXSHARE&amp;","VAR:NATFREQ=QUARTERLY&amp;VAR:RFIELD=FINALIZED&amp;VAR:DB_TYPE=&amp;VAR:UNITS=M&amp;window=popup&amp;width=450&amp;height=300&amp;START_MAXIMIZED=FALSE"}</definedName>
    <definedName name="_2818__FDSAUDITLINK__" hidden="1">{"fdsup://IBCentral/FAT Viewer?action=UPDATE&amp;creator=factset&amp;DOC_NAME=fat:reuters_qtrly_source_window.fat&amp;display_string=Audit&amp;DYN_ARGS=TRUE&amp;VAR:ID1=62949110&amp;VAR:RCODE=ATOT&amp;VAR:SDATE=20081299&amp;VAR:FREQ=DAILY&amp;VAR:RELITEM=&amp;VAR:CURRENCY=&amp;VAR:CURRSOURCE=EXSHARE&amp;","VAR:NATFREQ=QUARTERLY&amp;VAR:RFIELD=FINALIZED&amp;VAR:DB_TYPE=&amp;VAR:UNITS=M&amp;window=popup&amp;width=450&amp;height=300&amp;START_MAXIMIZED=FALSE"}</definedName>
    <definedName name="_2819__FDSAUDITLINK__" hidden="1">{"fdsup://IBCentral/FAT Viewer?action=UPDATE&amp;creator=factset&amp;DOC_NAME=fat:reuters_qtrly_source_window.fat&amp;display_string=Audit&amp;DYN_ARGS=TRUE&amp;VAR:ID1=62949110&amp;VAR:RCODE=LTCL&amp;VAR:SDATE=20081299&amp;VAR:FREQ=DAILY&amp;VAR:RELITEM=&amp;VAR:CURRENCY=&amp;VAR:CURRSOURCE=EXSHARE&amp;","VAR:NATFREQ=QUARTERLY&amp;VAR:RFIELD=FINALIZED&amp;VAR:DB_TYPE=&amp;VAR:UNITS=M&amp;window=popup&amp;width=450&amp;height=300&amp;START_MAXIMIZED=FALSE"}</definedName>
    <definedName name="_282__FDSAUDITLINK__" hidden="1">{"fdsup://Directions/FactSet Auditing Viewer?action=AUDIT_VALUE&amp;DB=129&amp;ID1=39762410&amp;VALUEID=02999&amp;SDATE=201002&amp;PERIODTYPE=QTR_STD&amp;window=popup_no_bar&amp;width=385&amp;height=120&amp;START_MAXIMIZED=FALSE&amp;creator=factset&amp;display_string=Audit"}</definedName>
    <definedName name="_2820__FDSAUDITLINK__" hidden="1">{"fdsup://IBCentral/FAT Viewer?action=UPDATE&amp;creator=factset&amp;DOC_NAME=fat:reuters_qtrly_source_window.fat&amp;display_string=Audit&amp;DYN_ARGS=TRUE&amp;VAR:ID1=62949110&amp;VAR:RCODE=ATCA&amp;VAR:SDATE=20081299&amp;VAR:FREQ=DAILY&amp;VAR:RELITEM=&amp;VAR:CURRENCY=&amp;VAR:CURRSOURCE=EXSHARE&amp;","VAR:NATFREQ=QUARTERLY&amp;VAR:RFIELD=FINALIZED&amp;VAR:DB_TYPE=&amp;VAR:UNITS=M&amp;window=popup&amp;width=450&amp;height=300&amp;START_MAXIMIZED=FALSE"}</definedName>
    <definedName name="_2821__FDSAUDITLINK__" hidden="1">{"fdsup://IBCentral/FAT Viewer?action=UPDATE&amp;creator=factset&amp;DOC_NAME=fat:reuters_qtrly_source_window.fat&amp;display_string=Audit&amp;DYN_ARGS=TRUE&amp;VAR:ID1=67034610&amp;VAR:RCODE=LTLL&amp;VAR:SDATE=20081299&amp;VAR:FREQ=DAILY&amp;VAR:RELITEM=&amp;VAR:CURRENCY=&amp;VAR:CURRSOURCE=EXSHARE&amp;","VAR:NATFREQ=QUARTERLY&amp;VAR:RFIELD=FINALIZED&amp;VAR:DB_TYPE=&amp;VAR:UNITS=M&amp;window=popup&amp;width=450&amp;height=300&amp;START_MAXIMIZED=FALSE"}</definedName>
    <definedName name="_2822__FDSAUDITLINK__" hidden="1">{"fdsup://IBCentral/FAT Viewer?action=UPDATE&amp;creator=factset&amp;DOC_NAME=fat:reuters_qtrly_source_window.fat&amp;display_string=Audit&amp;DYN_ARGS=TRUE&amp;VAR:ID1=67034610&amp;VAR:RCODE=ATOT&amp;VAR:SDATE=20081299&amp;VAR:FREQ=DAILY&amp;VAR:RELITEM=&amp;VAR:CURRENCY=&amp;VAR:CURRSOURCE=EXSHARE&amp;","VAR:NATFREQ=QUARTERLY&amp;VAR:RFIELD=FINALIZED&amp;VAR:DB_TYPE=&amp;VAR:UNITS=M&amp;window=popup&amp;width=450&amp;height=300&amp;START_MAXIMIZED=FALSE"}</definedName>
    <definedName name="_2823__FDSAUDITLINK__" hidden="1">{"fdsup://IBCentral/FAT Viewer?action=UPDATE&amp;creator=factset&amp;DOC_NAME=fat:reuters_qtrly_source_window.fat&amp;display_string=Audit&amp;DYN_ARGS=TRUE&amp;VAR:ID1=67034610&amp;VAR:RCODE=LTCL&amp;VAR:SDATE=20081299&amp;VAR:FREQ=DAILY&amp;VAR:RELITEM=&amp;VAR:CURRENCY=&amp;VAR:CURRSOURCE=EXSHARE&amp;","VAR:NATFREQ=QUARTERLY&amp;VAR:RFIELD=FINALIZED&amp;VAR:DB_TYPE=&amp;VAR:UNITS=M&amp;window=popup&amp;width=450&amp;height=300&amp;START_MAXIMIZED=FALSE"}</definedName>
    <definedName name="_2824__FDSAUDITLINK__" hidden="1">{"fdsup://IBCentral/FAT Viewer?action=UPDATE&amp;creator=factset&amp;DOC_NAME=fat:reuters_qtrly_source_window.fat&amp;display_string=Audit&amp;DYN_ARGS=TRUE&amp;VAR:ID1=67034610&amp;VAR:RCODE=ATCA&amp;VAR:SDATE=20081299&amp;VAR:FREQ=DAILY&amp;VAR:RELITEM=&amp;VAR:CURRENCY=&amp;VAR:CURRSOURCE=EXSHARE&amp;","VAR:NATFREQ=QUARTERLY&amp;VAR:RFIELD=FINALIZED&amp;VAR:DB_TYPE=&amp;VAR:UNITS=M&amp;window=popup&amp;width=450&amp;height=300&amp;START_MAXIMIZED=FALSE"}</definedName>
    <definedName name="_2825__FDSAUDITLINK__" hidden="1">{"fdsup://IBCentral/FAT Viewer?action=UPDATE&amp;creator=factset&amp;DOC_NAME=fat:reuters_qtrly_source_window.fat&amp;display_string=Audit&amp;DYN_ARGS=TRUE&amp;VAR:ID1=65410610&amp;VAR:RCODE=LTLL&amp;VAR:SDATE=20081199&amp;VAR:FREQ=DAILY&amp;VAR:RELITEM=&amp;VAR:CURRENCY=&amp;VAR:CURRSOURCE=EXSHARE&amp;","VAR:NATFREQ=QUARTERLY&amp;VAR:RFIELD=FINALIZED&amp;VAR:DB_TYPE=&amp;VAR:UNITS=M&amp;window=popup&amp;width=450&amp;height=300&amp;START_MAXIMIZED=FALSE"}</definedName>
    <definedName name="_2826__FDSAUDITLINK__" hidden="1">{"fdsup://IBCentral/FAT Viewer?action=UPDATE&amp;creator=factset&amp;DOC_NAME=fat:reuters_qtrly_source_window.fat&amp;display_string=Audit&amp;DYN_ARGS=TRUE&amp;VAR:ID1=65410610&amp;VAR:RCODE=ATOT&amp;VAR:SDATE=20081199&amp;VAR:FREQ=DAILY&amp;VAR:RELITEM=&amp;VAR:CURRENCY=&amp;VAR:CURRSOURCE=EXSHARE&amp;","VAR:NATFREQ=QUARTERLY&amp;VAR:RFIELD=FINALIZED&amp;VAR:DB_TYPE=&amp;VAR:UNITS=M&amp;window=popup&amp;width=450&amp;height=300&amp;START_MAXIMIZED=FALSE"}</definedName>
    <definedName name="_2827__FDSAUDITLINK__" hidden="1">{"fdsup://IBCentral/FAT Viewer?action=UPDATE&amp;creator=factset&amp;DOC_NAME=fat:reuters_qtrly_source_window.fat&amp;display_string=Audit&amp;DYN_ARGS=TRUE&amp;VAR:ID1=65410610&amp;VAR:RCODE=LTCL&amp;VAR:SDATE=20081199&amp;VAR:FREQ=DAILY&amp;VAR:RELITEM=&amp;VAR:CURRENCY=&amp;VAR:CURRSOURCE=EXSHARE&amp;","VAR:NATFREQ=QUARTERLY&amp;VAR:RFIELD=FINALIZED&amp;VAR:DB_TYPE=&amp;VAR:UNITS=M&amp;window=popup&amp;width=450&amp;height=300&amp;START_MAXIMIZED=FALSE"}</definedName>
    <definedName name="_2828__FDSAUDITLINK__" hidden="1">{"fdsup://IBCentral/FAT Viewer?action=UPDATE&amp;creator=factset&amp;DOC_NAME=fat:reuters_qtrly_source_window.fat&amp;display_string=Audit&amp;DYN_ARGS=TRUE&amp;VAR:ID1=65410610&amp;VAR:RCODE=ATCA&amp;VAR:SDATE=20081199&amp;VAR:FREQ=DAILY&amp;VAR:RELITEM=&amp;VAR:CURRENCY=&amp;VAR:CURRSOURCE=EXSHARE&amp;","VAR:NATFREQ=QUARTERLY&amp;VAR:RFIELD=FINALIZED&amp;VAR:DB_TYPE=&amp;VAR:UNITS=M&amp;window=popup&amp;width=450&amp;height=300&amp;START_MAXIMIZED=FALSE"}</definedName>
    <definedName name="_2829__FDSAUDITLINK__" hidden="1">{"fdsup://IBCentral/FAT Viewer?action=UPDATE&amp;creator=factset&amp;DOC_NAME=fat:reuters_qtrly_source_window.fat&amp;display_string=Audit&amp;DYN_ARGS=TRUE&amp;VAR:ID1=58505510&amp;VAR:RCODE=LTLL&amp;VAR:SDATE=20081099&amp;VAR:FREQ=DAILY&amp;VAR:RELITEM=&amp;VAR:CURRENCY=&amp;VAR:CURRSOURCE=EXSHARE&amp;","VAR:NATFREQ=QUARTERLY&amp;VAR:RFIELD=FINALIZED&amp;VAR:DB_TYPE=&amp;VAR:UNITS=M&amp;window=popup&amp;width=450&amp;height=300&amp;START_MAXIMIZED=FALSE"}</definedName>
    <definedName name="_283__FDSAUDITLINK__" hidden="1">{"fdsup://Directions/FactSet Auditing Viewer?action=AUDIT_VALUE&amp;DB=129&amp;ID1=39890510&amp;VALUEID=02999&amp;SDATE=201001&amp;PERIODTYPE=QTR_STD&amp;window=popup_no_bar&amp;width=385&amp;height=120&amp;START_MAXIMIZED=FALSE&amp;creator=factset&amp;display_string=Audit"}</definedName>
    <definedName name="_2830__FDSAUDITLINK__" hidden="1">{"fdsup://IBCentral/FAT Viewer?action=UPDATE&amp;creator=factset&amp;DOC_NAME=fat:reuters_qtrly_source_window.fat&amp;display_string=Audit&amp;DYN_ARGS=TRUE&amp;VAR:ID1=58505510&amp;VAR:RCODE=ATOT&amp;VAR:SDATE=20081099&amp;VAR:FREQ=DAILY&amp;VAR:RELITEM=&amp;VAR:CURRENCY=&amp;VAR:CURRSOURCE=EXSHARE&amp;","VAR:NATFREQ=QUARTERLY&amp;VAR:RFIELD=FINALIZED&amp;VAR:DB_TYPE=&amp;VAR:UNITS=M&amp;window=popup&amp;width=450&amp;height=300&amp;START_MAXIMIZED=FALSE"}</definedName>
    <definedName name="_2831__FDSAUDITLINK__" hidden="1">{"fdsup://IBCentral/FAT Viewer?action=UPDATE&amp;creator=factset&amp;DOC_NAME=fat:reuters_qtrly_source_window.fat&amp;display_string=Audit&amp;DYN_ARGS=TRUE&amp;VAR:ID1=58505510&amp;VAR:RCODE=LTCL&amp;VAR:SDATE=20081099&amp;VAR:FREQ=DAILY&amp;VAR:RELITEM=&amp;VAR:CURRENCY=&amp;VAR:CURRSOURCE=EXSHARE&amp;","VAR:NATFREQ=QUARTERLY&amp;VAR:RFIELD=FINALIZED&amp;VAR:DB_TYPE=&amp;VAR:UNITS=M&amp;window=popup&amp;width=450&amp;height=300&amp;START_MAXIMIZED=FALSE"}</definedName>
    <definedName name="_2832__FDSAUDITLINK__" hidden="1">{"fdsup://IBCentral/FAT Viewer?action=UPDATE&amp;creator=factset&amp;DOC_NAME=fat:reuters_qtrly_source_window.fat&amp;display_string=Audit&amp;DYN_ARGS=TRUE&amp;VAR:ID1=58505510&amp;VAR:RCODE=ATCA&amp;VAR:SDATE=20081099&amp;VAR:FREQ=DAILY&amp;VAR:RELITEM=&amp;VAR:CURRENCY=&amp;VAR:CURRSOURCE=EXSHARE&amp;","VAR:NATFREQ=QUARTERLY&amp;VAR:RFIELD=FINALIZED&amp;VAR:DB_TYPE=&amp;VAR:UNITS=M&amp;window=popup&amp;width=450&amp;height=300&amp;START_MAXIMIZED=FALSE"}</definedName>
    <definedName name="_2833__FDSAUDITLINK__" hidden="1">{"fdsup://IBCentral/FAT Viewer?action=UPDATE&amp;creator=factset&amp;DOC_NAME=fat:reuters_qtrly_source_window.fat&amp;display_string=Audit&amp;DYN_ARGS=TRUE&amp;VAR:ID1=58064510&amp;VAR:RCODE=LTLL&amp;VAR:SDATE=20081299&amp;VAR:FREQ=DAILY&amp;VAR:RELITEM=&amp;VAR:CURRENCY=&amp;VAR:CURRSOURCE=EXSHARE&amp;","VAR:NATFREQ=QUARTERLY&amp;VAR:RFIELD=FINALIZED&amp;VAR:DB_TYPE=&amp;VAR:UNITS=M&amp;window=popup&amp;width=450&amp;height=300&amp;START_MAXIMIZED=FALSE"}</definedName>
    <definedName name="_2834__FDSAUDITLINK__" hidden="1">{"fdsup://IBCentral/FAT Viewer?action=UPDATE&amp;creator=factset&amp;DOC_NAME=fat:reuters_qtrly_source_window.fat&amp;display_string=Audit&amp;DYN_ARGS=TRUE&amp;VAR:ID1=58064510&amp;VAR:RCODE=ATOT&amp;VAR:SDATE=20081299&amp;VAR:FREQ=DAILY&amp;VAR:RELITEM=&amp;VAR:CURRENCY=&amp;VAR:CURRSOURCE=EXSHARE&amp;","VAR:NATFREQ=QUARTERLY&amp;VAR:RFIELD=FINALIZED&amp;VAR:DB_TYPE=&amp;VAR:UNITS=M&amp;window=popup&amp;width=450&amp;height=300&amp;START_MAXIMIZED=FALSE"}</definedName>
    <definedName name="_2835__FDSAUDITLINK__" hidden="1">{"fdsup://IBCentral/FAT Viewer?action=UPDATE&amp;creator=factset&amp;DOC_NAME=fat:reuters_qtrly_source_window.fat&amp;display_string=Audit&amp;DYN_ARGS=TRUE&amp;VAR:ID1=58064510&amp;VAR:RCODE=LTCL&amp;VAR:SDATE=20081299&amp;VAR:FREQ=DAILY&amp;VAR:RELITEM=&amp;VAR:CURRENCY=&amp;VAR:CURRSOURCE=EXSHARE&amp;","VAR:NATFREQ=QUARTERLY&amp;VAR:RFIELD=FINALIZED&amp;VAR:DB_TYPE=&amp;VAR:UNITS=M&amp;window=popup&amp;width=450&amp;height=300&amp;START_MAXIMIZED=FALSE"}</definedName>
    <definedName name="_2836__FDSAUDITLINK__" hidden="1">{"fdsup://IBCentral/FAT Viewer?action=UPDATE&amp;creator=factset&amp;DOC_NAME=fat:reuters_qtrly_source_window.fat&amp;display_string=Audit&amp;DYN_ARGS=TRUE&amp;VAR:ID1=58064510&amp;VAR:RCODE=ATCA&amp;VAR:SDATE=20081299&amp;VAR:FREQ=DAILY&amp;VAR:RELITEM=&amp;VAR:CURRENCY=&amp;VAR:CURRSOURCE=EXSHARE&amp;","VAR:NATFREQ=QUARTERLY&amp;VAR:RFIELD=FINALIZED&amp;VAR:DB_TYPE=&amp;VAR:UNITS=M&amp;window=popup&amp;width=450&amp;height=300&amp;START_MAXIMIZED=FALSE"}</definedName>
    <definedName name="_2837__FDSAUDITLINK__" hidden="1">{"fdsup://IBCentral/FAT Viewer?action=UPDATE&amp;creator=factset&amp;DOC_NAME=fat:reuters_qtrly_source_window.fat&amp;display_string=Audit&amp;DYN_ARGS=TRUE&amp;VAR:ID1=54866110&amp;VAR:RCODE=LTLL&amp;VAR:SDATE=20081099&amp;VAR:FREQ=DAILY&amp;VAR:RELITEM=&amp;VAR:CURRENCY=&amp;VAR:CURRSOURCE=EXSHARE&amp;","VAR:NATFREQ=QUARTERLY&amp;VAR:RFIELD=FINALIZED&amp;VAR:DB_TYPE=&amp;VAR:UNITS=M&amp;window=popup&amp;width=450&amp;height=300&amp;START_MAXIMIZED=FALSE"}</definedName>
    <definedName name="_2838__FDSAUDITLINK__" hidden="1">{"fdsup://IBCentral/FAT Viewer?action=UPDATE&amp;creator=factset&amp;DOC_NAME=fat:reuters_qtrly_source_window.fat&amp;display_string=Audit&amp;DYN_ARGS=TRUE&amp;VAR:ID1=54866110&amp;VAR:RCODE=ATOT&amp;VAR:SDATE=20081099&amp;VAR:FREQ=DAILY&amp;VAR:RELITEM=&amp;VAR:CURRENCY=&amp;VAR:CURRSOURCE=EXSHARE&amp;","VAR:NATFREQ=QUARTERLY&amp;VAR:RFIELD=FINALIZED&amp;VAR:DB_TYPE=&amp;VAR:UNITS=M&amp;window=popup&amp;width=450&amp;height=300&amp;START_MAXIMIZED=FALSE"}</definedName>
    <definedName name="_2839__FDSAUDITLINK__" hidden="1">{"fdsup://IBCentral/FAT Viewer?action=UPDATE&amp;creator=factset&amp;DOC_NAME=fat:reuters_qtrly_source_window.fat&amp;display_string=Audit&amp;DYN_ARGS=TRUE&amp;VAR:ID1=54866110&amp;VAR:RCODE=LTCL&amp;VAR:SDATE=20081099&amp;VAR:FREQ=DAILY&amp;VAR:RELITEM=&amp;VAR:CURRENCY=&amp;VAR:CURRSOURCE=EXSHARE&amp;","VAR:NATFREQ=QUARTERLY&amp;VAR:RFIELD=FINALIZED&amp;VAR:DB_TYPE=&amp;VAR:UNITS=M&amp;window=popup&amp;width=450&amp;height=300&amp;START_MAXIMIZED=FALSE"}</definedName>
    <definedName name="_284__FDSAUDITLINK__" hidden="1">{"fdsup://Directions/FactSet Auditing Viewer?action=AUDIT_VALUE&amp;DB=129&amp;ID1=40262920&amp;VALUEID=02999&amp;SDATE=201001&amp;PERIODTYPE=QTR_STD&amp;window=popup_no_bar&amp;width=385&amp;height=120&amp;START_MAXIMIZED=FALSE&amp;creator=factset&amp;display_string=Audit"}</definedName>
    <definedName name="_2840__FDSAUDITLINK__" hidden="1">{"fdsup://IBCentral/FAT Viewer?action=UPDATE&amp;creator=factset&amp;DOC_NAME=fat:reuters_qtrly_source_window.fat&amp;display_string=Audit&amp;DYN_ARGS=TRUE&amp;VAR:ID1=54866110&amp;VAR:RCODE=ATCA&amp;VAR:SDATE=20081099&amp;VAR:FREQ=DAILY&amp;VAR:RELITEM=&amp;VAR:CURRENCY=&amp;VAR:CURRSOURCE=EXSHARE&amp;","VAR:NATFREQ=QUARTERLY&amp;VAR:RFIELD=FINALIZED&amp;VAR:DB_TYPE=&amp;VAR:UNITS=M&amp;window=popup&amp;width=450&amp;height=300&amp;START_MAXIMIZED=FALSE"}</definedName>
    <definedName name="_2841__FDSAUDITLINK__" hidden="1">{"fdsup://IBCentral/FAT Viewer?action=UPDATE&amp;creator=factset&amp;DOC_NAME=fat:reuters_qtrly_source_window.fat&amp;display_string=Audit&amp;DYN_ARGS=TRUE&amp;VAR:ID1=45920010&amp;VAR:RCODE=LTLL&amp;VAR:SDATE=20081299&amp;VAR:FREQ=DAILY&amp;VAR:RELITEM=&amp;VAR:CURRENCY=&amp;VAR:CURRSOURCE=EXSHARE&amp;","VAR:NATFREQ=QUARTERLY&amp;VAR:RFIELD=FINALIZED&amp;VAR:DB_TYPE=&amp;VAR:UNITS=M&amp;window=popup&amp;width=450&amp;height=300&amp;START_MAXIMIZED=FALSE"}</definedName>
    <definedName name="_2842__FDSAUDITLINK__" hidden="1">{"fdsup://IBCentral/FAT Viewer?action=UPDATE&amp;creator=factset&amp;DOC_NAME=fat:reuters_qtrly_source_window.fat&amp;display_string=Audit&amp;DYN_ARGS=TRUE&amp;VAR:ID1=45920010&amp;VAR:RCODE=ATOT&amp;VAR:SDATE=20081299&amp;VAR:FREQ=DAILY&amp;VAR:RELITEM=&amp;VAR:CURRENCY=&amp;VAR:CURRSOURCE=EXSHARE&amp;","VAR:NATFREQ=QUARTERLY&amp;VAR:RFIELD=FINALIZED&amp;VAR:DB_TYPE=&amp;VAR:UNITS=M&amp;window=popup&amp;width=450&amp;height=300&amp;START_MAXIMIZED=FALSE"}</definedName>
    <definedName name="_2843__FDSAUDITLINK__" hidden="1">{"fdsup://IBCentral/FAT Viewer?action=UPDATE&amp;creator=factset&amp;DOC_NAME=fat:reuters_qtrly_source_window.fat&amp;display_string=Audit&amp;DYN_ARGS=TRUE&amp;VAR:ID1=45920010&amp;VAR:RCODE=LTCL&amp;VAR:SDATE=20081299&amp;VAR:FREQ=DAILY&amp;VAR:RELITEM=&amp;VAR:CURRENCY=&amp;VAR:CURRSOURCE=EXSHARE&amp;","VAR:NATFREQ=QUARTERLY&amp;VAR:RFIELD=FINALIZED&amp;VAR:DB_TYPE=&amp;VAR:UNITS=M&amp;window=popup&amp;width=450&amp;height=300&amp;START_MAXIMIZED=FALSE"}</definedName>
    <definedName name="_2844__FDSAUDITLINK__" hidden="1">{"fdsup://IBCentral/FAT Viewer?action=UPDATE&amp;creator=factset&amp;DOC_NAME=fat:reuters_qtrly_source_window.fat&amp;display_string=Audit&amp;DYN_ARGS=TRUE&amp;VAR:ID1=45920010&amp;VAR:RCODE=ATCA&amp;VAR:SDATE=20081299&amp;VAR:FREQ=DAILY&amp;VAR:RELITEM=&amp;VAR:CURRENCY=&amp;VAR:CURRSOURCE=EXSHARE&amp;","VAR:NATFREQ=QUARTERLY&amp;VAR:RFIELD=FINALIZED&amp;VAR:DB_TYPE=&amp;VAR:UNITS=M&amp;window=popup&amp;width=450&amp;height=300&amp;START_MAXIMIZED=FALSE"}</definedName>
    <definedName name="_2845__FDSAUDITLINK__" hidden="1">{"fdsup://IBCentral/FAT Viewer?action=UPDATE&amp;creator=factset&amp;DOC_NAME=fat:reuters_qtrly_source_window.fat&amp;display_string=Audit&amp;DYN_ARGS=TRUE&amp;VAR:ID1=36871040&amp;VAR:RCODE=LTLL&amp;VAR:SDATE=20081299&amp;VAR:FREQ=DAILY&amp;VAR:RELITEM=&amp;VAR:CURRENCY=&amp;VAR:CURRSOURCE=EXSHARE&amp;","VAR:NATFREQ=QUARTERLY&amp;VAR:RFIELD=FINALIZED&amp;VAR:DB_TYPE=&amp;VAR:UNITS=M&amp;window=popup&amp;width=450&amp;height=300&amp;START_MAXIMIZED=FALSE"}</definedName>
    <definedName name="_2846__FDSAUDITLINK__" hidden="1">{"fdsup://IBCentral/FAT Viewer?action=UPDATE&amp;creator=factset&amp;DOC_NAME=fat:reuters_qtrly_source_window.fat&amp;display_string=Audit&amp;DYN_ARGS=TRUE&amp;VAR:ID1=36871040&amp;VAR:RCODE=ATOT&amp;VAR:SDATE=20081299&amp;VAR:FREQ=DAILY&amp;VAR:RELITEM=&amp;VAR:CURRENCY=&amp;VAR:CURRSOURCE=EXSHARE&amp;","VAR:NATFREQ=QUARTERLY&amp;VAR:RFIELD=FINALIZED&amp;VAR:DB_TYPE=&amp;VAR:UNITS=M&amp;window=popup&amp;width=450&amp;height=300&amp;START_MAXIMIZED=FALSE"}</definedName>
    <definedName name="_2847__FDSAUDITLINK__" hidden="1">{"fdsup://IBCentral/FAT Viewer?action=UPDATE&amp;creator=factset&amp;DOC_NAME=fat:reuters_qtrly_source_window.fat&amp;display_string=Audit&amp;DYN_ARGS=TRUE&amp;VAR:ID1=36871040&amp;VAR:RCODE=LTCL&amp;VAR:SDATE=20081299&amp;VAR:FREQ=DAILY&amp;VAR:RELITEM=&amp;VAR:CURRENCY=&amp;VAR:CURRSOURCE=EXSHARE&amp;","VAR:NATFREQ=QUARTERLY&amp;VAR:RFIELD=FINALIZED&amp;VAR:DB_TYPE=&amp;VAR:UNITS=M&amp;window=popup&amp;width=450&amp;height=300&amp;START_MAXIMIZED=FALSE"}</definedName>
    <definedName name="_2848__FDSAUDITLINK__" hidden="1">{"fdsup://IBCentral/FAT Viewer?action=UPDATE&amp;creator=factset&amp;DOC_NAME=fat:reuters_qtrly_source_window.fat&amp;display_string=Audit&amp;DYN_ARGS=TRUE&amp;VAR:ID1=36871040&amp;VAR:RCODE=ATCA&amp;VAR:SDATE=20081299&amp;VAR:FREQ=DAILY&amp;VAR:RELITEM=&amp;VAR:CURRENCY=&amp;VAR:CURRSOURCE=EXSHARE&amp;","VAR:NATFREQ=QUARTERLY&amp;VAR:RFIELD=FINALIZED&amp;VAR:DB_TYPE=&amp;VAR:UNITS=M&amp;window=popup&amp;width=450&amp;height=300&amp;START_MAXIMIZED=FALSE"}</definedName>
    <definedName name="_2849__FDSAUDITLINK__" hidden="1">{"fdsup://IBCentral/FAT Viewer?action=UPDATE&amp;creator=factset&amp;DOC_NAME=fat:reuters_qtrly_source_window.fat&amp;display_string=Audit&amp;DYN_ARGS=TRUE&amp;VAR:ID1=53245710&amp;VAR:RCODE=LTLL&amp;VAR:SDATE=20081299&amp;VAR:FREQ=DAILY&amp;VAR:RELITEM=&amp;VAR:CURRENCY=&amp;VAR:CURRSOURCE=EXSHARE&amp;","VAR:NATFREQ=QUARTERLY&amp;VAR:RFIELD=FINALIZED&amp;VAR:DB_TYPE=&amp;VAR:UNITS=M&amp;window=popup&amp;width=450&amp;height=300&amp;START_MAXIMIZED=FALSE"}</definedName>
    <definedName name="_285__FDSAUDITLINK__" hidden="1">{"fdsup://Directions/FactSet Auditing Viewer?action=AUDIT_VALUE&amp;DB=129&amp;ID1=35969410&amp;VALUEID=02999&amp;SDATE=201002&amp;PERIODTYPE=QTR_STD&amp;window=popup_no_bar&amp;width=385&amp;height=120&amp;START_MAXIMIZED=FALSE&amp;creator=factset&amp;display_string=Audit"}</definedName>
    <definedName name="_2850__FDSAUDITLINK__" hidden="1">{"fdsup://IBCentral/FAT Viewer?action=UPDATE&amp;creator=factset&amp;DOC_NAME=fat:reuters_qtrly_source_window.fat&amp;display_string=Audit&amp;DYN_ARGS=TRUE&amp;VAR:ID1=53245710&amp;VAR:RCODE=ATOT&amp;VAR:SDATE=20081299&amp;VAR:FREQ=DAILY&amp;VAR:RELITEM=&amp;VAR:CURRENCY=&amp;VAR:CURRSOURCE=EXSHARE&amp;","VAR:NATFREQ=QUARTERLY&amp;VAR:RFIELD=FINALIZED&amp;VAR:DB_TYPE=&amp;VAR:UNITS=M&amp;window=popup&amp;width=450&amp;height=300&amp;START_MAXIMIZED=FALSE"}</definedName>
    <definedName name="_2851__FDSAUDITLINK__" hidden="1">{"fdsup://IBCentral/FAT Viewer?action=UPDATE&amp;creator=factset&amp;DOC_NAME=fat:reuters_qtrly_source_window.fat&amp;display_string=Audit&amp;DYN_ARGS=TRUE&amp;VAR:ID1=53245710&amp;VAR:RCODE=LTCL&amp;VAR:SDATE=20081299&amp;VAR:FREQ=DAILY&amp;VAR:RELITEM=&amp;VAR:CURRENCY=&amp;VAR:CURRSOURCE=EXSHARE&amp;","VAR:NATFREQ=QUARTERLY&amp;VAR:RFIELD=FINALIZED&amp;VAR:DB_TYPE=&amp;VAR:UNITS=M&amp;window=popup&amp;width=450&amp;height=300&amp;START_MAXIMIZED=FALSE"}</definedName>
    <definedName name="_2852__FDSAUDITLINK__" hidden="1">{"fdsup://IBCentral/FAT Viewer?action=UPDATE&amp;creator=factset&amp;DOC_NAME=fat:reuters_qtrly_source_window.fat&amp;display_string=Audit&amp;DYN_ARGS=TRUE&amp;VAR:ID1=53245710&amp;VAR:RCODE=ATCA&amp;VAR:SDATE=20081299&amp;VAR:FREQ=DAILY&amp;VAR:RELITEM=&amp;VAR:CURRENCY=&amp;VAR:CURRSOURCE=EXSHARE&amp;","VAR:NATFREQ=QUARTERLY&amp;VAR:RFIELD=FINALIZED&amp;VAR:DB_TYPE=&amp;VAR:UNITS=M&amp;window=popup&amp;width=450&amp;height=300&amp;START_MAXIMIZED=FALSE"}</definedName>
    <definedName name="_2853__FDSAUDITLINK__" hidden="1">{"fdsup://IBCentral/FAT Viewer?action=UPDATE&amp;creator=factset&amp;DOC_NAME=fat:reuters_qtrly_source_window.fat&amp;display_string=Audit&amp;DYN_ARGS=TRUE&amp;VAR:ID1=20825C10&amp;VAR:RCODE=LTLL&amp;VAR:SDATE=20081299&amp;VAR:FREQ=DAILY&amp;VAR:RELITEM=&amp;VAR:CURRENCY=&amp;VAR:CURRSOURCE=EXSHARE&amp;","VAR:NATFREQ=QUARTERLY&amp;VAR:RFIELD=FINALIZED&amp;VAR:DB_TYPE=&amp;VAR:UNITS=M&amp;window=popup&amp;width=450&amp;height=300&amp;START_MAXIMIZED=FALSE"}</definedName>
    <definedName name="_2854__FDSAUDITLINK__" hidden="1">{"fdsup://IBCentral/FAT Viewer?action=UPDATE&amp;creator=factset&amp;DOC_NAME=fat:reuters_qtrly_source_window.fat&amp;display_string=Audit&amp;DYN_ARGS=TRUE&amp;VAR:ID1=20825C10&amp;VAR:RCODE=ATOT&amp;VAR:SDATE=20081299&amp;VAR:FREQ=DAILY&amp;VAR:RELITEM=&amp;VAR:CURRENCY=&amp;VAR:CURRSOURCE=EXSHARE&amp;","VAR:NATFREQ=QUARTERLY&amp;VAR:RFIELD=FINALIZED&amp;VAR:DB_TYPE=&amp;VAR:UNITS=M&amp;window=popup&amp;width=450&amp;height=300&amp;START_MAXIMIZED=FALSE"}</definedName>
    <definedName name="_2855__FDSAUDITLINK__" hidden="1">{"fdsup://IBCentral/FAT Viewer?action=UPDATE&amp;creator=factset&amp;DOC_NAME=fat:reuters_qtrly_source_window.fat&amp;display_string=Audit&amp;DYN_ARGS=TRUE&amp;VAR:ID1=20825C10&amp;VAR:RCODE=LTCL&amp;VAR:SDATE=20081299&amp;VAR:FREQ=DAILY&amp;VAR:RELITEM=&amp;VAR:CURRENCY=&amp;VAR:CURRSOURCE=EXSHARE&amp;","VAR:NATFREQ=QUARTERLY&amp;VAR:RFIELD=FINALIZED&amp;VAR:DB_TYPE=&amp;VAR:UNITS=M&amp;window=popup&amp;width=450&amp;height=300&amp;START_MAXIMIZED=FALSE"}</definedName>
    <definedName name="_2856__FDSAUDITLINK__" hidden="1">{"fdsup://IBCentral/FAT Viewer?action=UPDATE&amp;creator=factset&amp;DOC_NAME=fat:reuters_qtrly_source_window.fat&amp;display_string=Audit&amp;DYN_ARGS=TRUE&amp;VAR:ID1=20825C10&amp;VAR:RCODE=ATCA&amp;VAR:SDATE=20081299&amp;VAR:FREQ=DAILY&amp;VAR:RELITEM=&amp;VAR:CURRENCY=&amp;VAR:CURRSOURCE=EXSHARE&amp;","VAR:NATFREQ=QUARTERLY&amp;VAR:RFIELD=FINALIZED&amp;VAR:DB_TYPE=&amp;VAR:UNITS=M&amp;window=popup&amp;width=450&amp;height=300&amp;START_MAXIMIZED=FALSE"}</definedName>
    <definedName name="_2857__FDSAUDITLINK__" hidden="1">{"fdsup://IBCentral/FAT Viewer?action=UPDATE&amp;creator=factset&amp;DOC_NAME=fat:reuters_qtrly_source_window.fat&amp;display_string=Audit&amp;DYN_ARGS=TRUE&amp;VAR:ID1=17275R10&amp;VAR:RCODE=LTLL&amp;VAR:SDATE=20081099&amp;VAR:FREQ=DAILY&amp;VAR:RELITEM=&amp;VAR:CURRENCY=&amp;VAR:CURRSOURCE=EXSHARE&amp;","VAR:NATFREQ=QUARTERLY&amp;VAR:RFIELD=FINALIZED&amp;VAR:DB_TYPE=&amp;VAR:UNITS=M&amp;window=popup&amp;width=450&amp;height=300&amp;START_MAXIMIZED=FALSE"}</definedName>
    <definedName name="_2858__FDSAUDITLINK__" hidden="1">{"fdsup://IBCentral/FAT Viewer?action=UPDATE&amp;creator=factset&amp;DOC_NAME=fat:reuters_qtrly_source_window.fat&amp;display_string=Audit&amp;DYN_ARGS=TRUE&amp;VAR:ID1=17275R10&amp;VAR:RCODE=ATOT&amp;VAR:SDATE=20081099&amp;VAR:FREQ=DAILY&amp;VAR:RELITEM=&amp;VAR:CURRENCY=&amp;VAR:CURRSOURCE=EXSHARE&amp;","VAR:NATFREQ=QUARTERLY&amp;VAR:RFIELD=FINALIZED&amp;VAR:DB_TYPE=&amp;VAR:UNITS=M&amp;window=popup&amp;width=450&amp;height=300&amp;START_MAXIMIZED=FALSE"}</definedName>
    <definedName name="_2859__FDSAUDITLINK__" hidden="1">{"fdsup://IBCentral/FAT Viewer?action=UPDATE&amp;creator=factset&amp;DOC_NAME=fat:reuters_qtrly_source_window.fat&amp;display_string=Audit&amp;DYN_ARGS=TRUE&amp;VAR:ID1=17275R10&amp;VAR:RCODE=LTCL&amp;VAR:SDATE=20081099&amp;VAR:FREQ=DAILY&amp;VAR:RELITEM=&amp;VAR:CURRENCY=&amp;VAR:CURRSOURCE=EXSHARE&amp;","VAR:NATFREQ=QUARTERLY&amp;VAR:RFIELD=FINALIZED&amp;VAR:DB_TYPE=&amp;VAR:UNITS=M&amp;window=popup&amp;width=450&amp;height=300&amp;START_MAXIMIZED=FALSE"}</definedName>
    <definedName name="_286__FDSAUDITLINK__" hidden="1">{"fdsup://Directions/FactSet Auditing Viewer?action=AUDIT_VALUE&amp;DB=129&amp;ID1=40621610&amp;VALUEID=02999&amp;SDATE=201001&amp;PERIODTYPE=QTR_STD&amp;window=popup_no_bar&amp;width=385&amp;height=120&amp;START_MAXIMIZED=FALSE&amp;creator=factset&amp;display_string=Audit"}</definedName>
    <definedName name="_2860__FDSAUDITLINK__" hidden="1">{"fdsup://IBCentral/FAT Viewer?action=UPDATE&amp;creator=factset&amp;DOC_NAME=fat:reuters_qtrly_source_window.fat&amp;display_string=Audit&amp;DYN_ARGS=TRUE&amp;VAR:ID1=17275R10&amp;VAR:RCODE=ATCA&amp;VAR:SDATE=20081099&amp;VAR:FREQ=DAILY&amp;VAR:RELITEM=&amp;VAR:CURRENCY=&amp;VAR:CURRSOURCE=EXSHARE&amp;","VAR:NATFREQ=QUARTERLY&amp;VAR:RFIELD=FINALIZED&amp;VAR:DB_TYPE=&amp;VAR:UNITS=M&amp;window=popup&amp;width=450&amp;height=300&amp;START_MAXIMIZED=FALSE"}</definedName>
    <definedName name="_2861__FDSAUDITLINK__" hidden="1">{"fdsup://IBCentral/FAT Viewer?action=UPDATE&amp;creator=factset&amp;DOC_NAME=fat:reuters_qtrly_source_window.fat&amp;display_string=Audit&amp;DYN_ARGS=TRUE&amp;VAR:ID1=00282410&amp;VAR:RCODE=LTLL&amp;VAR:SDATE=20081299&amp;VAR:FREQ=DAILY&amp;VAR:RELITEM=&amp;VAR:CURRENCY=&amp;VAR:CURRSOURCE=EXSHARE&amp;","VAR:NATFREQ=QUARTERLY&amp;VAR:RFIELD=FINALIZED&amp;VAR:DB_TYPE=&amp;VAR:UNITS=M&amp;window=popup&amp;width=450&amp;height=300&amp;START_MAXIMIZED=FALSE"}</definedName>
    <definedName name="_2862__FDSAUDITLINK__" hidden="1">{"fdsup://IBCentral/FAT Viewer?action=UPDATE&amp;creator=factset&amp;DOC_NAME=fat:reuters_qtrly_source_window.fat&amp;display_string=Audit&amp;DYN_ARGS=TRUE&amp;VAR:ID1=00282410&amp;VAR:RCODE=ATOT&amp;VAR:SDATE=20081299&amp;VAR:FREQ=DAILY&amp;VAR:RELITEM=&amp;VAR:CURRENCY=&amp;VAR:CURRSOURCE=EXSHARE&amp;","VAR:NATFREQ=QUARTERLY&amp;VAR:RFIELD=FINALIZED&amp;VAR:DB_TYPE=&amp;VAR:UNITS=M&amp;window=popup&amp;width=450&amp;height=300&amp;START_MAXIMIZED=FALSE"}</definedName>
    <definedName name="_2863__FDSAUDITLINK__" hidden="1">{"fdsup://IBCentral/FAT Viewer?action=UPDATE&amp;creator=factset&amp;DOC_NAME=fat:reuters_qtrly_source_window.fat&amp;display_string=Audit&amp;DYN_ARGS=TRUE&amp;VAR:ID1=00282410&amp;VAR:RCODE=LTCL&amp;VAR:SDATE=20081299&amp;VAR:FREQ=DAILY&amp;VAR:RELITEM=&amp;VAR:CURRENCY=&amp;VAR:CURRSOURCE=EXSHARE&amp;","VAR:NATFREQ=QUARTERLY&amp;VAR:RFIELD=FINALIZED&amp;VAR:DB_TYPE=&amp;VAR:UNITS=M&amp;window=popup&amp;width=450&amp;height=300&amp;START_MAXIMIZED=FALSE"}</definedName>
    <definedName name="_2864__FDSAUDITLINK__" hidden="1">{"fdsup://IBCentral/FAT Viewer?action=UPDATE&amp;creator=factset&amp;DOC_NAME=fat:reuters_qtrly_source_window.fat&amp;display_string=Audit&amp;DYN_ARGS=TRUE&amp;VAR:ID1=00282410&amp;VAR:RCODE=ATCA&amp;VAR:SDATE=20081299&amp;VAR:FREQ=DAILY&amp;VAR:RELITEM=&amp;VAR:CURRENCY=&amp;VAR:CURRSOURCE=EXSHARE&amp;","VAR:NATFREQ=QUARTERLY&amp;VAR:RFIELD=FINALIZED&amp;VAR:DB_TYPE=&amp;VAR:UNITS=M&amp;window=popup&amp;width=450&amp;height=300&amp;START_MAXIMIZED=FALSE"}</definedName>
    <definedName name="_2865__FDSAUDITLINK__" hidden="1">{"fdsup://IBCentral/FAT Viewer?action=UPDATE&amp;creator=factset&amp;DOC_NAME=fat:reuters_qtrly_source_window.fat&amp;display_string=Audit&amp;DYN_ARGS=TRUE&amp;VAR:ID1=57978020&amp;VAR:RCODE=LTLL&amp;VAR:SDATE=20081199&amp;VAR:FREQ=DAILY&amp;VAR:RELITEM=&amp;VAR:CURRENCY=&amp;VAR:CURRSOURCE=EXSHARE&amp;","VAR:NATFREQ=QUARTERLY&amp;VAR:RFIELD=FINALIZED&amp;VAR:DB_TYPE=&amp;VAR:UNITS=M&amp;window=popup&amp;width=450&amp;height=300&amp;START_MAXIMIZED=FALSE"}</definedName>
    <definedName name="_2866__FDSAUDITLINK__" hidden="1">{"fdsup://IBCentral/FAT Viewer?action=UPDATE&amp;creator=factset&amp;DOC_NAME=fat:reuters_qtrly_source_window.fat&amp;display_string=Audit&amp;DYN_ARGS=TRUE&amp;VAR:ID1=57978020&amp;VAR:RCODE=ATOT&amp;VAR:SDATE=20081199&amp;VAR:FREQ=DAILY&amp;VAR:RELITEM=&amp;VAR:CURRENCY=&amp;VAR:CURRSOURCE=EXSHARE&amp;","VAR:NATFREQ=QUARTERLY&amp;VAR:RFIELD=FINALIZED&amp;VAR:DB_TYPE=&amp;VAR:UNITS=M&amp;window=popup&amp;width=450&amp;height=300&amp;START_MAXIMIZED=FALSE"}</definedName>
    <definedName name="_2867__FDSAUDITLINK__" hidden="1">{"fdsup://IBCentral/FAT Viewer?action=UPDATE&amp;creator=factset&amp;DOC_NAME=fat:reuters_qtrly_source_window.fat&amp;display_string=Audit&amp;DYN_ARGS=TRUE&amp;VAR:ID1=57978020&amp;VAR:RCODE=LTCL&amp;VAR:SDATE=20081199&amp;VAR:FREQ=DAILY&amp;VAR:RELITEM=&amp;VAR:CURRENCY=&amp;VAR:CURRSOURCE=EXSHARE&amp;","VAR:NATFREQ=QUARTERLY&amp;VAR:RFIELD=FINALIZED&amp;VAR:DB_TYPE=&amp;VAR:UNITS=M&amp;window=popup&amp;width=450&amp;height=300&amp;START_MAXIMIZED=FALSE"}</definedName>
    <definedName name="_2868__FDSAUDITLINK__" hidden="1">{"fdsup://IBCentral/FAT Viewer?action=UPDATE&amp;creator=factset&amp;DOC_NAME=fat:reuters_qtrly_source_window.fat&amp;display_string=Audit&amp;DYN_ARGS=TRUE&amp;VAR:ID1=57978020&amp;VAR:RCODE=ATCA&amp;VAR:SDATE=20081199&amp;VAR:FREQ=DAILY&amp;VAR:RELITEM=&amp;VAR:CURRENCY=&amp;VAR:CURRSOURCE=EXSHARE&amp;","VAR:NATFREQ=QUARTERLY&amp;VAR:RFIELD=FINALIZED&amp;VAR:DB_TYPE=&amp;VAR:UNITS=M&amp;window=popup&amp;width=450&amp;height=300&amp;START_MAXIMIZED=FALSE"}</definedName>
    <definedName name="_2869__FDSAUDITLINK__" hidden="1">{"fdsup://IBCentral/FAT Viewer?action=UPDATE&amp;creator=factset&amp;DOC_NAME=fat:reuters_qtrly_source_window.fat&amp;display_string=Audit&amp;DYN_ARGS=TRUE&amp;VAR:ID1=27805810&amp;VAR:RCODE=LTLL&amp;VAR:SDATE=20081299&amp;VAR:FREQ=DAILY&amp;VAR:RELITEM=&amp;VAR:CURRENCY=&amp;VAR:CURRSOURCE=EXSHARE&amp;","VAR:NATFREQ=QUARTERLY&amp;VAR:RFIELD=FINALIZED&amp;VAR:DB_TYPE=&amp;VAR:UNITS=M&amp;window=popup&amp;width=450&amp;height=300&amp;START_MAXIMIZED=FALSE"}</definedName>
    <definedName name="_287__FDSAUDITLINK__" hidden="1">{"fdsup://Directions/FactSet Auditing Viewer?action=AUDIT_VALUE&amp;DB=129&amp;ID1=41034510&amp;VALUEID=02999&amp;SDATE=201001&amp;PERIODTYPE=QTR_STD&amp;window=popup_no_bar&amp;width=385&amp;height=120&amp;START_MAXIMIZED=FALSE&amp;creator=factset&amp;display_string=Audit"}</definedName>
    <definedName name="_2870__FDSAUDITLINK__" hidden="1">{"fdsup://IBCentral/FAT Viewer?action=UPDATE&amp;creator=factset&amp;DOC_NAME=fat:reuters_qtrly_source_window.fat&amp;display_string=Audit&amp;DYN_ARGS=TRUE&amp;VAR:ID1=27805810&amp;VAR:RCODE=ATOT&amp;VAR:SDATE=20081299&amp;VAR:FREQ=DAILY&amp;VAR:RELITEM=&amp;VAR:CURRENCY=&amp;VAR:CURRSOURCE=EXSHARE&amp;","VAR:NATFREQ=QUARTERLY&amp;VAR:RFIELD=FINALIZED&amp;VAR:DB_TYPE=&amp;VAR:UNITS=M&amp;window=popup&amp;width=450&amp;height=300&amp;START_MAXIMIZED=FALSE"}</definedName>
    <definedName name="_2871__FDSAUDITLINK__" hidden="1">{"fdsup://IBCentral/FAT Viewer?action=UPDATE&amp;creator=factset&amp;DOC_NAME=fat:reuters_qtrly_source_window.fat&amp;display_string=Audit&amp;DYN_ARGS=TRUE&amp;VAR:ID1=27805810&amp;VAR:RCODE=LTCL&amp;VAR:SDATE=20081299&amp;VAR:FREQ=DAILY&amp;VAR:RELITEM=&amp;VAR:CURRENCY=&amp;VAR:CURRSOURCE=EXSHARE&amp;","VAR:NATFREQ=QUARTERLY&amp;VAR:RFIELD=FINALIZED&amp;VAR:DB_TYPE=&amp;VAR:UNITS=M&amp;window=popup&amp;width=450&amp;height=300&amp;START_MAXIMIZED=FALSE"}</definedName>
    <definedName name="_2872__FDSAUDITLINK__" hidden="1">{"fdsup://IBCentral/FAT Viewer?action=UPDATE&amp;creator=factset&amp;DOC_NAME=fat:reuters_qtrly_source_window.fat&amp;display_string=Audit&amp;DYN_ARGS=TRUE&amp;VAR:ID1=27805810&amp;VAR:RCODE=ATCA&amp;VAR:SDATE=20081299&amp;VAR:FREQ=DAILY&amp;VAR:RELITEM=&amp;VAR:CURRENCY=&amp;VAR:CURRSOURCE=EXSHARE&amp;","VAR:NATFREQ=QUARTERLY&amp;VAR:RFIELD=FINALIZED&amp;VAR:DB_TYPE=&amp;VAR:UNITS=M&amp;window=popup&amp;width=450&amp;height=300&amp;START_MAXIMIZED=FALSE"}</definedName>
    <definedName name="_2873__FDSAUDITLINK__" hidden="1">{"fdsup://IBCentral/FAT Viewer?action=UPDATE&amp;creator=factset&amp;DOC_NAME=fat:reuters_qtrly_source_window.fat&amp;display_string=Audit&amp;DYN_ARGS=TRUE&amp;VAR:ID1=14912310&amp;VAR:RCODE=LTLL&amp;VAR:SDATE=20081299&amp;VAR:FREQ=DAILY&amp;VAR:RELITEM=&amp;VAR:CURRENCY=&amp;VAR:CURRSOURCE=EXSHARE&amp;","VAR:NATFREQ=QUARTERLY&amp;VAR:RFIELD=FINALIZED&amp;VAR:DB_TYPE=&amp;VAR:UNITS=M&amp;window=popup&amp;width=450&amp;height=300&amp;START_MAXIMIZED=FALSE"}</definedName>
    <definedName name="_2874__FDSAUDITLINK__" hidden="1">{"fdsup://IBCentral/FAT Viewer?action=UPDATE&amp;creator=factset&amp;DOC_NAME=fat:reuters_qtrly_source_window.fat&amp;display_string=Audit&amp;DYN_ARGS=TRUE&amp;VAR:ID1=14912310&amp;VAR:RCODE=ATOT&amp;VAR:SDATE=20081299&amp;VAR:FREQ=DAILY&amp;VAR:RELITEM=&amp;VAR:CURRENCY=&amp;VAR:CURRSOURCE=EXSHARE&amp;","VAR:NATFREQ=QUARTERLY&amp;VAR:RFIELD=FINALIZED&amp;VAR:DB_TYPE=&amp;VAR:UNITS=M&amp;window=popup&amp;width=450&amp;height=300&amp;START_MAXIMIZED=FALSE"}</definedName>
    <definedName name="_2875__FDSAUDITLINK__" hidden="1">{"fdsup://IBCentral/FAT Viewer?action=UPDATE&amp;creator=factset&amp;DOC_NAME=fat:reuters_qtrly_source_window.fat&amp;display_string=Audit&amp;DYN_ARGS=TRUE&amp;VAR:ID1=14912310&amp;VAR:RCODE=LTCL&amp;VAR:SDATE=20081299&amp;VAR:FREQ=DAILY&amp;VAR:RELITEM=&amp;VAR:CURRENCY=&amp;VAR:CURRSOURCE=EXSHARE&amp;","VAR:NATFREQ=QUARTERLY&amp;VAR:RFIELD=FINALIZED&amp;VAR:DB_TYPE=&amp;VAR:UNITS=M&amp;window=popup&amp;width=450&amp;height=300&amp;START_MAXIMIZED=FALSE"}</definedName>
    <definedName name="_2876__FDSAUDITLINK__" hidden="1">{"fdsup://IBCentral/FAT Viewer?action=UPDATE&amp;creator=factset&amp;DOC_NAME=fat:reuters_qtrly_source_window.fat&amp;display_string=Audit&amp;DYN_ARGS=TRUE&amp;VAR:ID1=14912310&amp;VAR:RCODE=ATCA&amp;VAR:SDATE=20081299&amp;VAR:FREQ=DAILY&amp;VAR:RELITEM=&amp;VAR:CURRENCY=&amp;VAR:CURRSOURCE=EXSHARE&amp;","VAR:NATFREQ=QUARTERLY&amp;VAR:RFIELD=FINALIZED&amp;VAR:DB_TYPE=&amp;VAR:UNITS=M&amp;window=popup&amp;width=450&amp;height=300&amp;START_MAXIMIZED=FALSE"}</definedName>
    <definedName name="_2877__FDSAUDITLINK__" hidden="1">{"fdsup://IBCentral/FAT Viewer?action=UPDATE&amp;creator=factset&amp;DOC_NAME=fat:reuters_qtrly_source_window.fat&amp;display_string=Audit&amp;DYN_ARGS=TRUE&amp;VAR:ID1=09193550&amp;VAR:RCODE=LTLL&amp;VAR:SDATE=20081299&amp;VAR:FREQ=DAILY&amp;VAR:RELITEM=&amp;VAR:CURRENCY=&amp;VAR:CURRSOURCE=EXSHARE&amp;","VAR:NATFREQ=QUARTERLY&amp;VAR:RFIELD=FINALIZED&amp;VAR:DB_TYPE=&amp;VAR:UNITS=M&amp;window=popup&amp;width=450&amp;height=300&amp;START_MAXIMIZED=FALSE"}</definedName>
    <definedName name="_2878__FDSAUDITLINK__" hidden="1">{"fdsup://IBCentral/FAT Viewer?action=UPDATE&amp;creator=factset&amp;DOC_NAME=fat:reuters_qtrly_source_window.fat&amp;display_string=Audit&amp;DYN_ARGS=TRUE&amp;VAR:ID1=09193550&amp;VAR:RCODE=LTCL&amp;VAR:SDATE=20081299&amp;VAR:FREQ=DAILY&amp;VAR:RELITEM=&amp;VAR:CURRENCY=&amp;VAR:CURRSOURCE=EXSHARE&amp;","VAR:NATFREQ=QUARTERLY&amp;VAR:RFIELD=FINALIZED&amp;VAR:DB_TYPE=&amp;VAR:UNITS=M&amp;window=popup&amp;width=450&amp;height=300&amp;START_MAXIMIZED=FALSE"}</definedName>
    <definedName name="_2879__FDSAUDITLINK__" hidden="1">{"fdsup://IBCentral/FAT Viewer?action=UPDATE&amp;creator=factset&amp;DOC_NAME=fat:reuters_qtrly_source_window.fat&amp;display_string=Audit&amp;DYN_ARGS=TRUE&amp;VAR:ID1=09193550&amp;VAR:RCODE=ATCA&amp;VAR:SDATE=20081299&amp;VAR:FREQ=DAILY&amp;VAR:RELITEM=&amp;VAR:CURRENCY=&amp;VAR:CURRSOURCE=EXSHARE&amp;","VAR:NATFREQ=QUARTERLY&amp;VAR:RFIELD=FINALIZED&amp;VAR:DB_TYPE=&amp;VAR:UNITS=M&amp;window=popup&amp;width=450&amp;height=300&amp;START_MAXIMIZED=FALSE"}</definedName>
    <definedName name="_288__FDSAUDITLINK__" hidden="1">{"fdsup://Directions/FactSet Auditing Viewer?action=AUDIT_VALUE&amp;DB=129&amp;ID1=41043F20&amp;VALUEID=02999&amp;SDATE=201001&amp;PERIODTYPE=QTR_STD&amp;window=popup_no_bar&amp;width=385&amp;height=120&amp;START_MAXIMIZED=FALSE&amp;creator=factset&amp;display_string=Audit"}</definedName>
    <definedName name="_2880__FDSAUDITLINK__" hidden="1">{"fdsup://IBCentral/FAT Viewer?action=UPDATE&amp;creator=factset&amp;DOC_NAME=fat:reuters_qtrly_source_window.fat&amp;display_string=Audit&amp;DYN_ARGS=TRUE&amp;VAR:ID1=09193550&amp;VAR:RCODE=ATOT&amp;VAR:SDATE=20081299&amp;VAR:FREQ=DAILY&amp;VAR:RELITEM=&amp;VAR:CURRENCY=&amp;VAR:CURRSOURCE=EXSHARE&amp;","VAR:NATFREQ=QUARTERLY&amp;VAR:RFIELD=FINALIZED&amp;VAR:DB_TYPE=&amp;VAR:UNITS=M&amp;window=popup&amp;width=450&amp;height=300&amp;START_MAXIMIZED=FALSE"}</definedName>
    <definedName name="_2881__FDSAUDITLINK__" hidden="1">{"fdsup://IBCentral/FAT Viewer?action=UPDATE&amp;creator=factset&amp;DOC_NAME=fat:reuters_qtrly_source_window.fat&amp;display_string=Audit&amp;DYN_ARGS=TRUE&amp;VAR:ID1=09193550&amp;VAR:RCODE=LTLL&amp;VAR:SDATE=20061299&amp;VAR:FREQ=DAILY&amp;VAR:RELITEM=&amp;VAR:CURRENCY=&amp;VAR:CURRSOURCE=EXSHARE&amp;","VAR:NATFREQ=QUARTERLY&amp;VAR:RFIELD=FINALIZED&amp;VAR:DB_TYPE=&amp;VAR:UNITS=M&amp;window=popup&amp;width=450&amp;height=300&amp;START_MAXIMIZED=FALSE"}</definedName>
    <definedName name="_2882__FDSAUDITLINK__" hidden="1">{"fdsup://IBCentral/FAT Viewer?action=UPDATE&amp;creator=factset&amp;DOC_NAME=fat:reuters_qtrly_source_window.fat&amp;display_string=Audit&amp;DYN_ARGS=TRUE&amp;VAR:ID1=09193550&amp;VAR:RCODE=LTCL&amp;VAR:SDATE=20061299&amp;VAR:FREQ=DAILY&amp;VAR:RELITEM=&amp;VAR:CURRENCY=&amp;VAR:CURRSOURCE=EXSHARE&amp;","VAR:NATFREQ=QUARTERLY&amp;VAR:RFIELD=FINALIZED&amp;VAR:DB_TYPE=&amp;VAR:UNITS=M&amp;window=popup&amp;width=450&amp;height=300&amp;START_MAXIMIZED=FALSE"}</definedName>
    <definedName name="_2883__FDSAUDITLINK__" hidden="1">{"fdsup://IBCentral/FAT Viewer?action=UPDATE&amp;creator=factset&amp;DOC_NAME=fat:reuters_qtrly_source_window.fat&amp;display_string=Audit&amp;DYN_ARGS=TRUE&amp;VAR:ID1=09193550&amp;VAR:RCODE=ATCA&amp;VAR:SDATE=20061299&amp;VAR:FREQ=DAILY&amp;VAR:RELITEM=&amp;VAR:CURRENCY=&amp;VAR:CURRSOURCE=EXSHARE&amp;","VAR:NATFREQ=QUARTERLY&amp;VAR:RFIELD=FINALIZED&amp;VAR:DB_TYPE=&amp;VAR:UNITS=M&amp;window=popup&amp;width=450&amp;height=300&amp;START_MAXIMIZED=FALSE"}</definedName>
    <definedName name="_2884__FDSAUDITLINK__" hidden="1">{"fdsup://IBCentral/FAT Viewer?action=UPDATE&amp;creator=factset&amp;DOC_NAME=fat:reuters_qtrly_source_window.fat&amp;display_string=Audit&amp;DYN_ARGS=TRUE&amp;VAR:ID1=09193550&amp;VAR:RCODE=ATOT&amp;VAR:SDATE=20061299&amp;VAR:FREQ=DAILY&amp;VAR:RELITEM=&amp;VAR:CURRENCY=&amp;VAR:CURRSOURCE=EXSHARE&amp;","VAR:NATFREQ=QUARTERLY&amp;VAR:RFIELD=FINALIZED&amp;VAR:DB_TYPE=&amp;VAR:UNITS=M&amp;window=popup&amp;width=450&amp;height=300&amp;START_MAXIMIZED=FALSE"}</definedName>
    <definedName name="_2885__FDSAUDITLINK__" hidden="1">{"fdsup://IBCentral/FAT Viewer?action=UPDATE&amp;creator=factset&amp;DOC_NAME=fat:reuters_qtrly_source_window.fat&amp;display_string=Audit&amp;DYN_ARGS=TRUE&amp;VAR:ID1=09193550&amp;VAR:RCODE=LTLL&amp;VAR:SDATE=20081299&amp;VAR:FREQ=DAILY&amp;VAR:RELITEM=&amp;VAR:CURRENCY=&amp;VAR:CURRSOURCE=EXSHARE&amp;","VAR:NATFREQ=QUARTERLY&amp;VAR:RFIELD=FINALIZED&amp;VAR:DB_TYPE=&amp;VAR:UNITS=M&amp;window=popup&amp;width=450&amp;height=300&amp;START_MAXIMIZED=FALSE"}</definedName>
    <definedName name="_2886__FDSAUDITLINK__" hidden="1">{"fdsup://IBCentral/FAT Viewer?action=UPDATE&amp;creator=factset&amp;DOC_NAME=fat:reuters_qtrly_source_window.fat&amp;display_string=Audit&amp;DYN_ARGS=TRUE&amp;VAR:ID1=09193550&amp;VAR:RCODE=ATOT&amp;VAR:SDATE=20081299&amp;VAR:FREQ=DAILY&amp;VAR:RELITEM=&amp;VAR:CURRENCY=&amp;VAR:CURRSOURCE=EXSHARE&amp;","VAR:NATFREQ=QUARTERLY&amp;VAR:RFIELD=FINALIZED&amp;VAR:DB_TYPE=&amp;VAR:UNITS=M&amp;window=popup&amp;width=450&amp;height=300&amp;START_MAXIMIZED=FALSE"}</definedName>
    <definedName name="_2887__FDSAUDITLINK__" hidden="1">{"fdsup://IBCentral/FAT Viewer?action=UPDATE&amp;creator=factset&amp;DOC_NAME=fat:reuters_qtrly_source_window.fat&amp;display_string=Audit&amp;DYN_ARGS=TRUE&amp;VAR:ID1=09193550&amp;VAR:RCODE=LTCL&amp;VAR:SDATE=20081299&amp;VAR:FREQ=DAILY&amp;VAR:RELITEM=&amp;VAR:CURRENCY=&amp;VAR:CURRSOURCE=EXSHARE&amp;","VAR:NATFREQ=QUARTERLY&amp;VAR:RFIELD=FINALIZED&amp;VAR:DB_TYPE=&amp;VAR:UNITS=M&amp;window=popup&amp;width=450&amp;height=300&amp;START_MAXIMIZED=FALSE"}</definedName>
    <definedName name="_2888__FDSAUDITLINK__" hidden="1">{"fdsup://IBCentral/FAT Viewer?action=UPDATE&amp;creator=factset&amp;DOC_NAME=fat:reuters_qtrly_source_window.fat&amp;display_string=Audit&amp;DYN_ARGS=TRUE&amp;VAR:ID1=09193550&amp;VAR:RCODE=ATCA&amp;VAR:SDATE=20081299&amp;VAR:FREQ=DAILY&amp;VAR:RELITEM=&amp;VAR:CURRENCY=&amp;VAR:CURRSOURCE=EXSHARE&amp;","VAR:NATFREQ=QUARTERLY&amp;VAR:RFIELD=FINALIZED&amp;VAR:DB_TYPE=&amp;VAR:UNITS=M&amp;window=popup&amp;width=450&amp;height=300&amp;START_MAXIMIZED=FALSE"}</definedName>
    <definedName name="_2889__FDSAUDITLINK__" hidden="1">{"fdsup://IBCentral/FAT Viewer?action=UPDATE&amp;creator=factset&amp;DOC_NAME=fat:reuters_qtrly_source_window.fat&amp;display_string=Audit&amp;DYN_ARGS=TRUE&amp;VAR:ID1=00282410&amp;VAR:RCODE=LTLL&amp;VAR:SDATE=20081299&amp;VAR:FREQ=DAILY&amp;VAR:RELITEM=&amp;VAR:CURRENCY=&amp;VAR:CURRSOURCE=EXSHARE&amp;","VAR:NATFREQ=QUARTERLY&amp;VAR:RFIELD=FINALIZED&amp;VAR:DB_TYPE=&amp;VAR:UNITS=M&amp;window=popup&amp;width=450&amp;height=300&amp;START_MAXIMIZED=FALSE"}</definedName>
    <definedName name="_289__FDSAUDITLINK__" hidden="1">{"fdsup://Directions/FactSet Auditing Viewer?action=AUDIT_VALUE&amp;DB=129&amp;ID1=41282210&amp;VALUEID=02999&amp;SDATE=201001&amp;PERIODTYPE=QTR_STD&amp;window=popup_no_bar&amp;width=385&amp;height=120&amp;START_MAXIMIZED=FALSE&amp;creator=factset&amp;display_string=Audit"}</definedName>
    <definedName name="_2890__FDSAUDITLINK__" hidden="1">{"fdsup://IBCentral/FAT Viewer?action=UPDATE&amp;creator=factset&amp;DOC_NAME=fat:reuters_qtrly_source_window.fat&amp;display_string=Audit&amp;DYN_ARGS=TRUE&amp;VAR:ID1=00282410&amp;VAR:RCODE=ATOT&amp;VAR:SDATE=20081299&amp;VAR:FREQ=DAILY&amp;VAR:RELITEM=&amp;VAR:CURRENCY=&amp;VAR:CURRSOURCE=EXSHARE&amp;","VAR:NATFREQ=QUARTERLY&amp;VAR:RFIELD=FINALIZED&amp;VAR:DB_TYPE=&amp;VAR:UNITS=M&amp;window=popup&amp;width=450&amp;height=300&amp;START_MAXIMIZED=FALSE"}</definedName>
    <definedName name="_2891__FDSAUDITLINK__" hidden="1">{"fdsup://IBCentral/FAT Viewer?action=UPDATE&amp;creator=factset&amp;DOC_NAME=fat:reuters_qtrly_source_window.fat&amp;display_string=Audit&amp;DYN_ARGS=TRUE&amp;VAR:ID1=00282410&amp;VAR:RCODE=LTCL&amp;VAR:SDATE=20081299&amp;VAR:FREQ=DAILY&amp;VAR:RELITEM=&amp;VAR:CURRENCY=&amp;VAR:CURRSOURCE=EXSHARE&amp;","VAR:NATFREQ=QUARTERLY&amp;VAR:RFIELD=FINALIZED&amp;VAR:DB_TYPE=&amp;VAR:UNITS=M&amp;window=popup&amp;width=450&amp;height=300&amp;START_MAXIMIZED=FALSE"}</definedName>
    <definedName name="_2892__FDSAUDITLINK__" hidden="1">{"fdsup://IBCentral/FAT Viewer?action=UPDATE&amp;creator=factset&amp;DOC_NAME=fat:reuters_qtrly_source_window.fat&amp;display_string=Audit&amp;DYN_ARGS=TRUE&amp;VAR:ID1=00282410&amp;VAR:RCODE=ATCA&amp;VAR:SDATE=20081299&amp;VAR:FREQ=DAILY&amp;VAR:RELITEM=&amp;VAR:CURRENCY=&amp;VAR:CURRSOURCE=EXSHARE&amp;","VAR:NATFREQ=QUARTERLY&amp;VAR:RFIELD=FINALIZED&amp;VAR:DB_TYPE=&amp;VAR:UNITS=M&amp;window=popup&amp;width=450&amp;height=300&amp;START_MAXIMIZED=FALSE"}</definedName>
    <definedName name="_2893__FDSAUDITLINK__" hidden="1">{"fdsup://IBCentral/FAT Viewer?action=UPDATE&amp;creator=factset&amp;DOC_NAME=fat:reuters_qtrly_source_window.fat&amp;display_string=Audit&amp;DYN_ARGS=TRUE&amp;VAR:ID1=09193550&amp;VAR:RCODE=LTLL&amp;VAR:SDATE=20081299&amp;VAR:FREQ=DAILY&amp;VAR:RELITEM=&amp;VAR:CURRENCY=&amp;VAR:CURRSOURCE=EXSHARE&amp;","VAR:NATFREQ=QUARTERLY&amp;VAR:RFIELD=FINALIZED&amp;VAR:DB_TYPE=&amp;VAR:UNITS=M&amp;window=popup&amp;width=450&amp;height=300&amp;START_MAXIMIZED=FALSE"}</definedName>
    <definedName name="_2894__FDSAUDITLINK__" hidden="1">{"fdsup://IBCentral/FAT Viewer?action=UPDATE&amp;creator=factset&amp;DOC_NAME=fat:reuters_qtrly_source_window.fat&amp;display_string=Audit&amp;DYN_ARGS=TRUE&amp;VAR:ID1=09193550&amp;VAR:RCODE=ATOT&amp;VAR:SDATE=20081299&amp;VAR:FREQ=DAILY&amp;VAR:RELITEM=&amp;VAR:CURRENCY=&amp;VAR:CURRSOURCE=EXSHARE&amp;","VAR:NATFREQ=QUARTERLY&amp;VAR:RFIELD=FINALIZED&amp;VAR:DB_TYPE=&amp;VAR:UNITS=M&amp;window=popup&amp;width=450&amp;height=300&amp;START_MAXIMIZED=FALSE"}</definedName>
    <definedName name="_2895__FDSAUDITLINK__" hidden="1">{"fdsup://IBCentral/FAT Viewer?action=UPDATE&amp;creator=factset&amp;DOC_NAME=fat:reuters_qtrly_source_window.fat&amp;display_string=Audit&amp;DYN_ARGS=TRUE&amp;VAR:ID1=09193550&amp;VAR:RCODE=LTCL&amp;VAR:SDATE=20081299&amp;VAR:FREQ=DAILY&amp;VAR:RELITEM=&amp;VAR:CURRENCY=&amp;VAR:CURRSOURCE=EXSHARE&amp;","VAR:NATFREQ=QUARTERLY&amp;VAR:RFIELD=FINALIZED&amp;VAR:DB_TYPE=&amp;VAR:UNITS=M&amp;window=popup&amp;width=450&amp;height=300&amp;START_MAXIMIZED=FALSE"}</definedName>
    <definedName name="_2896__FDSAUDITLINK__" hidden="1">{"fdsup://IBCentral/FAT Viewer?action=UPDATE&amp;creator=factset&amp;DOC_NAME=fat:reuters_qtrly_source_window.fat&amp;display_string=Audit&amp;DYN_ARGS=TRUE&amp;VAR:ID1=09193550&amp;VAR:RCODE=ATCA&amp;VAR:SDATE=20081299&amp;VAR:FREQ=DAILY&amp;VAR:RELITEM=&amp;VAR:CURRENCY=&amp;VAR:CURRSOURCE=EXSHARE&amp;","VAR:NATFREQ=QUARTERLY&amp;VAR:RFIELD=FINALIZED&amp;VAR:DB_TYPE=&amp;VAR:UNITS=M&amp;window=popup&amp;width=450&amp;height=300&amp;START_MAXIMIZED=FALSE"}</definedName>
    <definedName name="_28IQ_CURRENCY_GAIN_INS" hidden="1">"c238"</definedName>
    <definedName name="_29__FDSAUDITLINK__" hidden="1">{"fdsup://Directions/FactSet Auditing Viewer?action=AUDIT_VALUE&amp;DB=129&amp;ID1=G0260210&amp;VALUEID=02999&amp;SDATE=201002&amp;PERIODTYPE=QTR_STD&amp;window=popup_no_bar&amp;width=385&amp;height=120&amp;START_MAXIMIZED=FALSE&amp;creator=factset&amp;display_string=Audit"}</definedName>
    <definedName name="_290__FDSAUDITLINK__" hidden="1">{"fdsup://Directions/FactSet Auditing Viewer?action=AUDIT_VALUE&amp;DB=129&amp;ID1=41586410&amp;VALUEID=02999&amp;SDATE=201001&amp;PERIODTYPE=QTR_STD&amp;window=popup_no_bar&amp;width=385&amp;height=120&amp;START_MAXIMIZED=FALSE&amp;creator=factset&amp;display_string=Audit"}</definedName>
    <definedName name="_291__FDSAUDITLINK__" hidden="1">{"fdsup://Directions/FactSet Auditing Viewer?action=AUDIT_VALUE&amp;DB=129&amp;ID1=41805610&amp;VALUEID=02999&amp;SDATE=201001&amp;PERIODTYPE=QTR_STD&amp;window=popup_no_bar&amp;width=385&amp;height=120&amp;START_MAXIMIZED=FALSE&amp;creator=factset&amp;display_string=Audit"}</definedName>
    <definedName name="_292__FDSAUDITLINK__" hidden="1">{"fdsup://Directions/FactSet Auditing Viewer?action=AUDIT_VALUE&amp;DB=129&amp;ID1=42008910&amp;VALUEID=02999&amp;SDATE=201001&amp;PERIODTYPE=QTR_STD&amp;window=popup_no_bar&amp;width=385&amp;height=120&amp;START_MAXIMIZED=FALSE&amp;creator=factset&amp;display_string=Audit"}</definedName>
    <definedName name="_293__FDSAUDITLINK__" hidden="1">{"fdsup://Directions/FactSet Auditing Viewer?action=AUDIT_VALUE&amp;DB=129&amp;ID1=42210P10&amp;VALUEID=02999&amp;SDATE=201002&amp;PERIODTYPE=QTR_STD&amp;window=popup_no_bar&amp;width=385&amp;height=120&amp;START_MAXIMIZED=FALSE&amp;creator=factset&amp;display_string=Audit"}</definedName>
    <definedName name="_294__FDSAUDITLINK__" hidden="1">{"fdsup://Directions/FactSet Auditing Viewer?action=AUDIT_VALUE&amp;DB=129&amp;ID1=42193310&amp;VALUEID=02999&amp;SDATE=201001&amp;PERIODTYPE=QTR_STD&amp;window=popup_no_bar&amp;width=385&amp;height=120&amp;START_MAXIMIZED=FALSE&amp;creator=factset&amp;display_string=Audit"}</definedName>
    <definedName name="_295__FDSAUDITLINK__" hidden="1">{"fdsup://Directions/FactSet Auditing Viewer?action=AUDIT_VALUE&amp;DB=129&amp;ID1=42222G10&amp;VALUEID=02999&amp;SDATE=201001&amp;PERIODTYPE=QTR_STD&amp;window=popup_no_bar&amp;width=385&amp;height=120&amp;START_MAXIMIZED=FALSE&amp;creator=factset&amp;display_string=Audit"}</definedName>
    <definedName name="_296__FDSAUDITLINK__" hidden="1">{"fdsup://Directions/FactSet Auditing Viewer?action=AUDIT_VALUE&amp;DB=129&amp;ID1=42222L10&amp;VALUEID=02999&amp;SDATE=201001&amp;PERIODTYPE=QTR_STD&amp;window=popup_no_bar&amp;width=385&amp;height=120&amp;START_MAXIMIZED=FALSE&amp;creator=factset&amp;display_string=Audit"}</definedName>
    <definedName name="_297__FDSAUDITLINK__" hidden="1">{"fdsup://Directions/FactSet Auditing Viewer?action=AUDIT_VALUE&amp;DB=129&amp;ID1=42330P10&amp;VALUEID=02999&amp;SDATE=201001&amp;PERIODTYPE=QTR_STD&amp;window=popup_no_bar&amp;width=385&amp;height=120&amp;START_MAXIMIZED=FALSE&amp;creator=factset&amp;display_string=Audit"}</definedName>
    <definedName name="_298__FDSAUDITLINK__" hidden="1">{"fdsup://Directions/FactSet Auditing Viewer?action=AUDIT_VALUE&amp;DB=129&amp;ID1=G4412G10&amp;VALUEID=02999&amp;SDATE=201001&amp;PERIODTYPE=QTR_STD&amp;window=popup_no_bar&amp;width=385&amp;height=120&amp;START_MAXIMIZED=FALSE&amp;creator=factset&amp;display_string=Audit"}</definedName>
    <definedName name="_299__FDSAUDITLINK__" hidden="1">{"fdsup://Directions/FactSet Auditing Viewer?action=AUDIT_VALUE&amp;DB=129&amp;ID1=42709310&amp;VALUEID=02999&amp;SDATE=201001&amp;PERIODTYPE=QTR_STD&amp;window=popup_no_bar&amp;width=385&amp;height=120&amp;START_MAXIMIZED=FALSE&amp;creator=factset&amp;display_string=Audit"}</definedName>
    <definedName name="_29IQ_CURRENCY_GAIN_INS" hidden="1">"c238"</definedName>
    <definedName name="_3__FDSAUDITLINK__" hidden="1">{"fdsup://IBCentral/FAT Viewer?action=UPDATE&amp;creator=factset&amp;DOC_NAME=fat:reuters_qtrly_source_window.fat&amp;display_string=Audit&amp;DYN_ARGS=TRUE&amp;VAR:ID1=88579Y10&amp;VAR:RCODE=STLD&amp;VAR:SDATE=20090699&amp;VAR:FREQ=Quarterly&amp;VAR:RELITEM=RP&amp;VAR:CURRENCY=&amp;VAR:CURRSOURCE=EX","SHARE&amp;VAR:NATFREQ=QUARTERLY&amp;VAR:RFIELD=FINALIZED&amp;VAR:DB_TYPE=&amp;VAR:UNITS=M&amp;window=popup&amp;width=450&amp;height=300&amp;START_MAXIMIZED=FALSE"}</definedName>
    <definedName name="_3_0__123Grap" hidden="1">'[1]Comp. Transaction'!#REF!</definedName>
    <definedName name="_30__FDSAUDITLINK__" hidden="1">{"fdsup://Directions/FactSet Auditing Viewer?action=AUDIT_VALUE&amp;DB=129&amp;ID1=02406110&amp;VALUEID=02999&amp;SDATE=201001&amp;PERIODTYPE=QTR_STD&amp;window=popup_no_bar&amp;width=385&amp;height=120&amp;START_MAXIMIZED=FALSE&amp;creator=factset&amp;display_string=Audit"}</definedName>
    <definedName name="_300__FDSAUDITLINK__" hidden="1">{"fdsup://Directions/FactSet Auditing Viewer?action=AUDIT_VALUE&amp;DB=129&amp;ID1=42786610&amp;VALUEID=02999&amp;SDATE=201001&amp;PERIODTYPE=QTR_STD&amp;window=popup_no_bar&amp;width=385&amp;height=120&amp;START_MAXIMIZED=FALSE&amp;creator=factset&amp;display_string=Audit"}</definedName>
    <definedName name="_301__FDSAUDITLINK__" hidden="1">{"fdsup://Directions/FactSet Auditing Viewer?action=AUDIT_VALUE&amp;DB=129&amp;ID1=42809H10&amp;VALUEID=02999&amp;SDATE=201001&amp;PERIODTYPE=QTR_STD&amp;window=popup_no_bar&amp;width=385&amp;height=120&amp;START_MAXIMIZED=FALSE&amp;creator=factset&amp;display_string=Audit"}</definedName>
    <definedName name="_302__FDSAUDITLINK__" hidden="1">{"fdsup://Directions/FactSet Auditing Viewer?action=AUDIT_VALUE&amp;DB=129&amp;ID1=42823610&amp;VALUEID=02999&amp;SDATE=201002&amp;PERIODTYPE=QTR_STD&amp;window=popup_no_bar&amp;width=385&amp;height=120&amp;START_MAXIMIZED=FALSE&amp;creator=factset&amp;display_string=Audit"}</definedName>
    <definedName name="_303__FDSAUDITLINK__" hidden="1">{"fdsup://Directions/FactSet Auditing Viewer?action=AUDIT_VALUE&amp;DB=129&amp;ID1=43147510&amp;VALUEID=02999&amp;SDATE=201002&amp;PERIODTYPE=QTR_STD&amp;window=popup_no_bar&amp;width=385&amp;height=120&amp;START_MAXIMIZED=FALSE&amp;creator=factset&amp;display_string=Audit"}</definedName>
    <definedName name="_304__FDSAUDITLINK__" hidden="1">{"fdsup://Directions/FactSet Auditing Viewer?action=AUDIT_VALUE&amp;DB=129&amp;ID1=43157110&amp;VALUEID=02999&amp;SDATE=201002&amp;PERIODTYPE=QTR_STD&amp;window=popup_no_bar&amp;width=385&amp;height=120&amp;START_MAXIMIZED=FALSE&amp;creator=factset&amp;display_string=Audit"}</definedName>
    <definedName name="_305__FDSAUDITLINK__" hidden="1">{"fdsup://Directions/FactSet Auditing Viewer?action=AUDIT_VALUE&amp;DB=129&amp;ID1=43644010&amp;VALUEID=02999&amp;SDATE=201002&amp;PERIODTYPE=QTR_STD&amp;window=popup_no_bar&amp;width=385&amp;height=120&amp;START_MAXIMIZED=FALSE&amp;creator=factset&amp;display_string=Audit"}</definedName>
    <definedName name="_306__FDSAUDITLINK__" hidden="1">{"fdsup://Directions/FactSet Auditing Viewer?action=AUDIT_VALUE&amp;DB=129&amp;ID1=43707610&amp;VALUEID=02999&amp;SDATE=201001&amp;PERIODTYPE=QTR_STD&amp;window=popup_no_bar&amp;width=385&amp;height=120&amp;START_MAXIMIZED=FALSE&amp;creator=factset&amp;display_string=Audit"}</definedName>
    <definedName name="_307__FDSAUDITLINK__" hidden="1">{"fdsup://Directions/FactSet Auditing Viewer?action=AUDIT_VALUE&amp;DB=129&amp;ID1=43851610&amp;VALUEID=02999&amp;SDATE=201001&amp;PERIODTYPE=QTR_STD&amp;window=popup_no_bar&amp;width=385&amp;height=120&amp;START_MAXIMIZED=FALSE&amp;creator=factset&amp;display_string=Audit"}</definedName>
    <definedName name="_308__FDSAUDITLINK__" hidden="1">{"fdsup://Directions/FactSet Auditing Viewer?action=AUDIT_VALUE&amp;DB=129&amp;ID1=44045210&amp;VALUEID=02999&amp;SDATE=201002&amp;PERIODTYPE=QTR_STD&amp;window=popup_no_bar&amp;width=385&amp;height=120&amp;START_MAXIMIZED=FALSE&amp;creator=factset&amp;display_string=Audit"}</definedName>
    <definedName name="_309__FDSAUDITLINK__" hidden="1">{"fdsup://Directions/FactSet Auditing Viewer?action=AUDIT_VALUE&amp;DB=129&amp;ID1=44054310&amp;VALUEID=02999&amp;SDATE=201001&amp;PERIODTYPE=QTR_STD&amp;window=popup_no_bar&amp;width=385&amp;height=120&amp;START_MAXIMIZED=FALSE&amp;creator=factset&amp;display_string=Audit"}</definedName>
    <definedName name="_31__FDSAUDITLINK__" hidden="1">{"fdsup://Directions/FactSet Auditing Viewer?action=AUDIT_VALUE&amp;DB=129&amp;ID1=02519540&amp;VALUEID=02999&amp;SDATE=201001&amp;PERIODTYPE=QTR_STD&amp;window=popup_no_bar&amp;width=385&amp;height=120&amp;START_MAXIMIZED=FALSE&amp;creator=factset&amp;display_string=Audit"}</definedName>
    <definedName name="_310__FDSAUDITLINK__" hidden="1">{"fdsup://Directions/FactSet Auditing Viewer?action=AUDIT_VALUE&amp;DB=129&amp;ID1=44106010&amp;VALUEID=02999&amp;SDATE=201001&amp;PERIODTYPE=QTR_STD&amp;window=popup_no_bar&amp;width=385&amp;height=120&amp;START_MAXIMIZED=FALSE&amp;creator=factset&amp;display_string=Audit"}</definedName>
    <definedName name="_311__FDSAUDITLINK__" hidden="1">{"fdsup://Directions/FactSet Auditing Viewer?action=AUDIT_VALUE&amp;DB=129&amp;ID1=44248720&amp;VALUEID=02999&amp;SDATE=201002&amp;PERIODTYPE=QTR_STD&amp;window=popup_no_bar&amp;width=385&amp;height=120&amp;START_MAXIMIZED=FALSE&amp;creator=factset&amp;display_string=Audit"}</definedName>
    <definedName name="_312__FDSAUDITLINK__" hidden="1">{"fdsup://Directions/FactSet Auditing Viewer?action=AUDIT_VALUE&amp;DB=129&amp;ID1=40430310&amp;VALUEID=02999&amp;SDATE=201001&amp;PERIODTYPE=QTR_STD&amp;window=popup_no_bar&amp;width=385&amp;height=120&amp;START_MAXIMIZED=FALSE&amp;creator=factset&amp;display_string=Audit"}</definedName>
    <definedName name="_313__FDSAUDITLINK__" hidden="1">{"fdsup://Directions/FactSet Auditing Viewer?action=AUDIT_VALUE&amp;DB=129&amp;ID1=44351020&amp;VALUEID=02999&amp;SDATE=201001&amp;PERIODTYPE=QTR_STD&amp;window=popup_no_bar&amp;width=385&amp;height=120&amp;START_MAXIMIZED=FALSE&amp;creator=factset&amp;display_string=Audit"}</definedName>
    <definedName name="_314__FDSAUDITLINK__" hidden="1">{"fdsup://Directions/FactSet Auditing Viewer?action=AUDIT_VALUE&amp;DB=129&amp;ID1=44439810&amp;VALUEID=02999&amp;SDATE=201001&amp;PERIODTYPE=QTR_STD&amp;window=popup_no_bar&amp;width=385&amp;height=120&amp;START_MAXIMIZED=FALSE&amp;creator=factset&amp;display_string=Audit"}</definedName>
    <definedName name="_315__FDSAUDITLINK__" hidden="1">{"fdsup://Directions/FactSet Auditing Viewer?action=AUDIT_VALUE&amp;DB=129&amp;ID1=45105510&amp;VALUEID=02999&amp;SDATE=201001&amp;PERIODTYPE=QTR_STD&amp;window=popup_no_bar&amp;width=385&amp;height=120&amp;START_MAXIMIZED=FALSE&amp;creator=factset&amp;display_string=Audit"}</definedName>
    <definedName name="_316__FDSAUDITLINK__" hidden="1">{"fdsup://Directions/FactSet Auditing Viewer?action=AUDIT_VALUE&amp;DB=129&amp;ID1=45167R10&amp;VALUEID=02999&amp;SDATE=201001&amp;PERIODTYPE=QTR_STD&amp;window=popup_no_bar&amp;width=385&amp;height=120&amp;START_MAXIMIZED=FALSE&amp;creator=factset&amp;display_string=Audit"}</definedName>
    <definedName name="_317__FDSAUDITLINK__" hidden="1">{"fdsup://Directions/FactSet Auditing Viewer?action=AUDIT_VALUE&amp;DB=129&amp;ID1=45230810&amp;VALUEID=02999&amp;SDATE=201001&amp;PERIODTYPE=QTR_STD&amp;window=popup_no_bar&amp;width=385&amp;height=120&amp;START_MAXIMIZED=FALSE&amp;creator=factset&amp;display_string=Audit"}</definedName>
    <definedName name="_318__FDSAUDITLINK__" hidden="1">{"fdsup://Directions/FactSet Auditing Viewer?action=AUDIT_VALUE&amp;DB=129&amp;ID1=45661510&amp;VALUEID=02999&amp;SDATE=201002&amp;PERIODTYPE=QTR_STD&amp;window=popup_no_bar&amp;width=385&amp;height=120&amp;START_MAXIMIZED=FALSE&amp;creator=factset&amp;display_string=Audit"}</definedName>
    <definedName name="_319__FDSAUDITLINK__" hidden="1">{"fdsup://Directions/FactSet Auditing Viewer?action=AUDIT_VALUE&amp;DB=129&amp;ID1=G4779110&amp;VALUEID=02999&amp;SDATE=201001&amp;PERIODTYPE=QTR_STD&amp;window=popup_no_bar&amp;width=385&amp;height=120&amp;START_MAXIMIZED=FALSE&amp;creator=factset&amp;display_string=Audit"}</definedName>
    <definedName name="_31IQ_CURRENCY_GAIN_INS" hidden="1">"c238"</definedName>
    <definedName name="_32__FDSAUDITLINK__" hidden="1">{"fdsup://Directions/FactSet Auditing Viewer?action=AUDIT_VALUE&amp;DB=129&amp;ID1=02637510&amp;VALUEID=02999&amp;SDATE=201001&amp;PERIODTYPE=QTR_STD&amp;window=popup_no_bar&amp;width=385&amp;height=120&amp;START_MAXIMIZED=FALSE&amp;creator=factset&amp;display_string=Audit"}</definedName>
    <definedName name="_320__FDSAUDITLINK__" hidden="1">{"fdsup://Directions/FactSet Auditing Viewer?action=AUDIT_VALUE&amp;DB=129&amp;ID1=45715310&amp;VALUEID=02999&amp;SDATE=201001&amp;PERIODTYPE=QTR_STD&amp;window=popup_no_bar&amp;width=385&amp;height=120&amp;START_MAXIMIZED=FALSE&amp;creator=factset&amp;display_string=Audit"}</definedName>
    <definedName name="_321__FDSAUDITLINK__" hidden="1">{"fdsup://Directions/FactSet Auditing Viewer?action=AUDIT_VALUE&amp;DB=129&amp;ID1=45814010&amp;VALUEID=02999&amp;SDATE=201001&amp;PERIODTYPE=QTR_STD&amp;window=popup_no_bar&amp;width=385&amp;height=120&amp;START_MAXIMIZED=FALSE&amp;creator=factset&amp;display_string=Audit"}</definedName>
    <definedName name="_322__FDSAUDITLINK__" hidden="1">{"fdsup://Directions/FactSet Auditing Viewer?action=AUDIT_VALUE&amp;DB=129&amp;ID1=45866510&amp;VALUEID=02999&amp;SDATE=201001&amp;PERIODTYPE=QTR_STD&amp;window=popup_no_bar&amp;width=385&amp;height=120&amp;START_MAXIMIZED=FALSE&amp;creator=factset&amp;display_string=Audit"}</definedName>
    <definedName name="_323__FDSAUDITLINK__" hidden="1">{"fdsup://Directions/FactSet Auditing Viewer?action=AUDIT_VALUE&amp;DB=129&amp;ID1=45874310&amp;VALUEID=02999&amp;SDATE=201001&amp;PERIODTYPE=QTR_STD&amp;window=popup_no_bar&amp;width=385&amp;height=120&amp;START_MAXIMIZED=FALSE&amp;creator=factset&amp;display_string=Audit"}</definedName>
    <definedName name="_324__FDSAUDITLINK__" hidden="1">{"fdsup://Directions/FactSet Auditing Viewer?action=AUDIT_VALUE&amp;DB=129&amp;ID1=45920010&amp;VALUEID=02999&amp;SDATE=201001&amp;PERIODTYPE=QTR_STD&amp;window=popup_no_bar&amp;width=385&amp;height=120&amp;START_MAXIMIZED=FALSE&amp;creator=factset&amp;display_string=Audit"}</definedName>
    <definedName name="_325__FDSAUDITLINK__" hidden="1">{"fdsup://Directions/FactSet Auditing Viewer?action=AUDIT_VALUE&amp;DB=129&amp;ID1=45928H10&amp;VALUEID=02999&amp;SDATE=201001&amp;PERIODTYPE=QTR_STD&amp;window=popup_no_bar&amp;width=385&amp;height=120&amp;START_MAXIMIZED=FALSE&amp;creator=factset&amp;display_string=Audit"}</definedName>
    <definedName name="_326__FDSAUDITLINK__" hidden="1">{"fdsup://Directions/FactSet Auditing Viewer?action=AUDIT_VALUE&amp;DB=129&amp;ID1=45950610&amp;VALUEID=02999&amp;SDATE=201001&amp;PERIODTYPE=QTR_STD&amp;window=popup_no_bar&amp;width=385&amp;height=120&amp;START_MAXIMIZED=FALSE&amp;creator=factset&amp;display_string=Audit"}</definedName>
    <definedName name="_327__FDSAUDITLINK__" hidden="1">{"fdsup://Directions/FactSet Auditing Viewer?action=AUDIT_VALUE&amp;DB=129&amp;ID1=45990210&amp;VALUEID=02999&amp;SDATE=201002&amp;PERIODTYPE=QTR_STD&amp;window=popup_no_bar&amp;width=385&amp;height=120&amp;START_MAXIMIZED=FALSE&amp;creator=factset&amp;display_string=Audit"}</definedName>
    <definedName name="_328__FDSAUDITLINK__" hidden="1">{"fdsup://Directions/FactSet Auditing Viewer?action=AUDIT_VALUE&amp;DB=129&amp;ID1=45974510&amp;VALUEID=02999&amp;SDATE=201001&amp;PERIODTYPE=QTR_STD&amp;window=popup_no_bar&amp;width=385&amp;height=120&amp;START_MAXIMIZED=FALSE&amp;creator=factset&amp;display_string=Audit"}</definedName>
    <definedName name="_329__FDSAUDITLINK__" hidden="1">{"fdsup://Directions/FactSet Auditing Viewer?action=AUDIT_VALUE&amp;DB=129&amp;ID1=46014610&amp;VALUEID=02999&amp;SDATE=201001&amp;PERIODTYPE=QTR_STD&amp;window=popup_no_bar&amp;width=385&amp;height=120&amp;START_MAXIMIZED=FALSE&amp;creator=factset&amp;display_string=Audit"}</definedName>
    <definedName name="_33__FDSAUDITLINK__" hidden="1">{"fdsup://Directions/FactSet Auditing Viewer?action=AUDIT_VALUE&amp;DB=129&amp;ID1=02744M10&amp;VALUEID=02999&amp;SDATE=201001&amp;PERIODTYPE=QTR_STD&amp;window=popup_no_bar&amp;width=385&amp;height=120&amp;START_MAXIMIZED=FALSE&amp;creator=factset&amp;display_string=Audit"}</definedName>
    <definedName name="_330__FDSAUDITLINK__" hidden="1">{"fdsup://Directions/FactSet Auditing Viewer?action=AUDIT_VALUE&amp;DB=129&amp;ID1=46025410&amp;VALUEID=02999&amp;SDATE=201003&amp;PERIODTYPE=QTR_STD&amp;window=popup_no_bar&amp;width=385&amp;height=120&amp;START_MAXIMIZED=FALSE&amp;creator=factset&amp;display_string=Audit"}</definedName>
    <definedName name="_331__FDSAUDITLINK__" hidden="1">{"fdsup://Directions/FactSet Auditing Viewer?action=AUDIT_VALUE&amp;DB=129&amp;ID1=46069010&amp;VALUEID=02999&amp;SDATE=201001&amp;PERIODTYPE=QTR_STD&amp;window=popup_no_bar&amp;width=385&amp;height=120&amp;START_MAXIMIZED=FALSE&amp;creator=factset&amp;display_string=Audit"}</definedName>
    <definedName name="_332__FDSAUDITLINK__" hidden="1">{"fdsup://Directions/FactSet Auditing Viewer?action=AUDIT_VALUE&amp;DB=129&amp;ID1=46113M10&amp;VALUEID=02999&amp;SDATE=201001&amp;PERIODTYPE=QTR_STD&amp;window=popup_no_bar&amp;width=385&amp;height=120&amp;START_MAXIMIZED=FALSE&amp;creator=factset&amp;display_string=Audit"}</definedName>
    <definedName name="_333__FDSAUDITLINK__" hidden="1">{"fdsup://Directions/FactSet Auditing Viewer?action=AUDIT_VALUE&amp;DB=129&amp;ID1=46120210&amp;VALUEID=02999&amp;SDATE=201003&amp;PERIODTYPE=QTR_STD&amp;window=popup_no_bar&amp;width=385&amp;height=120&amp;START_MAXIMIZED=FALSE&amp;creator=factset&amp;display_string=Audit"}</definedName>
    <definedName name="_334__FDSAUDITLINK__" hidden="1">{"fdsup://Directions/FactSet Auditing Viewer?action=AUDIT_VALUE&amp;DB=129&amp;ID1=46120310&amp;VALUEID=02999&amp;SDATE=201001&amp;PERIODTYPE=QTR_STD&amp;window=popup_no_bar&amp;width=385&amp;height=120&amp;START_MAXIMIZED=FALSE&amp;creator=factset&amp;display_string=Audit"}</definedName>
    <definedName name="_335__FDSAUDITLINK__" hidden="1">{"fdsup://Directions/FactSet Auditing Viewer?action=AUDIT_VALUE&amp;DB=129&amp;ID1=46122E10&amp;VALUEID=02999&amp;SDATE=201001&amp;PERIODTYPE=QTR_STD&amp;window=popup_no_bar&amp;width=385&amp;height=120&amp;START_MAXIMIZED=FALSE&amp;creator=factset&amp;display_string=Audit"}</definedName>
    <definedName name="_336__FDSAUDITLINK__" hidden="1">{"fdsup://Directions/FactSet Auditing Viewer?action=AUDIT_VALUE&amp;DB=129&amp;ID1=46126P10&amp;VALUEID=02999&amp;SDATE=201001&amp;PERIODTYPE=QTR_STD&amp;window=popup_no_bar&amp;width=385&amp;height=120&amp;START_MAXIMIZED=FALSE&amp;creator=factset&amp;display_string=Audit"}</definedName>
    <definedName name="_337__FDSAUDITLINK__" hidden="1">{"fdsup://Directions/FactSet Auditing Viewer?action=AUDIT_VALUE&amp;DB=129&amp;ID1=46259420&amp;VALUEID=02999&amp;SDATE=201001&amp;PERIODTYPE=QTR_STD&amp;window=popup_no_bar&amp;width=385&amp;height=120&amp;START_MAXIMIZED=FALSE&amp;creator=factset&amp;display_string=Audit"}</definedName>
    <definedName name="_338__FDSAUDITLINK__" hidden="1">{"fdsup://Directions/FactSet Auditing Viewer?action=AUDIT_VALUE&amp;DB=129&amp;ID1=46269C10&amp;VALUEID=02999&amp;SDATE=201001&amp;PERIODTYPE=QTR_STD&amp;window=popup_no_bar&amp;width=385&amp;height=120&amp;START_MAXIMIZED=FALSE&amp;creator=factset&amp;display_string=Audit"}</definedName>
    <definedName name="_339__FDSAUDITLINK__" hidden="1">{"fdsup://Directions/FactSet Auditing Viewer?action=AUDIT_VALUE&amp;DB=129&amp;ID1=46284610&amp;VALUEID=02999&amp;SDATE=201001&amp;PERIODTYPE=QTR_STD&amp;window=popup_no_bar&amp;width=385&amp;height=120&amp;START_MAXIMIZED=FALSE&amp;creator=factset&amp;display_string=Audit"}</definedName>
    <definedName name="_34__FDSAUDITLINK__" hidden="1">{"fdsup://Directions/FactSet Auditing Viewer?action=AUDIT_VALUE&amp;DB=129&amp;ID1=02874010&amp;VALUEID=02999&amp;SDATE=201002&amp;PERIODTYPE=QTR_STD&amp;window=popup_no_bar&amp;width=385&amp;height=120&amp;START_MAXIMIZED=FALSE&amp;creator=factset&amp;display_string=Audit"}</definedName>
    <definedName name="_340__FDSAUDITLINK__" hidden="1">{"fdsup://Directions/FactSet Auditing Viewer?action=AUDIT_VALUE&amp;DB=129&amp;ID1=45031T87&amp;VALUEID=02999&amp;SDATE=201001&amp;PERIODTYPE=QTR_STD&amp;window=popup_no_bar&amp;width=385&amp;height=120&amp;START_MAXIMIZED=FALSE&amp;creator=factset&amp;display_string=Audit"}</definedName>
    <definedName name="_341__FDSAUDITLINK__" hidden="1">{"fdsup://Directions/FactSet Auditing Viewer?action=AUDIT_VALUE&amp;DB=129&amp;ID1=46574110&amp;VALUEID=02999&amp;SDATE=201001&amp;PERIODTYPE=QTR_STD&amp;window=popup_no_bar&amp;width=385&amp;height=120&amp;START_MAXIMIZED=FALSE&amp;creator=factset&amp;display_string=Audit"}</definedName>
    <definedName name="_342__FDSAUDITLINK__" hidden="1">{"fdsup://Directions/FactSet Auditing Viewer?action=AUDIT_VALUE&amp;DB=129&amp;ID1=45091110&amp;VALUEID=02999&amp;SDATE=201001&amp;PERIODTYPE=QTR_STD&amp;window=popup_no_bar&amp;width=385&amp;height=120&amp;START_MAXIMIZED=FALSE&amp;creator=factset&amp;display_string=Audit"}</definedName>
    <definedName name="_343__FDSAUDITLINK__" hidden="1">{"fdsup://Directions/FactSet Auditing Viewer?action=AUDIT_VALUE&amp;DB=129&amp;ID1=46612H40&amp;VALUEID=02999&amp;SDATE=201001&amp;PERIODTYPE=QTR_STD&amp;window=popup_no_bar&amp;width=385&amp;height=120&amp;START_MAXIMIZED=FALSE&amp;creator=factset&amp;display_string=Audit"}</definedName>
    <definedName name="_344__FDSAUDITLINK__" hidden="1">{"fdsup://Directions/FactSet Auditing Viewer?action=AUDIT_VALUE&amp;DB=129&amp;ID1=70816010&amp;VALUEID=02999&amp;SDATE=201001&amp;PERIODTYPE=QTR_STD&amp;window=popup_no_bar&amp;width=385&amp;height=120&amp;START_MAXIMIZED=FALSE&amp;creator=factset&amp;display_string=Audit"}</definedName>
    <definedName name="_345__FDSAUDITLINK__" hidden="1">{"fdsup://Directions/FactSet Auditing Viewer?action=AUDIT_VALUE&amp;DB=129&amp;ID1=46631310&amp;VALUEID=02999&amp;SDATE=201003&amp;PERIODTYPE=QTR_STD&amp;window=popup_no_bar&amp;width=385&amp;height=120&amp;START_MAXIMIZED=FALSE&amp;creator=factset&amp;display_string=Audit"}</definedName>
    <definedName name="_346__FDSAUDITLINK__" hidden="1">{"fdsup://Directions/FactSet Auditing Viewer?action=AUDIT_VALUE&amp;DB=129&amp;ID1=46636710&amp;VALUEID=02999&amp;SDATE=201002&amp;PERIODTYPE=QTR_STD&amp;window=popup_no_bar&amp;width=385&amp;height=120&amp;START_MAXIMIZED=FALSE&amp;creator=factset&amp;display_string=Audit"}</definedName>
    <definedName name="_347__FDSAUDITLINK__" hidden="1">{"fdsup://Directions/FactSet Auditing Viewer?action=AUDIT_VALUE&amp;DB=129&amp;ID1=47714310&amp;VALUEID=02999&amp;SDATE=201001&amp;PERIODTYPE=QTR_STD&amp;window=popup_no_bar&amp;width=385&amp;height=120&amp;START_MAXIMIZED=FALSE&amp;creator=factset&amp;display_string=Audit"}</definedName>
    <definedName name="_348__FDSAUDITLINK__" hidden="1">{"fdsup://Directions/FactSet Auditing Viewer?action=AUDIT_VALUE&amp;DB=129&amp;ID1=47758P30&amp;VALUEID=02999&amp;SDATE=201001&amp;PERIODTYPE=QTR_STD&amp;window=popup_no_bar&amp;width=385&amp;height=120&amp;START_MAXIMIZED=FALSE&amp;creator=factset&amp;display_string=Audit"}</definedName>
    <definedName name="_349__FDSAUDITLINK__" hidden="1">{"fdsup://Directions/FactSet Auditing Viewer?action=AUDIT_VALUE&amp;DB=129&amp;ID1=47836610&amp;VALUEID=02999&amp;SDATE=201002&amp;PERIODTYPE=QTR_STD&amp;window=popup_no_bar&amp;width=385&amp;height=120&amp;START_MAXIMIZED=FALSE&amp;creator=factset&amp;display_string=Audit"}</definedName>
    <definedName name="_35__FDSAUDITLINK__" hidden="1">{"fdsup://Directions/FactSet Auditing Viewer?action=AUDIT_VALUE&amp;DB=129&amp;ID1=02916P10&amp;VALUEID=02999&amp;SDATE=201001&amp;PERIODTYPE=QTR_STD&amp;window=popup_no_bar&amp;width=385&amp;height=120&amp;START_MAXIMIZED=FALSE&amp;creator=factset&amp;display_string=Audit"}</definedName>
    <definedName name="_350__FDSAUDITLINK__" hidden="1">{"fdsup://Directions/FactSet Auditing Viewer?action=AUDIT_VALUE&amp;DB=129&amp;ID1=48116510&amp;VALUEID=02999&amp;SDATE=201002&amp;PERIODTYPE=QTR_STD&amp;window=popup_no_bar&amp;width=385&amp;height=120&amp;START_MAXIMIZED=FALSE&amp;creator=factset&amp;display_string=Audit"}</definedName>
    <definedName name="_351__FDSAUDITLINK__" hidden="1">{"fdsup://Directions/FactSet Auditing Viewer?action=AUDIT_VALUE&amp;DB=129&amp;ID1=48354810&amp;VALUEID=02999&amp;SDATE=201001&amp;PERIODTYPE=QTR_STD&amp;window=popup_no_bar&amp;width=385&amp;height=120&amp;START_MAXIMIZED=FALSE&amp;creator=factset&amp;display_string=Audit"}</definedName>
    <definedName name="_352__FDSAUDITLINK__" hidden="1">{"fdsup://Directions/FactSet Auditing Viewer?action=AUDIT_VALUE&amp;DB=129&amp;ID1=48666K10&amp;VALUEID=02999&amp;SDATE=201002&amp;PERIODTYPE=QTR_STD&amp;window=popup_no_bar&amp;width=385&amp;height=120&amp;START_MAXIMIZED=FALSE&amp;creator=factset&amp;display_string=Audit"}</definedName>
    <definedName name="_353__FDSAUDITLINK__" hidden="1">{"fdsup://Directions/FactSet Auditing Viewer?action=AUDIT_VALUE&amp;DB=129&amp;ID1=48783610&amp;VALUEID=02999&amp;SDATE=201001&amp;PERIODTYPE=QTR_STD&amp;window=popup_no_bar&amp;width=385&amp;height=120&amp;START_MAXIMIZED=FALSE&amp;creator=factset&amp;display_string=Audit"}</definedName>
    <definedName name="_354__FDSAUDITLINK__" hidden="1">{"fdsup://Directions/FactSet Auditing Viewer?action=AUDIT_VALUE&amp;DB=129&amp;ID1=48880L10&amp;VALUEID=02999&amp;SDATE=201001&amp;PERIODTYPE=QTR_STD&amp;window=popup_no_bar&amp;width=385&amp;height=120&amp;START_MAXIMIZED=FALSE&amp;creator=factset&amp;display_string=Audit"}</definedName>
    <definedName name="_355__FDSAUDITLINK__" hidden="1">{"fdsup://Directions/FactSet Auditing Viewer?action=AUDIT_VALUE&amp;DB=129&amp;ID1=48917010&amp;VALUEID=02999&amp;SDATE=201003&amp;PERIODTYPE=QTR_STD&amp;window=popup_no_bar&amp;width=385&amp;height=120&amp;START_MAXIMIZED=FALSE&amp;creator=factset&amp;display_string=Audit"}</definedName>
    <definedName name="_356__FDSAUDITLINK__" hidden="1">{"fdsup://Directions/FactSet Auditing Viewer?action=AUDIT_VALUE&amp;DB=129&amp;ID1=49291410&amp;VALUEID=02999&amp;SDATE=201001&amp;PERIODTYPE=QTR_STD&amp;window=popup_no_bar&amp;width=385&amp;height=120&amp;START_MAXIMIZED=FALSE&amp;creator=factset&amp;display_string=Audit"}</definedName>
    <definedName name="_357__FDSAUDITLINK__" hidden="1">{"fdsup://Directions/FactSet Auditing Viewer?action=AUDIT_VALUE&amp;DB=129&amp;ID1=49436810&amp;VALUEID=02999&amp;SDATE=201001&amp;PERIODTYPE=QTR_STD&amp;window=popup_no_bar&amp;width=385&amp;height=120&amp;START_MAXIMIZED=FALSE&amp;creator=factset&amp;display_string=Audit"}</definedName>
    <definedName name="_358__FDSAUDITLINK__" hidden="1">{"fdsup://Directions/FactSet Auditing Viewer?action=AUDIT_VALUE&amp;DB=129&amp;ID1=49558210&amp;VALUEID=02999&amp;SDATE=201001&amp;PERIODTYPE=QTR_STD&amp;window=popup_no_bar&amp;width=385&amp;height=120&amp;START_MAXIMIZED=FALSE&amp;creator=factset&amp;display_string=Audit"}</definedName>
    <definedName name="_359__FDSAUDITLINK__" hidden="1">{"fdsup://Directions/FactSet Auditing Viewer?action=AUDIT_VALUE&amp;DB=129&amp;ID1=48248010&amp;VALUEID=02999&amp;SDATE=201003&amp;PERIODTYPE=QTR_STD&amp;window=popup_no_bar&amp;width=385&amp;height=120&amp;START_MAXIMIZED=FALSE&amp;creator=factset&amp;display_string=Audit"}</definedName>
    <definedName name="_36___0__123Grap" hidden="1">'[1]Comp. Transaction'!#REF!</definedName>
    <definedName name="_36__FDSAUDITLINK__" hidden="1">{"fdsup://Directions/FactSet Auditing Viewer?action=AUDIT_VALUE&amp;DB=129&amp;ID1=02991220&amp;VALUEID=02999&amp;SDATE=201001&amp;PERIODTYPE=QTR_STD&amp;window=popup_no_bar&amp;width=385&amp;height=120&amp;START_MAXIMIZED=FALSE&amp;creator=factset&amp;display_string=Audit"}</definedName>
    <definedName name="_360__FDSAUDITLINK__" hidden="1">{"fdsup://Directions/FactSet Auditing Viewer?action=AUDIT_VALUE&amp;DB=129&amp;ID1=49890420&amp;VALUEID=02999&amp;SDATE=201001&amp;PERIODTYPE=QTR_STD&amp;window=popup_no_bar&amp;width=385&amp;height=120&amp;START_MAXIMIZED=FALSE&amp;creator=factset&amp;display_string=Audit"}</definedName>
    <definedName name="_361__FDSAUDITLINK__" hidden="1">{"fdsup://Directions/FactSet Auditing Viewer?action=AUDIT_VALUE&amp;DB=129&amp;ID1=49918380&amp;VALUEID=02999&amp;SDATE=201001&amp;PERIODTYPE=QTR_STD&amp;window=popup_no_bar&amp;width=385&amp;height=120&amp;START_MAXIMIZED=FALSE&amp;creator=factset&amp;display_string=Audit"}</definedName>
    <definedName name="_362__FDSAUDITLINK__" hidden="1">{"fdsup://Directions/FactSet Auditing Viewer?action=AUDIT_VALUE&amp;DB=129&amp;ID1=50025510&amp;VALUEID=02999&amp;SDATE=201001&amp;PERIODTYPE=QTR_STD&amp;window=popup_no_bar&amp;width=385&amp;height=120&amp;START_MAXIMIZED=FALSE&amp;creator=factset&amp;display_string=Audit"}</definedName>
    <definedName name="_363__FDSAUDITLINK__" hidden="1">{"fdsup://Directions/FactSet Auditing Viewer?action=AUDIT_VALUE&amp;DB=129&amp;ID1=50075N10&amp;VALUEID=02999&amp;SDATE=201001&amp;PERIODTYPE=QTR_STD&amp;window=popup_no_bar&amp;width=385&amp;height=120&amp;START_MAXIMIZED=FALSE&amp;creator=factset&amp;display_string=Audit"}</definedName>
    <definedName name="_364__FDSAUDITLINK__" hidden="1">{"fdsup://Directions/FactSet Auditing Viewer?action=AUDIT_VALUE&amp;DB=129&amp;ID1=50101410&amp;VALUEID=02999&amp;SDATE=201001&amp;PERIODTYPE=QTR_STD&amp;window=popup_no_bar&amp;width=385&amp;height=120&amp;START_MAXIMIZED=FALSE&amp;creator=factset&amp;display_string=Audit"}</definedName>
    <definedName name="_365__FDSAUDITLINK__" hidden="1">{"fdsup://Directions/FactSet Auditing Viewer?action=AUDIT_VALUE&amp;DB=129&amp;ID1=50104410&amp;VALUEID=02999&amp;SDATE=201001&amp;PERIODTYPE=QTR_STD&amp;window=popup_no_bar&amp;width=385&amp;height=120&amp;START_MAXIMIZED=FALSE&amp;creator=factset&amp;display_string=Audit"}</definedName>
    <definedName name="_366__FDSAUDITLINK__" hidden="1">{"fdsup://Directions/FactSet Auditing Viewer?action=AUDIT_VALUE&amp;DB=129&amp;ID1=50212A10&amp;VALUEID=02999&amp;SDATE=201001&amp;PERIODTYPE=QTR_STD&amp;window=popup_no_bar&amp;width=385&amp;height=120&amp;START_MAXIMIZED=FALSE&amp;creator=factset&amp;display_string=Audit"}</definedName>
    <definedName name="_367__FDSAUDITLINK__" hidden="1">{"fdsup://Directions/FactSet Auditing Viewer?action=AUDIT_VALUE&amp;DB=129&amp;ID1=50242410&amp;VALUEID=02999&amp;SDATE=201001&amp;PERIODTYPE=QTR_STD&amp;window=popup_no_bar&amp;width=385&amp;height=120&amp;START_MAXIMIZED=FALSE&amp;creator=factset&amp;display_string=Audit"}</definedName>
    <definedName name="_368__FDSAUDITLINK__" hidden="1">{"fdsup://Directions/FactSet Auditing Viewer?action=AUDIT_VALUE&amp;DB=129&amp;ID1=50540R40&amp;VALUEID=02999&amp;SDATE=201001&amp;PERIODTYPE=QTR_STD&amp;window=popup_no_bar&amp;width=385&amp;height=120&amp;START_MAXIMIZED=FALSE&amp;creator=factset&amp;display_string=Audit"}</definedName>
    <definedName name="_369__FDSAUDITLINK__" hidden="1">{"fdsup://Directions/FactSet Auditing Viewer?action=AUDIT_VALUE&amp;DB=129&amp;ID1=51280710&amp;VALUEID=02999&amp;SDATE=201003&amp;PERIODTYPE=QTR_STD&amp;window=popup_no_bar&amp;width=385&amp;height=120&amp;START_MAXIMIZED=FALSE&amp;creator=factset&amp;display_string=Audit"}</definedName>
    <definedName name="_37__FDSAUDITLINK__" hidden="1">{"fdsup://Directions/FactSet Auditing Viewer?action=AUDIT_VALUE&amp;DB=129&amp;ID1=03073E10&amp;VALUEID=02999&amp;SDATE=201002&amp;PERIODTYPE=QTR_STD&amp;window=popup_no_bar&amp;width=385&amp;height=120&amp;START_MAXIMIZED=FALSE&amp;creator=factset&amp;display_string=Audit"}</definedName>
    <definedName name="_370__FDSAUDITLINK__" hidden="1">{"fdsup://Directions/FactSet Auditing Viewer?action=AUDIT_VALUE&amp;DB=129&amp;ID1=51281510&amp;VALUEID=02999&amp;SDATE=201001&amp;PERIODTYPE=QTR_STD&amp;window=popup_no_bar&amp;width=385&amp;height=120&amp;START_MAXIMIZED=FALSE&amp;creator=factset&amp;display_string=Audit"}</definedName>
    <definedName name="_371__FDSAUDITLINK__" hidden="1">{"fdsup://Directions/FactSet Auditing Viewer?action=AUDIT_VALUE&amp;DB=129&amp;ID1=52186330&amp;VALUEID=02999&amp;SDATE=201001&amp;PERIODTYPE=QTR_STD&amp;window=popup_no_bar&amp;width=385&amp;height=120&amp;START_MAXIMIZED=FALSE&amp;creator=factset&amp;display_string=Audit"}</definedName>
    <definedName name="_372__FDSAUDITLINK__" hidden="1">{"fdsup://Directions/FactSet Auditing Viewer?action=AUDIT_VALUE&amp;DB=129&amp;ID1=52186520&amp;VALUEID=02999&amp;SDATE=201001&amp;PERIODTYPE=QTR_STD&amp;window=popup_no_bar&amp;width=385&amp;height=120&amp;START_MAXIMIZED=FALSE&amp;creator=factset&amp;display_string=Audit"}</definedName>
    <definedName name="_373__FDSAUDITLINK__" hidden="1">{"fdsup://Directions/FactSet Auditing Viewer?action=AUDIT_VALUE&amp;DB=129&amp;ID1=52466010&amp;VALUEID=02999&amp;SDATE=201001&amp;PERIODTYPE=QTR_STD&amp;window=popup_no_bar&amp;width=385&amp;height=120&amp;START_MAXIMIZED=FALSE&amp;creator=factset&amp;display_string=Audit"}</definedName>
    <definedName name="_374__FDSAUDITLINK__" hidden="1">{"fdsup://Directions/FactSet Auditing Viewer?action=AUDIT_VALUE&amp;DB=129&amp;ID1=52610710&amp;VALUEID=02999&amp;SDATE=201001&amp;PERIODTYPE=QTR_STD&amp;window=popup_no_bar&amp;width=385&amp;height=120&amp;START_MAXIMIZED=FALSE&amp;creator=factset&amp;display_string=Audit"}</definedName>
    <definedName name="_375__FDSAUDITLINK__" hidden="1">{"fdsup://Directions/FactSet Auditing Viewer?action=AUDIT_VALUE&amp;DB=129&amp;ID1=52977110&amp;VALUEID=02999&amp;SDATE=201001&amp;PERIODTYPE=QTR_STD&amp;window=popup_no_bar&amp;width=385&amp;height=120&amp;START_MAXIMIZED=FALSE&amp;creator=factset&amp;display_string=Audit"}</definedName>
    <definedName name="_376__FDSAUDITLINK__" hidden="1">{"fdsup://Directions/FactSet Auditing Viewer?action=AUDIT_VALUE&amp;DB=129&amp;ID1=52989810&amp;VALUEID=02999&amp;SDATE=201001&amp;PERIODTYPE=QTR_STD&amp;window=popup_no_bar&amp;width=385&amp;height=120&amp;START_MAXIMIZED=FALSE&amp;creator=factset&amp;display_string=Audit"}</definedName>
    <definedName name="_377__FDSAUDITLINK__" hidden="1">{"fdsup://Directions/FactSet Auditing Viewer?action=AUDIT_VALUE&amp;DB=129&amp;ID1=53055510&amp;VALUEID=02999&amp;SDATE=201001&amp;PERIODTYPE=QTR_STD&amp;window=popup_no_bar&amp;width=385&amp;height=120&amp;START_MAXIMIZED=FALSE&amp;creator=factset&amp;display_string=Audit"}</definedName>
    <definedName name="_378__FDSAUDITLINK__" hidden="1">{"fdsup://Directions/FactSet Auditing Viewer?action=AUDIT_VALUE&amp;DB=129&amp;ID1=53217V10&amp;VALUEID=02999&amp;SDATE=201001&amp;PERIODTYPE=QTR_STD&amp;window=popup_no_bar&amp;width=385&amp;height=120&amp;START_MAXIMIZED=FALSE&amp;creator=factset&amp;display_string=Audit"}</definedName>
    <definedName name="_379__FDSAUDITLINK__" hidden="1">{"fdsup://Directions/FactSet Auditing Viewer?action=AUDIT_VALUE&amp;DB=129&amp;ID1=53271610&amp;VALUEID=02999&amp;SDATE=201001&amp;PERIODTYPE=QTR_STD&amp;window=popup_no_bar&amp;width=385&amp;height=120&amp;START_MAXIMIZED=FALSE&amp;creator=factset&amp;display_string=Audit"}</definedName>
    <definedName name="_38__FDSAUDITLINK__" hidden="1">{"fdsup://Directions/FactSet Auditing Viewer?action=AUDIT_VALUE&amp;DB=129&amp;ID1=03110010&amp;VALUEID=02999&amp;SDATE=201001&amp;PERIODTYPE=QTR_STD&amp;window=popup_no_bar&amp;width=385&amp;height=120&amp;START_MAXIMIZED=FALSE&amp;creator=factset&amp;display_string=Audit"}</definedName>
    <definedName name="_380__FDSAUDITLINK__" hidden="1">{"fdsup://Directions/FactSet Auditing Viewer?action=AUDIT_VALUE&amp;DB=129&amp;ID1=53277410&amp;VALUEID=02999&amp;SDATE=201001&amp;PERIODTYPE=QTR_STD&amp;window=popup_no_bar&amp;width=385&amp;height=120&amp;START_MAXIMIZED=FALSE&amp;creator=factset&amp;display_string=Audit"}</definedName>
    <definedName name="_381__FDSAUDITLINK__" hidden="1">{"fdsup://Directions/FactSet Auditing Viewer?action=AUDIT_VALUE&amp;DB=129&amp;ID1=53932010&amp;VALUEID=02999&amp;SDATE=201001&amp;PERIODTYPE=QTR_STD&amp;window=popup_no_bar&amp;width=385&amp;height=120&amp;START_MAXIMIZED=FALSE&amp;creator=factset&amp;display_string=Audit"}</definedName>
    <definedName name="_382__FDSAUDITLINK__" hidden="1">{"fdsup://Directions/FactSet Auditing Viewer?action=AUDIT_VALUE&amp;DB=129&amp;ID1=50188920&amp;VALUEID=02999&amp;SDATE=201001&amp;PERIODTYPE=QTR_STD&amp;window=popup_no_bar&amp;width=385&amp;height=120&amp;START_MAXIMIZED=FALSE&amp;creator=factset&amp;display_string=Audit"}</definedName>
    <definedName name="_383__FDSAUDITLINK__" hidden="1">{"fdsup://Directions/FactSet Auditing Viewer?action=AUDIT_VALUE&amp;DB=129&amp;ID1=53983010&amp;VALUEID=02999&amp;SDATE=201001&amp;PERIODTYPE=QTR_STD&amp;window=popup_no_bar&amp;width=385&amp;height=120&amp;START_MAXIMIZED=FALSE&amp;creator=factset&amp;display_string=Audit"}</definedName>
    <definedName name="_384__FDSAUDITLINK__" hidden="1">{"fdsup://Directions/FactSet Auditing Viewer?action=AUDIT_VALUE&amp;DB=129&amp;ID1=54021110&amp;VALUEID=02999&amp;SDATE=201001&amp;PERIODTYPE=QTR_STD&amp;window=popup_no_bar&amp;width=385&amp;height=120&amp;START_MAXIMIZED=FALSE&amp;creator=factset&amp;display_string=Audit"}</definedName>
    <definedName name="_385__FDSAUDITLINK__" hidden="1">{"fdsup://Directions/FactSet Auditing Viewer?action=AUDIT_VALUE&amp;DB=129&amp;ID1=54414710&amp;VALUEID=02999&amp;SDATE=201001&amp;PERIODTYPE=QTR_STD&amp;window=popup_no_bar&amp;width=385&amp;height=120&amp;START_MAXIMIZED=FALSE&amp;creator=factset&amp;display_string=Audit"}</definedName>
    <definedName name="_386__FDSAUDITLINK__" hidden="1">{"fdsup://Directions/FactSet Auditing Viewer?action=AUDIT_VALUE&amp;DB=129&amp;ID1=54866110&amp;VALUEID=02999&amp;SDATE=201001&amp;PERIODTYPE=QTR_STD&amp;window=popup_no_bar&amp;width=385&amp;height=120&amp;START_MAXIMIZED=FALSE&amp;creator=factset&amp;display_string=Audit"}</definedName>
    <definedName name="_387__FDSAUDITLINK__" hidden="1">{"fdsup://Directions/FactSet Auditing Viewer?action=AUDIT_VALUE&amp;DB=129&amp;ID1=54927110&amp;VALUEID=02999&amp;SDATE=201001&amp;PERIODTYPE=QTR_STD&amp;window=popup_no_bar&amp;width=385&amp;height=120&amp;START_MAXIMIZED=FALSE&amp;creator=factset&amp;display_string=Audit"}</definedName>
    <definedName name="_388__FDSAUDITLINK__" hidden="1">{"fdsup://Directions/FactSet Auditing Viewer?action=AUDIT_VALUE&amp;DB=129&amp;ID1=55267610&amp;VALUEID=02999&amp;SDATE=201001&amp;PERIODTYPE=QTR_STD&amp;window=popup_no_bar&amp;width=385&amp;height=120&amp;START_MAXIMIZED=FALSE&amp;creator=factset&amp;display_string=Audit"}</definedName>
    <definedName name="_389__FDSAUDITLINK__" hidden="1">{"fdsup://Directions/FactSet Auditing Viewer?action=AUDIT_VALUE&amp;DB=129&amp;ID1=55305B10&amp;VALUEID=02999&amp;SDATE=201001&amp;PERIODTYPE=QTR_STD&amp;window=popup_no_bar&amp;width=385&amp;height=120&amp;START_MAXIMIZED=FALSE&amp;creator=factset&amp;display_string=Audit"}</definedName>
    <definedName name="_39__FDSAUDITLINK__" hidden="1">{"fdsup://Directions/FactSet Auditing Viewer?action=AUDIT_VALUE&amp;DB=129&amp;ID1=03116210&amp;VALUEID=02999&amp;SDATE=201001&amp;PERIODTYPE=QTR_STD&amp;window=popup_no_bar&amp;width=385&amp;height=120&amp;START_MAXIMIZED=FALSE&amp;creator=factset&amp;display_string=Audit"}</definedName>
    <definedName name="_390__FDSAUDITLINK__" hidden="1">{"fdsup://Directions/FactSet Auditing Viewer?action=AUDIT_VALUE&amp;DB=129&amp;ID1=55415310&amp;VALUEID=02999&amp;SDATE=201001&amp;PERIODTYPE=QTR_STD&amp;window=popup_no_bar&amp;width=385&amp;height=120&amp;START_MAXIMIZED=FALSE&amp;creator=factset&amp;display_string=Audit"}</definedName>
    <definedName name="_391__FDSAUDITLINK__" hidden="1">{"fdsup://Directions/FactSet Auditing Viewer?action=AUDIT_VALUE&amp;DB=129&amp;ID1=55616P10&amp;VALUEID=02999&amp;SDATE=201001&amp;PERIODTYPE=QTR_STD&amp;window=popup_no_bar&amp;width=385&amp;height=120&amp;START_MAXIMIZED=FALSE&amp;creator=factset&amp;display_string=Audit"}</definedName>
    <definedName name="_392__FDSAUDITLINK__" hidden="1">{"fdsup://Directions/FactSet Auditing Viewer?action=AUDIT_VALUE&amp;DB=129&amp;ID1=56584910&amp;VALUEID=02999&amp;SDATE=201001&amp;PERIODTYPE=QTR_STD&amp;window=popup_no_bar&amp;width=385&amp;height=120&amp;START_MAXIMIZED=FALSE&amp;creator=factset&amp;display_string=Audit"}</definedName>
    <definedName name="_393__FDSAUDITLINK__" hidden="1">{"fdsup://Directions/FactSet Auditing Viewer?action=AUDIT_VALUE&amp;DB=129&amp;ID1=56845T30&amp;VALUEID=02999&amp;SDATE=201001&amp;PERIODTYPE=QTR_STD&amp;window=popup_no_bar&amp;width=385&amp;height=120&amp;START_MAXIMIZED=FALSE&amp;creator=factset&amp;display_string=Audit"}</definedName>
    <definedName name="_394__FDSAUDITLINK__" hidden="1">{"fdsup://Directions/FactSet Auditing Viewer?action=AUDIT_VALUE&amp;DB=129&amp;ID1=57190320&amp;VALUEID=02999&amp;SDATE=201001&amp;PERIODTYPE=QTR_STD&amp;window=popup_no_bar&amp;width=385&amp;height=120&amp;START_MAXIMIZED=FALSE&amp;creator=factset&amp;display_string=Audit"}</definedName>
    <definedName name="_395__FDSAUDITLINK__" hidden="1">{"fdsup://Directions/FactSet Auditing Viewer?action=AUDIT_VALUE&amp;DB=129&amp;ID1=57328410&amp;VALUEID=02999&amp;SDATE=201001&amp;PERIODTYPE=QTR_STD&amp;window=popup_no_bar&amp;width=385&amp;height=120&amp;START_MAXIMIZED=FALSE&amp;creator=factset&amp;display_string=Audit"}</definedName>
    <definedName name="_396__FDSAUDITLINK__" hidden="1">{"fdsup://Directions/FactSet Auditing Viewer?action=AUDIT_VALUE&amp;DB=129&amp;ID1=57333110&amp;VALUEID=02999&amp;SDATE=201001&amp;PERIODTYPE=QTR_STD&amp;window=popup_no_bar&amp;width=385&amp;height=120&amp;START_MAXIMIZED=FALSE&amp;creator=factset&amp;display_string=Audit"}</definedName>
    <definedName name="_397__FDSAUDITLINK__" hidden="1">{"fdsup://Directions/FactSet Auditing Viewer?action=AUDIT_VALUE&amp;DB=129&amp;ID1=57459910&amp;VALUEID=02999&amp;SDATE=201001&amp;PERIODTYPE=QTR_STD&amp;window=popup_no_bar&amp;width=385&amp;height=120&amp;START_MAXIMIZED=FALSE&amp;creator=factset&amp;display_string=Audit"}</definedName>
    <definedName name="_398__FDSAUDITLINK__" hidden="1">{"fdsup://Directions/FactSet Auditing Viewer?action=AUDIT_VALUE&amp;DB=129&amp;ID1=57620610&amp;VALUEID=02999&amp;SDATE=201001&amp;PERIODTYPE=QTR_STD&amp;window=popup_no_bar&amp;width=385&amp;height=120&amp;START_MAXIMIZED=FALSE&amp;creator=factset&amp;display_string=Audit"}</definedName>
    <definedName name="_399__FDSAUDITLINK__" hidden="1">{"fdsup://Directions/FactSet Auditing Viewer?action=AUDIT_VALUE&amp;DB=129&amp;ID1=57636Q10&amp;VALUEID=02999&amp;SDATE=201001&amp;PERIODTYPE=QTR_STD&amp;window=popup_no_bar&amp;width=385&amp;height=120&amp;START_MAXIMIZED=FALSE&amp;creator=factset&amp;display_string=Audit"}</definedName>
    <definedName name="_3IQ_CURRENCY_GAIN_INS" hidden="1">"c238"</definedName>
    <definedName name="_4__FDSAUDITLINK__" hidden="1">{"fdsup://Directions/FactSet Auditing Viewer?action=AUDIT_VALUE&amp;DB=129&amp;ID1=04930310&amp;VALUEID=02999&amp;SDATE=200903&amp;PERIODTYPE=QTR_STD&amp;window=popup_no_bar&amp;width=385&amp;height=120&amp;START_MAXIMIZED=FALSE&amp;creator=factset&amp;display_string=Audit"}</definedName>
    <definedName name="_4_0__123Grap" hidden="1">'[1]Comp. Transaction'!#REF!</definedName>
    <definedName name="_40__FDSAUDITLINK__" hidden="1">{"fdsup://Directions/FactSet Auditing Viewer?action=AUDIT_VALUE&amp;DB=129&amp;ID1=03209510&amp;VALUEID=02999&amp;SDATE=201001&amp;PERIODTYPE=QTR_STD&amp;window=popup_no_bar&amp;width=385&amp;height=120&amp;START_MAXIMIZED=FALSE&amp;creator=factset&amp;display_string=Audit"}</definedName>
    <definedName name="_400__FDSAUDITLINK__" hidden="1">{"fdsup://Directions/FactSet Auditing Viewer?action=AUDIT_VALUE&amp;DB=129&amp;ID1=57708110&amp;VALUEID=02999&amp;SDATE=201001&amp;PERIODTYPE=QTR_STD&amp;window=popup_no_bar&amp;width=385&amp;height=120&amp;START_MAXIMIZED=FALSE&amp;creator=factset&amp;display_string=Audit"}</definedName>
    <definedName name="_401__FDSAUDITLINK__" hidden="1">{"fdsup://Directions/FactSet Auditing Viewer?action=AUDIT_VALUE&amp;DB=129&amp;ID1=57948910&amp;VALUEID=02999&amp;SDATE=201001&amp;PERIODTYPE=QTR_STD&amp;window=popup_no_bar&amp;width=385&amp;height=120&amp;START_MAXIMIZED=FALSE&amp;creator=factset&amp;display_string=Audit"}</definedName>
    <definedName name="_402__FDSAUDITLINK__" hidden="1">{"fdsup://Directions/FactSet Auditing Viewer?action=AUDIT_VALUE&amp;DB=129&amp;ID1=57978020&amp;VALUEID=02999&amp;SDATE=201002&amp;PERIODTYPE=QTR_STD&amp;window=popup_no_bar&amp;width=385&amp;height=120&amp;START_MAXIMIZED=FALSE&amp;creator=factset&amp;display_string=Audit"}</definedName>
    <definedName name="_403__FDSAUDITLINK__" hidden="1">{"fdsup://Directions/FactSet Auditing Viewer?action=AUDIT_VALUE&amp;DB=129&amp;ID1=58003710&amp;VALUEID=02999&amp;SDATE=201001&amp;PERIODTYPE=QTR_STD&amp;window=popup_no_bar&amp;width=385&amp;height=120&amp;START_MAXIMIZED=FALSE&amp;creator=factset&amp;display_string=Audit"}</definedName>
    <definedName name="_404__FDSAUDITLINK__" hidden="1">{"fdsup://Directions/FactSet Auditing Viewer?action=AUDIT_VALUE&amp;DB=129&amp;ID1=58013510&amp;VALUEID=02999&amp;SDATE=201001&amp;PERIODTYPE=QTR_STD&amp;window=popup_no_bar&amp;width=385&amp;height=120&amp;START_MAXIMIZED=FALSE&amp;creator=factset&amp;display_string=Audit"}</definedName>
    <definedName name="_405__FDSAUDITLINK__" hidden="1">{"fdsup://Directions/FactSet Auditing Viewer?action=AUDIT_VALUE&amp;DB=129&amp;ID1=58241110&amp;VALUEID=02999&amp;SDATE=201001&amp;PERIODTYPE=QTR_STD&amp;window=popup_no_bar&amp;width=385&amp;height=120&amp;START_MAXIMIZED=FALSE&amp;creator=factset&amp;display_string=Audit"}</definedName>
    <definedName name="_406__FDSAUDITLINK__" hidden="1">{"fdsup://Directions/FactSet Auditing Viewer?action=AUDIT_VALUE&amp;DB=129&amp;ID1=58283910&amp;VALUEID=02999&amp;SDATE=201001&amp;PERIODTYPE=QTR_STD&amp;window=popup_no_bar&amp;width=385&amp;height=120&amp;START_MAXIMIZED=FALSE&amp;creator=factset&amp;display_string=Audit"}</definedName>
    <definedName name="_407__FDSAUDITLINK__" hidden="1">{"fdsup://Directions/FactSet Auditing Viewer?action=AUDIT_VALUE&amp;DB=129&amp;ID1=58333410&amp;VALUEID=02999&amp;SDATE=201001&amp;PERIODTYPE=QTR_STD&amp;window=popup_no_bar&amp;width=385&amp;height=120&amp;START_MAXIMIZED=FALSE&amp;creator=factset&amp;display_string=Audit"}</definedName>
    <definedName name="_408__FDSAUDITLINK__" hidden="1">{"fdsup://Directions/FactSet Auditing Viewer?action=AUDIT_VALUE&amp;DB=129&amp;ID1=58405U10&amp;VALUEID=02999&amp;SDATE=201001&amp;PERIODTYPE=QTR_STD&amp;window=popup_no_bar&amp;width=385&amp;height=120&amp;START_MAXIMIZED=FALSE&amp;creator=factset&amp;display_string=Audit"}</definedName>
    <definedName name="_409__FDSAUDITLINK__" hidden="1">{"fdsup://Directions/FactSet Auditing Viewer?action=AUDIT_VALUE&amp;DB=129&amp;ID1=58440410&amp;VALUEID=02999&amp;SDATE=201001&amp;PERIODTYPE=QTR_STD&amp;window=popup_no_bar&amp;width=385&amp;height=120&amp;START_MAXIMIZED=FALSE&amp;creator=factset&amp;display_string=Audit"}</definedName>
    <definedName name="_41__FDSAUDITLINK__" hidden="1">{"fdsup://Directions/FactSet Auditing Viewer?action=AUDIT_VALUE&amp;DB=129&amp;ID1=00176510&amp;VALUEID=02999&amp;SDATE=201001&amp;PERIODTYPE=QTR_STD&amp;window=popup_no_bar&amp;width=385&amp;height=120&amp;START_MAXIMIZED=FALSE&amp;creator=factset&amp;display_string=Audit"}</definedName>
    <definedName name="_410__FDSAUDITLINK__" hidden="1">{"fdsup://Directions/FactSet Auditing Viewer?action=AUDIT_VALUE&amp;DB=129&amp;ID1=58446K10&amp;VALUEID=02999&amp;SDATE=201001&amp;PERIODTYPE=QTR_STD&amp;window=popup_no_bar&amp;width=385&amp;height=120&amp;START_MAXIMIZED=FALSE&amp;creator=factset&amp;display_string=Audit"}</definedName>
    <definedName name="_411__FDSAUDITLINK__" hidden="1">{"fdsup://Directions/FactSet Auditing Viewer?action=AUDIT_VALUE&amp;DB=129&amp;ID1=58805610&amp;VALUEID=02999&amp;SDATE=201001&amp;PERIODTYPE=QTR_STD&amp;window=popup_no_bar&amp;width=385&amp;height=120&amp;START_MAXIMIZED=FALSE&amp;creator=factset&amp;display_string=Audit"}</definedName>
    <definedName name="_412__FDSAUDITLINK__" hidden="1">{"fdsup://Directions/FactSet Auditing Viewer?action=AUDIT_VALUE&amp;DB=129&amp;ID1=58933Y10&amp;VALUEID=02999&amp;SDATE=201001&amp;PERIODTYPE=QTR_STD&amp;window=popup_no_bar&amp;width=385&amp;height=120&amp;START_MAXIMIZED=FALSE&amp;creator=factset&amp;display_string=Audit"}</definedName>
    <definedName name="_413__FDSAUDITLINK__" hidden="1">{"fdsup://Directions/FactSet Auditing Viewer?action=AUDIT_VALUE&amp;DB=129&amp;ID1=59001A10&amp;VALUEID=02999&amp;SDATE=201001&amp;PERIODTYPE=QTR_STD&amp;window=popup_no_bar&amp;width=385&amp;height=120&amp;START_MAXIMIZED=FALSE&amp;creator=factset&amp;display_string=Audit"}</definedName>
    <definedName name="_414__FDSAUDITLINK__" hidden="1">{"fdsup://Directions/FactSet Auditing Viewer?action=AUDIT_VALUE&amp;DB=129&amp;ID1=59170810&amp;VALUEID=02999&amp;SDATE=201001&amp;PERIODTYPE=QTR_STD&amp;window=popup_no_bar&amp;width=385&amp;height=120&amp;START_MAXIMIZED=FALSE&amp;creator=factset&amp;display_string=Audit"}</definedName>
    <definedName name="_415__FDSAUDITLINK__" hidden="1">{"fdsup://Directions/FactSet Auditing Viewer?action=AUDIT_VALUE&amp;DB=129&amp;ID1=59268810&amp;VALUEID=02999&amp;SDATE=201001&amp;PERIODTYPE=QTR_STD&amp;window=popup_no_bar&amp;width=385&amp;height=120&amp;START_MAXIMIZED=FALSE&amp;creator=factset&amp;display_string=Audit"}</definedName>
    <definedName name="_416__FDSAUDITLINK__" hidden="1">{"fdsup://Directions/FactSet Auditing Viewer?action=AUDIT_VALUE&amp;DB=129&amp;ID1=59511210&amp;VALUEID=02999&amp;SDATE=201003&amp;PERIODTYPE=QTR_STD&amp;window=popup_no_bar&amp;width=385&amp;height=120&amp;START_MAXIMIZED=FALSE&amp;creator=factset&amp;display_string=Audit"}</definedName>
    <definedName name="_417__FDSAUDITLINK__" hidden="1">{"fdsup://Directions/FactSet Auditing Viewer?action=AUDIT_VALUE&amp;DB=129&amp;ID1=59491810&amp;VALUEID=02999&amp;SDATE=201003&amp;PERIODTYPE=QTR_STD&amp;window=popup_no_bar&amp;width=385&amp;height=120&amp;START_MAXIMIZED=FALSE&amp;creator=factset&amp;display_string=Audit"}</definedName>
    <definedName name="_418__FDSAUDITLINK__" hidden="1">{"fdsup://Directions/FactSet Auditing Viewer?action=AUDIT_VALUE&amp;DB=129&amp;ID1=60107310&amp;VALUEID=02999&amp;SDATE=201001&amp;PERIODTYPE=QTR_STD&amp;window=popup_no_bar&amp;width=385&amp;height=120&amp;START_MAXIMIZED=FALSE&amp;creator=factset&amp;display_string=Audit"}</definedName>
    <definedName name="_419__FDSAUDITLINK__" hidden="1">{"fdsup://Directions/FactSet Auditing Viewer?action=AUDIT_VALUE&amp;DB=129&amp;ID1=60740F10&amp;VALUEID=02999&amp;SDATE=201001&amp;PERIODTYPE=QTR_STD&amp;window=popup_no_bar&amp;width=385&amp;height=120&amp;START_MAXIMIZED=FALSE&amp;creator=factset&amp;display_string=Audit"}</definedName>
    <definedName name="_42__FDSAUDITLINK__" hidden="1">{"fdsup://Directions/FactSet Auditing Viewer?action=AUDIT_VALUE&amp;DB=129&amp;ID1=03216N10&amp;VALUEID=02999&amp;SDATE=201001&amp;PERIODTYPE=QTR_STD&amp;window=popup_no_bar&amp;width=385&amp;height=120&amp;START_MAXIMIZED=FALSE&amp;creator=factset&amp;display_string=Audit"}</definedName>
    <definedName name="_420__FDSAUDITLINK__" hidden="1">{"fdsup://Directions/FactSet Auditing Viewer?action=AUDIT_VALUE&amp;DB=129&amp;ID1=60819010&amp;VALUEID=02999&amp;SDATE=201001&amp;PERIODTYPE=QTR_STD&amp;window=popup_no_bar&amp;width=385&amp;height=120&amp;START_MAXIMIZED=FALSE&amp;creator=factset&amp;display_string=Audit"}</definedName>
    <definedName name="_421__FDSAUDITLINK__" hidden="1">{"fdsup://Directions/FactSet Auditing Viewer?action=AUDIT_VALUE&amp;DB=129&amp;ID1=60871R20&amp;VALUEID=02999&amp;SDATE=201001&amp;PERIODTYPE=QTR_STD&amp;window=popup_no_bar&amp;width=385&amp;height=120&amp;START_MAXIMIZED=FALSE&amp;creator=factset&amp;display_string=Audit"}</definedName>
    <definedName name="_422__FDSAUDITLINK__" hidden="1">{"fdsup://Directions/FactSet Auditing Viewer?action=AUDIT_VALUE&amp;DB=129&amp;ID1=61166W10&amp;VALUEID=02999&amp;SDATE=201003&amp;PERIODTYPE=QTR_STD&amp;window=popup_no_bar&amp;width=385&amp;height=120&amp;START_MAXIMIZED=FALSE&amp;creator=factset&amp;display_string=Audit"}</definedName>
    <definedName name="_423__FDSAUDITLINK__" hidden="1">{"fdsup://Directions/FactSet Auditing Viewer?action=AUDIT_VALUE&amp;DB=129&amp;ID1=61539420&amp;VALUEID=02999&amp;SDATE=201002&amp;PERIODTYPE=QTR_STD&amp;window=popup_no_bar&amp;width=385&amp;height=120&amp;START_MAXIMIZED=FALSE&amp;creator=factset&amp;display_string=Audit"}</definedName>
    <definedName name="_424__FDSAUDITLINK__" hidden="1">{"fdsup://Directions/FactSet Auditing Viewer?action=AUDIT_VALUE&amp;DB=129&amp;ID1=62007610&amp;VALUEID=02999&amp;SDATE=201001&amp;PERIODTYPE=QTR_STD&amp;window=popup_no_bar&amp;width=385&amp;height=120&amp;START_MAXIMIZED=FALSE&amp;creator=factset&amp;display_string=Audit"}</definedName>
    <definedName name="_425__FDSAUDITLINK__" hidden="1">{"fdsup://Directions/FactSet Auditing Viewer?action=AUDIT_VALUE&amp;DB=129&amp;ID1=62671710&amp;VALUEID=02999&amp;SDATE=201001&amp;PERIODTYPE=QTR_STD&amp;window=popup_no_bar&amp;width=385&amp;height=120&amp;START_MAXIMIZED=FALSE&amp;creator=factset&amp;display_string=Audit"}</definedName>
    <definedName name="_426__FDSAUDITLINK__" hidden="1">{"fdsup://Directions/FactSet Auditing Viewer?action=AUDIT_VALUE&amp;DB=129&amp;ID1=62853010&amp;VALUEID=02999&amp;SDATE=201001&amp;PERIODTYPE=QTR_STD&amp;window=popup_no_bar&amp;width=385&amp;height=120&amp;START_MAXIMIZED=FALSE&amp;creator=factset&amp;display_string=Audit"}</definedName>
    <definedName name="_427__FDSAUDITLINK__" hidden="1">{"fdsup://Directions/FactSet Auditing Viewer?action=AUDIT_VALUE&amp;DB=129&amp;ID1=G6359F10&amp;VALUEID=02999&amp;SDATE=201001&amp;PERIODTYPE=QTR_STD&amp;window=popup_no_bar&amp;width=385&amp;height=120&amp;START_MAXIMIZED=FALSE&amp;creator=factset&amp;display_string=Audit"}</definedName>
    <definedName name="_428__FDSAUDITLINK__" hidden="1">{"fdsup://Directions/FactSet Auditing Viewer?action=AUDIT_VALUE&amp;DB=129&amp;ID1=63707110&amp;VALUEID=02999&amp;SDATE=201001&amp;PERIODTYPE=QTR_STD&amp;window=popup_no_bar&amp;width=385&amp;height=120&amp;START_MAXIMIZED=FALSE&amp;creator=factset&amp;display_string=Audit"}</definedName>
    <definedName name="_429__FDSAUDITLINK__" hidden="1">{"fdsup://Directions/FactSet Auditing Viewer?action=AUDIT_VALUE&amp;DB=129&amp;ID1=63934E10&amp;VALUEID=02999&amp;SDATE=201002&amp;PERIODTYPE=QTR_STD&amp;window=popup_no_bar&amp;width=385&amp;height=120&amp;START_MAXIMIZED=FALSE&amp;creator=factset&amp;display_string=Audit"}</definedName>
    <definedName name="_43__FDSAUDITLINK__" hidden="1">{"fdsup://Directions/FactSet Auditing Viewer?action=AUDIT_VALUE&amp;DB=129&amp;ID1=03251110&amp;VALUEID=02999&amp;SDATE=201001&amp;PERIODTYPE=QTR_STD&amp;window=popup_no_bar&amp;width=385&amp;height=120&amp;START_MAXIMIZED=FALSE&amp;creator=factset&amp;display_string=Audit"}</definedName>
    <definedName name="_430__FDSAUDITLINK__" hidden="1">{"fdsup://Directions/FactSet Auditing Viewer?action=AUDIT_VALUE&amp;DB=129&amp;ID1=62878210&amp;VALUEID=02999&amp;SDATE=201002&amp;PERIODTYPE=QTR_STD&amp;window=popup_no_bar&amp;width=385&amp;height=120&amp;START_MAXIMIZED=FALSE&amp;creator=factset&amp;display_string=Audit"}</definedName>
    <definedName name="_431__FDSAUDITLINK__" hidden="1">{"fdsup://Directions/FactSet Auditing Viewer?action=AUDIT_VALUE&amp;DB=129&amp;ID1=64007910&amp;VALUEID=02999&amp;SDATE=201001&amp;PERIODTYPE=QTR_STD&amp;window=popup_no_bar&amp;width=385&amp;height=120&amp;START_MAXIMIZED=FALSE&amp;creator=factset&amp;display_string=Audit"}</definedName>
    <definedName name="_432__FDSAUDITLINK__" hidden="1">{"fdsup://Directions/FactSet Auditing Viewer?action=AUDIT_VALUE&amp;DB=129&amp;ID1=64110L10&amp;VALUEID=02999&amp;SDATE=201001&amp;PERIODTYPE=QTR_STD&amp;window=popup_no_bar&amp;width=385&amp;height=120&amp;START_MAXIMIZED=FALSE&amp;creator=factset&amp;display_string=Audit"}</definedName>
    <definedName name="_433__FDSAUDITLINK__" hidden="1">{"fdsup://Directions/FactSet Auditing Viewer?action=AUDIT_VALUE&amp;DB=129&amp;ID1=65011110&amp;VALUEID=02999&amp;SDATE=201001&amp;PERIODTYPE=QTR_STD&amp;window=popup_no_bar&amp;width=385&amp;height=120&amp;START_MAXIMIZED=FALSE&amp;creator=factset&amp;display_string=Audit"}</definedName>
    <definedName name="_434__FDSAUDITLINK__" hidden="1">{"fdsup://Directions/FactSet Auditing Viewer?action=AUDIT_VALUE&amp;DB=129&amp;ID1=65122910&amp;VALUEID=02999&amp;SDATE=201001&amp;PERIODTYPE=QTR_STD&amp;window=popup_no_bar&amp;width=385&amp;height=120&amp;START_MAXIMIZED=FALSE&amp;creator=factset&amp;display_string=Audit"}</definedName>
    <definedName name="_435__FDSAUDITLINK__" hidden="1">{"fdsup://Directions/FactSet Auditing Viewer?action=AUDIT_VALUE&amp;DB=129&amp;ID1=65129010&amp;VALUEID=02999&amp;SDATE=201001&amp;PERIODTYPE=QTR_STD&amp;window=popup_no_bar&amp;width=385&amp;height=120&amp;START_MAXIMIZED=FALSE&amp;creator=factset&amp;display_string=Audit"}</definedName>
    <definedName name="_436__FDSAUDITLINK__" hidden="1">{"fdsup://Directions/FactSet Auditing Viewer?action=AUDIT_VALUE&amp;DB=129&amp;ID1=65158710&amp;VALUEID=02999&amp;SDATE=201001&amp;PERIODTYPE=QTR_STD&amp;window=popup_no_bar&amp;width=385&amp;height=120&amp;START_MAXIMIZED=FALSE&amp;creator=factset&amp;display_string=Audit"}</definedName>
    <definedName name="_437__FDSAUDITLINK__" hidden="1">{"fdsup://Directions/FactSet Auditing Viewer?action=AUDIT_VALUE&amp;DB=129&amp;ID1=65163910&amp;VALUEID=02999&amp;SDATE=201001&amp;PERIODTYPE=QTR_STD&amp;window=popup_no_bar&amp;width=385&amp;height=120&amp;START_MAXIMIZED=FALSE&amp;creator=factset&amp;display_string=Audit"}</definedName>
    <definedName name="_438__FDSAUDITLINK__" hidden="1">{"fdsup://Directions/FactSet Auditing Viewer?action=AUDIT_VALUE&amp;DB=129&amp;ID1=65248E10&amp;VALUEID=02999&amp;SDATE=201003&amp;PERIODTYPE=QTR_STD&amp;window=popup_no_bar&amp;width=385&amp;height=120&amp;START_MAXIMIZED=FALSE&amp;creator=factset&amp;display_string=Audit"}</definedName>
    <definedName name="_439__FDSAUDITLINK__" hidden="1">{"fdsup://Directions/FactSet Auditing Viewer?action=AUDIT_VALUE&amp;DB=129&amp;ID1=65336K10&amp;VALUEID=02999&amp;SDATE=201001&amp;PERIODTYPE=QTR_STD&amp;window=popup_no_bar&amp;width=385&amp;height=120&amp;START_MAXIMIZED=FALSE&amp;creator=factset&amp;display_string=Audit"}</definedName>
    <definedName name="_44__FDSAUDITLINK__" hidden="1">{"fdsup://Directions/FactSet Auditing Viewer?action=AUDIT_VALUE&amp;DB=129&amp;ID1=03265410&amp;VALUEID=02999&amp;SDATE=201002&amp;PERIODTYPE=QTR_STD&amp;window=popup_no_bar&amp;width=385&amp;height=120&amp;START_MAXIMIZED=FALSE&amp;creator=factset&amp;display_string=Audit"}</definedName>
    <definedName name="_440__FDSAUDITLINK__" hidden="1">{"fdsup://Directions/FactSet Auditing Viewer?action=AUDIT_VALUE&amp;DB=129&amp;ID1=65504410&amp;VALUEID=02999&amp;SDATE=201001&amp;PERIODTYPE=QTR_STD&amp;window=popup_no_bar&amp;width=385&amp;height=120&amp;START_MAXIMIZED=FALSE&amp;creator=factset&amp;display_string=Audit"}</definedName>
    <definedName name="_441__FDSAUDITLINK__" hidden="1">{"fdsup://Directions/FactSet Auditing Viewer?action=AUDIT_VALUE&amp;DB=129&amp;ID1=65566410&amp;VALUEID=02999&amp;SDATE=201001&amp;PERIODTYPE=QTR_STD&amp;window=popup_no_bar&amp;width=385&amp;height=120&amp;START_MAXIMIZED=FALSE&amp;creator=factset&amp;display_string=Audit"}</definedName>
    <definedName name="_442__FDSAUDITLINK__" hidden="1">{"fdsup://Directions/FactSet Auditing Viewer?action=AUDIT_VALUE&amp;DB=129&amp;ID1=65584410&amp;VALUEID=02999&amp;SDATE=201001&amp;PERIODTYPE=QTR_STD&amp;window=popup_no_bar&amp;width=385&amp;height=120&amp;START_MAXIMIZED=FALSE&amp;creator=factset&amp;display_string=Audit"}</definedName>
    <definedName name="_443__FDSAUDITLINK__" hidden="1">{"fdsup://Directions/FactSet Auditing Viewer?action=AUDIT_VALUE&amp;DB=129&amp;ID1=66680710&amp;VALUEID=02999&amp;SDATE=201001&amp;PERIODTYPE=QTR_STD&amp;window=popup_no_bar&amp;width=385&amp;height=120&amp;START_MAXIMIZED=FALSE&amp;creator=factset&amp;display_string=Audit"}</definedName>
    <definedName name="_444__FDSAUDITLINK__" hidden="1">{"fdsup://Directions/FactSet Auditing Viewer?action=AUDIT_VALUE&amp;DB=129&amp;ID1=67020Q10&amp;VALUEID=02999&amp;SDATE=201001&amp;PERIODTYPE=QTR_STD&amp;window=popup_no_bar&amp;width=385&amp;height=120&amp;START_MAXIMIZED=FALSE&amp;creator=factset&amp;display_string=Audit"}</definedName>
    <definedName name="_445__FDSAUDITLINK__" hidden="1">{"fdsup://Directions/FactSet Auditing Viewer?action=AUDIT_VALUE&amp;DB=129&amp;ID1=67020Y10&amp;VALUEID=02999&amp;SDATE=201002&amp;PERIODTYPE=QTR_STD&amp;window=popup_no_bar&amp;width=385&amp;height=120&amp;START_MAXIMIZED=FALSE&amp;creator=factset&amp;display_string=Audit"}</definedName>
    <definedName name="_446__FDSAUDITLINK__" hidden="1">{"fdsup://Directions/FactSet Auditing Viewer?action=AUDIT_VALUE&amp;DB=129&amp;ID1=67058H10&amp;VALUEID=02999&amp;SDATE=201001&amp;PERIODTYPE=QTR_STD&amp;window=popup_no_bar&amp;width=385&amp;height=120&amp;START_MAXIMIZED=FALSE&amp;creator=factset&amp;display_string=Audit"}</definedName>
    <definedName name="_447__FDSAUDITLINK__" hidden="1">{"fdsup://Directions/FactSet Auditing Viewer?action=AUDIT_VALUE&amp;DB=129&amp;ID1=62944T10&amp;VALUEID=02999&amp;SDATE=201001&amp;PERIODTYPE=QTR_STD&amp;window=popup_no_bar&amp;width=385&amp;height=120&amp;START_MAXIMIZED=FALSE&amp;creator=factset&amp;display_string=Audit"}</definedName>
    <definedName name="_448__FDSAUDITLINK__" hidden="1">{"fdsup://Directions/FactSet Auditing Viewer?action=AUDIT_VALUE&amp;DB=129&amp;ID1=67082310&amp;VALUEID=02999&amp;SDATE=201001&amp;PERIODTYPE=QTR_STD&amp;window=popup_no_bar&amp;width=385&amp;height=120&amp;START_MAXIMIZED=FALSE&amp;creator=factset&amp;display_string=Audit"}</definedName>
    <definedName name="_449__FDSAUDITLINK__" hidden="1">{"fdsup://Directions/FactSet Auditing Viewer?action=AUDIT_VALUE&amp;DB=129&amp;ID1=67459910&amp;VALUEID=02999&amp;SDATE=201001&amp;PERIODTYPE=QTR_STD&amp;window=popup_no_bar&amp;width=385&amp;height=120&amp;START_MAXIMIZED=FALSE&amp;creator=factset&amp;display_string=Audit"}</definedName>
    <definedName name="_45__FDSAUDITLINK__" hidden="1">{"fdsup://Directions/FactSet Auditing Viewer?action=AUDIT_VALUE&amp;DB=129&amp;ID1=03529010&amp;VALUEID=02999&amp;SDATE=201001&amp;PERIODTYPE=QTR_STD&amp;window=popup_no_bar&amp;width=385&amp;height=120&amp;START_MAXIMIZED=FALSE&amp;creator=factset&amp;display_string=Audit"}</definedName>
    <definedName name="_450__FDSAUDITLINK__" hidden="1">{"fdsup://Directions/FactSet Auditing Viewer?action=AUDIT_VALUE&amp;DB=129&amp;ID1=67622010&amp;VALUEID=02999&amp;SDATE=201001&amp;PERIODTYPE=QTR_STD&amp;window=popup_no_bar&amp;width=385&amp;height=120&amp;START_MAXIMIZED=FALSE&amp;creator=factset&amp;display_string=Audit"}</definedName>
    <definedName name="_451__FDSAUDITLINK__" hidden="1">{"fdsup://Directions/FactSet Auditing Viewer?action=AUDIT_VALUE&amp;DB=129&amp;ID1=68066520&amp;VALUEID=02999&amp;SDATE=201001&amp;PERIODTYPE=QTR_STD&amp;window=popup_no_bar&amp;width=385&amp;height=120&amp;START_MAXIMIZED=FALSE&amp;creator=factset&amp;display_string=Audit"}</definedName>
    <definedName name="_452__FDSAUDITLINK__" hidden="1">{"fdsup://Directions/FactSet Auditing Viewer?action=AUDIT_VALUE&amp;DB=129&amp;ID1=67087210&amp;VALUEID=02999&amp;SDATE=201001&amp;PERIODTYPE=QTR_STD&amp;window=popup_no_bar&amp;width=385&amp;height=120&amp;START_MAXIMIZED=FALSE&amp;creator=factset&amp;display_string=Audit"}</definedName>
    <definedName name="_453__FDSAUDITLINK__" hidden="1">{"fdsup://Directions/FactSet Auditing Viewer?action=AUDIT_VALUE&amp;DB=129&amp;ID1=68190410&amp;VALUEID=02999&amp;SDATE=201001&amp;PERIODTYPE=QTR_STD&amp;window=popup_no_bar&amp;width=385&amp;height=120&amp;START_MAXIMIZED=FALSE&amp;creator=factset&amp;display_string=Audit"}</definedName>
    <definedName name="_454__FDSAUDITLINK__" hidden="1">{"fdsup://Directions/FactSet Auditing Viewer?action=AUDIT_VALUE&amp;DB=129&amp;ID1=68191910&amp;VALUEID=02999&amp;SDATE=201001&amp;PERIODTYPE=QTR_STD&amp;window=popup_no_bar&amp;width=385&amp;height=120&amp;START_MAXIMIZED=FALSE&amp;creator=factset&amp;display_string=Audit"}</definedName>
    <definedName name="_455__FDSAUDITLINK__" hidden="1">{"fdsup://Directions/FactSet Auditing Viewer?action=AUDIT_VALUE&amp;DB=129&amp;ID1=68212910&amp;VALUEID=02999&amp;SDATE=201002&amp;PERIODTYPE=QTR_STD&amp;window=popup_no_bar&amp;width=385&amp;height=120&amp;START_MAXIMIZED=FALSE&amp;creator=factset&amp;display_string=Audit"}</definedName>
    <definedName name="_456__FDSAUDITLINK__" hidden="1">{"fdsup://Directions/FactSet Auditing Viewer?action=AUDIT_VALUE&amp;DB=129&amp;ID1=68215910&amp;VALUEID=02999&amp;SDATE=201001&amp;PERIODTYPE=QTR_STD&amp;window=popup_no_bar&amp;width=385&amp;height=120&amp;START_MAXIMIZED=FALSE&amp;creator=factset&amp;display_string=Audit"}</definedName>
    <definedName name="_457__FDSAUDITLINK__" hidden="1">{"fdsup://Directions/FactSet Auditing Viewer?action=AUDIT_VALUE&amp;DB=129&amp;ID1=68218910&amp;VALUEID=02999&amp;SDATE=201001&amp;PERIODTYPE=QTR_STD&amp;window=popup_no_bar&amp;width=385&amp;height=120&amp;START_MAXIMIZED=FALSE&amp;creator=factset&amp;display_string=Audit"}</definedName>
    <definedName name="_458__FDSAUDITLINK__" hidden="1">{"fdsup://Directions/FactSet Auditing Viewer?action=AUDIT_VALUE&amp;DB=129&amp;ID1=68268N10&amp;VALUEID=02999&amp;SDATE=201001&amp;PERIODTYPE=QTR_STD&amp;window=popup_no_bar&amp;width=385&amp;height=120&amp;START_MAXIMIZED=FALSE&amp;creator=factset&amp;display_string=Audit"}</definedName>
    <definedName name="_459__FDSAUDITLINK__" hidden="1">{"fdsup://Directions/FactSet Auditing Viewer?action=AUDIT_VALUE&amp;DB=129&amp;ID1=68556410&amp;VALUEID=02999&amp;SDATE=201001&amp;PERIODTYPE=QTR_STD&amp;window=popup_no_bar&amp;width=385&amp;height=120&amp;START_MAXIMIZED=FALSE&amp;creator=factset&amp;display_string=Audit"}</definedName>
    <definedName name="_46__FDSAUDITLINK__" hidden="1">{"fdsup://Directions/FactSet Auditing Viewer?action=AUDIT_VALUE&amp;DB=129&amp;ID1=03741110&amp;VALUEID=02999&amp;SDATE=201001&amp;PERIODTYPE=QTR_STD&amp;window=popup_no_bar&amp;width=385&amp;height=120&amp;START_MAXIMIZED=FALSE&amp;creator=factset&amp;display_string=Audit"}</definedName>
    <definedName name="_460__FDSAUDITLINK__" hidden="1">{"fdsup://Directions/FactSet Auditing Viewer?action=AUDIT_VALUE&amp;DB=129&amp;ID1=68557K10&amp;VALUEID=02999&amp;SDATE=201001&amp;PERIODTYPE=QTR_STD&amp;window=popup_no_bar&amp;width=385&amp;height=120&amp;START_MAXIMIZED=FALSE&amp;creator=factset&amp;display_string=Audit"}</definedName>
    <definedName name="_461__FDSAUDITLINK__" hidden="1">{"fdsup://Directions/FactSet Auditing Viewer?action=AUDIT_VALUE&amp;DB=129&amp;ID1=68964810&amp;VALUEID=02999&amp;SDATE=201001&amp;PERIODTYPE=QTR_STD&amp;window=popup_no_bar&amp;width=385&amp;height=120&amp;START_MAXIMIZED=FALSE&amp;creator=factset&amp;display_string=Audit"}</definedName>
    <definedName name="_462__FDSAUDITLINK__" hidden="1">{"fdsup://Directions/FactSet Auditing Viewer?action=AUDIT_VALUE&amp;DB=129&amp;ID1=69036810&amp;VALUEID=02999&amp;SDATE=201001&amp;PERIODTYPE=QTR_STD&amp;window=popup_no_bar&amp;width=385&amp;height=120&amp;START_MAXIMIZED=FALSE&amp;creator=factset&amp;display_string=Audit"}</definedName>
    <definedName name="_463__FDSAUDITLINK__" hidden="1">{"fdsup://Directions/FactSet Auditing Viewer?action=AUDIT_VALUE&amp;DB=129&amp;ID1=69076840&amp;VALUEID=02999&amp;SDATE=201001&amp;PERIODTYPE=QTR_STD&amp;window=popup_no_bar&amp;width=385&amp;height=120&amp;START_MAXIMIZED=FALSE&amp;creator=factset&amp;display_string=Audit"}</definedName>
    <definedName name="_464__FDSAUDITLINK__" hidden="1">{"fdsup://Directions/FactSet Auditing Viewer?action=AUDIT_VALUE&amp;DB=129&amp;ID1=69149730&amp;VALUEID=02999&amp;SDATE=201001&amp;PERIODTYPE=QTR_STD&amp;window=popup_no_bar&amp;width=385&amp;height=120&amp;START_MAXIMIZED=FALSE&amp;creator=factset&amp;display_string=Audit"}</definedName>
    <definedName name="_465__FDSAUDITLINK__" hidden="1">{"fdsup://Directions/FactSet Auditing Viewer?action=AUDIT_VALUE&amp;DB=129&amp;ID1=69371810&amp;VALUEID=02999&amp;SDATE=201001&amp;PERIODTYPE=QTR_STD&amp;window=popup_no_bar&amp;width=385&amp;height=120&amp;START_MAXIMIZED=FALSE&amp;creator=factset&amp;display_string=Audit"}</definedName>
    <definedName name="_466__FDSAUDITLINK__" hidden="1">{"fdsup://Directions/FactSet Auditing Viewer?action=AUDIT_VALUE&amp;DB=129&amp;ID1=69515610&amp;VALUEID=02999&amp;SDATE=201001&amp;PERIODTYPE=QTR_STD&amp;window=popup_no_bar&amp;width=385&amp;height=120&amp;START_MAXIMIZED=FALSE&amp;creator=factset&amp;display_string=Audit"}</definedName>
    <definedName name="_467__FDSAUDITLINK__" hidden="1">{"fdsup://Directions/FactSet Auditing Viewer?action=AUDIT_VALUE&amp;DB=129&amp;ID1=69525710&amp;VALUEID=02999&amp;SDATE=201001&amp;PERIODTYPE=QTR_STD&amp;window=popup_no_bar&amp;width=385&amp;height=120&amp;START_MAXIMIZED=FALSE&amp;creator=factset&amp;display_string=Audit"}</definedName>
    <definedName name="_468__FDSAUDITLINK__" hidden="1">{"fdsup://Directions/FactSet Auditing Viewer?action=AUDIT_VALUE&amp;DB=129&amp;ID1=69545910&amp;VALUEID=02999&amp;SDATE=201001&amp;PERIODTYPE=QTR_STD&amp;window=popup_no_bar&amp;width=385&amp;height=120&amp;START_MAXIMIZED=FALSE&amp;creator=factset&amp;display_string=Audit"}</definedName>
    <definedName name="_469__FDSAUDITLINK__" hidden="1">{"fdsup://Directions/FactSet Auditing Viewer?action=AUDIT_VALUE&amp;DB=129&amp;ID1=69642930&amp;VALUEID=02999&amp;SDATE=201003&amp;PERIODTYPE=QTR_STD&amp;window=popup_no_bar&amp;width=385&amp;height=120&amp;START_MAXIMIZED=FALSE&amp;creator=factset&amp;display_string=Audit"}</definedName>
    <definedName name="_47__FDSAUDITLINK__" hidden="1">{"fdsup://Directions/FactSet Auditing Viewer?action=AUDIT_VALUE&amp;DB=129&amp;ID1=03822210&amp;VALUEID=02999&amp;SDATE=201002&amp;PERIODTYPE=QTR_STD&amp;window=popup_no_bar&amp;width=385&amp;height=120&amp;START_MAXIMIZED=FALSE&amp;creator=factset&amp;display_string=Audit"}</definedName>
    <definedName name="_470__FDSAUDITLINK__" hidden="1">{"fdsup://Directions/FactSet Auditing Viewer?action=AUDIT_VALUE&amp;DB=129&amp;ID1=69865710&amp;VALUEID=02999&amp;SDATE=201002&amp;PERIODTYPE=QTR_STD&amp;window=popup_no_bar&amp;width=385&amp;height=120&amp;START_MAXIMIZED=FALSE&amp;creator=factset&amp;display_string=Audit"}</definedName>
    <definedName name="_471__FDSAUDITLINK__" hidden="1">{"fdsup://Directions/FactSet Auditing Viewer?action=AUDIT_VALUE&amp;DB=129&amp;ID1=70108110&amp;VALUEID=02999&amp;SDATE=201001&amp;PERIODTYPE=QTR_STD&amp;window=popup_no_bar&amp;width=385&amp;height=120&amp;START_MAXIMIZED=FALSE&amp;creator=factset&amp;display_string=Audit"}</definedName>
    <definedName name="_472__FDSAUDITLINK__" hidden="1">{"fdsup://Directions/FactSet Auditing Viewer?action=AUDIT_VALUE&amp;DB=129&amp;ID1=70454910&amp;VALUEID=02999&amp;SDATE=201001&amp;PERIODTYPE=QTR_STD&amp;window=popup_no_bar&amp;width=385&amp;height=120&amp;START_MAXIMIZED=FALSE&amp;creator=factset&amp;display_string=Audit"}</definedName>
    <definedName name="_473__FDSAUDITLINK__" hidden="1">{"fdsup://Directions/FactSet Auditing Viewer?action=AUDIT_VALUE&amp;DB=129&amp;ID1=70756910&amp;VALUEID=02999&amp;SDATE=201001&amp;PERIODTYPE=QTR_STD&amp;window=popup_no_bar&amp;width=385&amp;height=120&amp;START_MAXIMIZED=FALSE&amp;creator=factset&amp;display_string=Audit"}</definedName>
    <definedName name="_474__FDSAUDITLINK__" hidden="1">{"fdsup://Directions/FactSet Auditing Viewer?action=AUDIT_VALUE&amp;DB=129&amp;ID1=70788210&amp;VALUEID=02999&amp;SDATE=201001&amp;PERIODTYPE=QTR_STD&amp;window=popup_no_bar&amp;width=385&amp;height=120&amp;START_MAXIMIZED=FALSE&amp;creator=factset&amp;display_string=Audit"}</definedName>
    <definedName name="_475__FDSAUDITLINK__" hidden="1">{"fdsup://Directions/FactSet Auditing Viewer?action=AUDIT_VALUE&amp;DB=129&amp;ID1=71327810&amp;VALUEID=02999&amp;SDATE=201001&amp;PERIODTYPE=QTR_STD&amp;window=popup_no_bar&amp;width=385&amp;height=120&amp;START_MAXIMIZED=FALSE&amp;creator=factset&amp;display_string=Audit"}</definedName>
    <definedName name="_476__FDSAUDITLINK__" hidden="1">{"fdsup://Directions/FactSet Auditing Viewer?action=AUDIT_VALUE&amp;DB=129&amp;ID1=71344810&amp;VALUEID=02999&amp;SDATE=201001&amp;PERIODTYPE=QTR_STD&amp;window=popup_no_bar&amp;width=385&amp;height=120&amp;START_MAXIMIZED=FALSE&amp;creator=factset&amp;display_string=Audit"}</definedName>
    <definedName name="_477__FDSAUDITLINK__" hidden="1">{"fdsup://Directions/FactSet Auditing Viewer?action=AUDIT_VALUE&amp;DB=129&amp;ID1=71404610&amp;VALUEID=02999&amp;SDATE=201001&amp;PERIODTYPE=QTR_STD&amp;window=popup_no_bar&amp;width=385&amp;height=120&amp;START_MAXIMIZED=FALSE&amp;creator=factset&amp;display_string=Audit"}</definedName>
    <definedName name="_478__FDSAUDITLINK__" hidden="1">{"fdsup://Directions/FactSet Auditing Viewer?action=AUDIT_VALUE&amp;DB=129&amp;ID1=28885310&amp;VALUEID=02999&amp;SDATE=201001&amp;PERIODTYPE=QTR_STD&amp;window=popup_no_bar&amp;width=385&amp;height=120&amp;START_MAXIMIZED=FALSE&amp;creator=factset&amp;display_string=Audit"}</definedName>
    <definedName name="_479__FDSAUDITLINK__" hidden="1">{"fdsup://Directions/FactSet Auditing Viewer?action=AUDIT_VALUE&amp;DB=129&amp;ID1=71649510&amp;VALUEID=02999&amp;SDATE=201001&amp;PERIODTYPE=QTR_STD&amp;window=popup_no_bar&amp;width=385&amp;height=120&amp;START_MAXIMIZED=FALSE&amp;creator=factset&amp;display_string=Audit"}</definedName>
    <definedName name="_48___0__123Grap" hidden="1">'[1]Comp. Transaction'!#REF!</definedName>
    <definedName name="_48__FDSAUDITLINK__" hidden="1">{"fdsup://Directions/FactSet Auditing Viewer?action=AUDIT_VALUE&amp;DB=129&amp;ID1=03938010&amp;VALUEID=02999&amp;SDATE=201001&amp;PERIODTYPE=QTR_STD&amp;window=popup_no_bar&amp;width=385&amp;height=120&amp;START_MAXIMIZED=FALSE&amp;creator=factset&amp;display_string=Audit"}</definedName>
    <definedName name="_480__FDSAUDITLINK__" hidden="1">{"fdsup://Directions/FactSet Auditing Viewer?action=AUDIT_VALUE&amp;DB=129&amp;ID1=71674810&amp;VALUEID=02999&amp;SDATE=201001&amp;PERIODTYPE=QTR_STD&amp;window=popup_no_bar&amp;width=385&amp;height=120&amp;START_MAXIMIZED=FALSE&amp;creator=factset&amp;display_string=Audit"}</definedName>
    <definedName name="_481__FDSAUDITLINK__" hidden="1">{"fdsup://Directions/FactSet Auditing Viewer?action=AUDIT_VALUE&amp;DB=129&amp;ID1=71676810&amp;VALUEID=02999&amp;SDATE=201001&amp;PERIODTYPE=QTR_STD&amp;window=popup_no_bar&amp;width=385&amp;height=120&amp;START_MAXIMIZED=FALSE&amp;creator=factset&amp;display_string=Audit"}</definedName>
    <definedName name="_482__FDSAUDITLINK__" hidden="1">{"fdsup://Directions/FactSet Auditing Viewer?action=AUDIT_VALUE&amp;DB=129&amp;ID1=71708110&amp;VALUEID=02999&amp;SDATE=201001&amp;PERIODTYPE=QTR_STD&amp;window=popup_no_bar&amp;width=385&amp;height=120&amp;START_MAXIMIZED=FALSE&amp;creator=factset&amp;display_string=Audit"}</definedName>
    <definedName name="_483__FDSAUDITLINK__" hidden="1">{"fdsup://Directions/FactSet Auditing Viewer?action=AUDIT_VALUE&amp;DB=129&amp;ID1=69336T20&amp;VALUEID=02999&amp;SDATE=201001&amp;PERIODTYPE=QTR_STD&amp;window=popup_no_bar&amp;width=385&amp;height=120&amp;START_MAXIMIZED=FALSE&amp;creator=factset&amp;display_string=Audit"}</definedName>
    <definedName name="_484__FDSAUDITLINK__" hidden="1">{"fdsup://Directions/FactSet Auditing Viewer?action=AUDIT_VALUE&amp;DB=129&amp;ID1=71817210&amp;VALUEID=02999&amp;SDATE=201001&amp;PERIODTYPE=QTR_STD&amp;window=popup_no_bar&amp;width=385&amp;height=120&amp;START_MAXIMIZED=FALSE&amp;creator=factset&amp;display_string=Audit"}</definedName>
    <definedName name="_485__FDSAUDITLINK__" hidden="1">{"fdsup://Directions/FactSet Auditing Viewer?action=AUDIT_VALUE&amp;DB=129&amp;ID1=71859210&amp;VALUEID=02999&amp;SDATE=201001&amp;PERIODTYPE=QTR_STD&amp;window=popup_no_bar&amp;width=385&amp;height=120&amp;START_MAXIMIZED=FALSE&amp;creator=factset&amp;display_string=Audit"}</definedName>
    <definedName name="_486__FDSAUDITLINK__" hidden="1">{"fdsup://Directions/FactSet Auditing Viewer?action=AUDIT_VALUE&amp;DB=129&amp;ID1=72345610&amp;VALUEID=02999&amp;SDATE=201001&amp;PERIODTYPE=QTR_STD&amp;window=popup_no_bar&amp;width=385&amp;height=120&amp;START_MAXIMIZED=FALSE&amp;creator=factset&amp;display_string=Audit"}</definedName>
    <definedName name="_487__FDSAUDITLINK__" hidden="1">{"fdsup://Directions/FactSet Auditing Viewer?action=AUDIT_VALUE&amp;DB=129&amp;ID1=72378710&amp;VALUEID=02999&amp;SDATE=201001&amp;PERIODTYPE=QTR_STD&amp;window=popup_no_bar&amp;width=385&amp;height=120&amp;START_MAXIMIZED=FALSE&amp;creator=factset&amp;display_string=Audit"}</definedName>
    <definedName name="_488__FDSAUDITLINK__" hidden="1">{"fdsup://Directions/FactSet Auditing Viewer?action=AUDIT_VALUE&amp;DB=129&amp;ID1=72447910&amp;VALUEID=02999&amp;SDATE=201001&amp;PERIODTYPE=QTR_STD&amp;window=popup_no_bar&amp;width=385&amp;height=120&amp;START_MAXIMIZED=FALSE&amp;creator=factset&amp;display_string=Audit"}</definedName>
    <definedName name="_489__FDSAUDITLINK__" hidden="1">{"fdsup://Directions/FactSet Auditing Viewer?action=AUDIT_VALUE&amp;DB=129&amp;ID1=73174520&amp;VALUEID=02999&amp;SDATE=201001&amp;PERIODTYPE=QTR_STD&amp;window=popup_no_bar&amp;width=385&amp;height=120&amp;START_MAXIMIZED=FALSE&amp;creator=factset&amp;display_string=Audit"}</definedName>
    <definedName name="_49__FDSAUDITLINK__" hidden="1">{"fdsup://Directions/FactSet Auditing Viewer?action=AUDIT_VALUE&amp;DB=129&amp;ID1=04079010&amp;VALUEID=02999&amp;SDATE=201001&amp;PERIODTYPE=QTR_STD&amp;window=popup_no_bar&amp;width=385&amp;height=120&amp;START_MAXIMIZED=FALSE&amp;creator=factset&amp;display_string=Audit"}</definedName>
    <definedName name="_490__FDSAUDITLINK__" hidden="1">{"fdsup://Directions/FactSet Auditing Viewer?action=AUDIT_VALUE&amp;DB=129&amp;ID1=73179P10&amp;VALUEID=02999&amp;SDATE=201001&amp;PERIODTYPE=QTR_STD&amp;window=popup_no_bar&amp;width=385&amp;height=120&amp;START_MAXIMIZED=FALSE&amp;creator=factset&amp;display_string=Audit"}</definedName>
    <definedName name="_491__FDSAUDITLINK__" hidden="1">{"fdsup://Directions/FactSet Auditing Viewer?action=AUDIT_VALUE&amp;DB=129&amp;ID1=73179V10&amp;VALUEID=02999&amp;SDATE=201001&amp;PERIODTYPE=QTR_STD&amp;window=popup_no_bar&amp;width=385&amp;height=120&amp;START_MAXIMIZED=FALSE&amp;creator=factset&amp;display_string=Audit"}</definedName>
    <definedName name="_492__FDSAUDITLINK__" hidden="1">{"fdsup://Directions/FactSet Auditing Viewer?action=AUDIT_VALUE&amp;DB=129&amp;ID1=74005P10&amp;VALUEID=02999&amp;SDATE=201001&amp;PERIODTYPE=QTR_STD&amp;window=popup_no_bar&amp;width=385&amp;height=120&amp;START_MAXIMIZED=FALSE&amp;creator=factset&amp;display_string=Audit"}</definedName>
    <definedName name="_493__FDSAUDITLINK__" hidden="1">{"fdsup://Directions/FactSet Auditing Viewer?action=AUDIT_VALUE&amp;DB=129&amp;ID1=74150340&amp;VALUEID=02999&amp;SDATE=201001&amp;PERIODTYPE=QTR_STD&amp;window=popup_no_bar&amp;width=385&amp;height=120&amp;START_MAXIMIZED=FALSE&amp;creator=factset&amp;display_string=Audit"}</definedName>
    <definedName name="_494__FDSAUDITLINK__" hidden="1">{"fdsup://Directions/FactSet Auditing Viewer?action=AUDIT_VALUE&amp;DB=129&amp;ID1=74192930&amp;VALUEID=02999&amp;SDATE=201001&amp;PERIODTYPE=QTR_STD&amp;window=popup_no_bar&amp;width=385&amp;height=120&amp;START_MAXIMIZED=FALSE&amp;creator=factset&amp;display_string=Audit"}</definedName>
    <definedName name="_495__FDSAUDITLINK__" hidden="1">{"fdsup://Directions/FactSet Auditing Viewer?action=AUDIT_VALUE&amp;DB=129&amp;ID1=74271810&amp;VALUEID=02999&amp;SDATE=201003&amp;PERIODTYPE=QTR_STD&amp;window=popup_no_bar&amp;width=385&amp;height=120&amp;START_MAXIMIZED=FALSE&amp;creator=factset&amp;display_string=Audit"}</definedName>
    <definedName name="_496__FDSAUDITLINK__" hidden="1">{"fdsup://Directions/FactSet Auditing Viewer?action=AUDIT_VALUE&amp;DB=129&amp;ID1=74349410&amp;VALUEID=02999&amp;SDATE=201002&amp;PERIODTYPE=QTR_STD&amp;window=popup_no_bar&amp;width=385&amp;height=120&amp;START_MAXIMIZED=FALSE&amp;creator=factset&amp;display_string=Audit"}</definedName>
    <definedName name="_497__FDSAUDITLINK__" hidden="1">{"fdsup://Directions/FactSet Auditing Viewer?action=AUDIT_VALUE&amp;DB=129&amp;ID1=74366340&amp;VALUEID=02999&amp;SDATE=201001&amp;PERIODTYPE=QTR_STD&amp;window=popup_no_bar&amp;width=385&amp;height=120&amp;START_MAXIMIZED=FALSE&amp;creator=factset&amp;display_string=Audit"}</definedName>
    <definedName name="_498__FDSAUDITLINK__" hidden="1">{"fdsup://Directions/FactSet Auditing Viewer?action=AUDIT_VALUE&amp;DB=129&amp;ID1=74439H10&amp;VALUEID=02999&amp;SDATE=201001&amp;PERIODTYPE=QTR_STD&amp;window=popup_no_bar&amp;width=385&amp;height=120&amp;START_MAXIMIZED=FALSE&amp;creator=factset&amp;display_string=Audit"}</definedName>
    <definedName name="_499__FDSAUDITLINK__" hidden="1">{"fdsup://Directions/FactSet Auditing Viewer?action=AUDIT_VALUE&amp;DB=129&amp;ID1=74586710&amp;VALUEID=02999&amp;SDATE=201001&amp;PERIODTYPE=QTR_STD&amp;window=popup_no_bar&amp;width=385&amp;height=120&amp;START_MAXIMIZED=FALSE&amp;creator=factset&amp;display_string=Audit"}</definedName>
    <definedName name="_4IQ_CURRENCY_GAIN_INS" hidden="1">"c238"</definedName>
    <definedName name="_5__FDSAUDITLINK__" hidden="1">{"fdsup://Directions/FactSet Auditing Viewer?action=AUDIT_VALUE&amp;DB=129&amp;ID1=92908U10&amp;VALUEID=02999&amp;SDATE=200903&amp;PERIODTYPE=QTR_STD&amp;window=popup_no_bar&amp;width=385&amp;height=120&amp;START_MAXIMIZED=FALSE&amp;creator=factset&amp;display_string=Audit"}</definedName>
    <definedName name="_5_0__123Grap" hidden="1">'[9]Comp. Transaction'!#REF!</definedName>
    <definedName name="_50__FDSAUDITLINK__" hidden="1">{"fdsup://Directions/FactSet Auditing Viewer?action=AUDIT_VALUE&amp;DB=129&amp;ID1=04273510&amp;VALUEID=02999&amp;SDATE=201001&amp;PERIODTYPE=QTR_STD&amp;window=popup_no_bar&amp;width=385&amp;height=120&amp;START_MAXIMIZED=FALSE&amp;creator=factset&amp;display_string=Audit"}</definedName>
    <definedName name="_500__FDSAUDITLINK__" hidden="1">{"fdsup://Directions/FactSet Auditing Viewer?action=AUDIT_VALUE&amp;DB=129&amp;ID1=74733V10&amp;VALUEID=02999&amp;SDATE=201001&amp;PERIODTYPE=QTR_STD&amp;window=popup_no_bar&amp;width=385&amp;height=120&amp;START_MAXIMIZED=FALSE&amp;creator=factset&amp;display_string=Audit"}</definedName>
    <definedName name="_501__FDSAUDITLINK__" hidden="1">{"fdsup://Directions/FactSet Auditing Viewer?action=AUDIT_VALUE&amp;DB=129&amp;ID1=74834L10&amp;VALUEID=02999&amp;SDATE=201001&amp;PERIODTYPE=QTR_STD&amp;window=popup_no_bar&amp;width=385&amp;height=120&amp;START_MAXIMIZED=FALSE&amp;creator=factset&amp;display_string=Audit"}</definedName>
    <definedName name="_502__FDSAUDITLINK__" hidden="1">{"fdsup://Directions/FactSet Auditing Viewer?action=AUDIT_VALUE&amp;DB=129&amp;ID1=74838C10&amp;VALUEID=02999&amp;SDATE=201002&amp;PERIODTYPE=QTR_STD&amp;window=popup_no_bar&amp;width=385&amp;height=120&amp;START_MAXIMIZED=FALSE&amp;creator=factset&amp;display_string=Audit"}</definedName>
    <definedName name="_503__FDSAUDITLINK__" hidden="1">{"fdsup://Directions/FactSet Auditing Viewer?action=AUDIT_VALUE&amp;DB=129&amp;ID1=74912110&amp;VALUEID=02999&amp;SDATE=201001&amp;PERIODTYPE=QTR_STD&amp;window=popup_no_bar&amp;width=385&amp;height=120&amp;START_MAXIMIZED=FALSE&amp;creator=factset&amp;display_string=Audit"}</definedName>
    <definedName name="_504__FDSAUDITLINK__" hidden="1">{"fdsup://Directions/FactSet Auditing Viewer?action=AUDIT_VALUE&amp;DB=129&amp;ID1=25786710&amp;VALUEID=02999&amp;SDATE=201001&amp;PERIODTYPE=QTR_STD&amp;window=popup_no_bar&amp;width=385&amp;height=120&amp;START_MAXIMIZED=FALSE&amp;creator=factset&amp;display_string=Audit"}</definedName>
    <definedName name="_505__FDSAUDITLINK__" hidden="1">{"fdsup://Directions/FactSet Auditing Viewer?action=AUDIT_VALUE&amp;DB=129&amp;ID1=75040P40&amp;VALUEID=02999&amp;SDATE=201001&amp;PERIODTYPE=QTR_STD&amp;window=popup_no_bar&amp;width=385&amp;height=120&amp;START_MAXIMIZED=FALSE&amp;creator=factset&amp;display_string=Audit"}</definedName>
    <definedName name="_506__FDSAUDITLINK__" hidden="1">{"fdsup://Directions/FactSet Auditing Viewer?action=AUDIT_VALUE&amp;DB=129&amp;ID1=75043810&amp;VALUEID=02999&amp;SDATE=201001&amp;PERIODTYPE=QTR_STD&amp;window=popup_no_bar&amp;width=385&amp;height=120&amp;START_MAXIMIZED=FALSE&amp;creator=factset&amp;display_string=Audit"}</definedName>
    <definedName name="_507__FDSAUDITLINK__" hidden="1">{"fdsup://Directions/FactSet Auditing Viewer?action=AUDIT_VALUE&amp;DB=129&amp;ID1=75075340&amp;VALUEID=02999&amp;SDATE=201001&amp;PERIODTYPE=QTR_STD&amp;window=popup_no_bar&amp;width=385&amp;height=120&amp;START_MAXIMIZED=FALSE&amp;creator=factset&amp;display_string=Audit"}</definedName>
    <definedName name="_508__FDSAUDITLINK__" hidden="1">{"fdsup://Directions/FactSet Auditing Viewer?action=AUDIT_VALUE&amp;DB=129&amp;ID1=75102810&amp;VALUEID=02999&amp;SDATE=201002&amp;PERIODTYPE=QTR_STD&amp;window=popup_no_bar&amp;width=385&amp;height=120&amp;START_MAXIMIZED=FALSE&amp;creator=factset&amp;display_string=Audit"}</definedName>
    <definedName name="_509__FDSAUDITLINK__" hidden="1">{"fdsup://Directions/FactSet Auditing Viewer?action=AUDIT_VALUE&amp;DB=129&amp;ID1=75281A10&amp;VALUEID=02999&amp;SDATE=201001&amp;PERIODTYPE=QTR_STD&amp;window=popup_no_bar&amp;width=385&amp;height=120&amp;START_MAXIMIZED=FALSE&amp;creator=factset&amp;display_string=Audit"}</definedName>
    <definedName name="_51__FDSAUDITLINK__" hidden="1">{"fdsup://Directions/FactSet Auditing Viewer?action=AUDIT_VALUE&amp;DB=129&amp;ID1=04335310&amp;VALUEID=02999&amp;SDATE=201002&amp;PERIODTYPE=QTR_STD&amp;window=popup_no_bar&amp;width=385&amp;height=120&amp;START_MAXIMIZED=FALSE&amp;creator=factset&amp;display_string=Audit"}</definedName>
    <definedName name="_510__FDSAUDITLINK__" hidden="1">{"fdsup://Directions/FactSet Auditing Viewer?action=AUDIT_VALUE&amp;DB=129&amp;ID1=75511150&amp;VALUEID=02999&amp;SDATE=201001&amp;PERIODTYPE=QTR_STD&amp;window=popup_no_bar&amp;width=385&amp;height=120&amp;START_MAXIMIZED=FALSE&amp;creator=factset&amp;display_string=Audit"}</definedName>
    <definedName name="_511__FDSAUDITLINK__" hidden="1">{"fdsup://Directions/FactSet Auditing Viewer?action=AUDIT_VALUE&amp;DB=129&amp;ID1=75657710&amp;VALUEID=02999&amp;SDATE=201001&amp;PERIODTYPE=QTR_STD&amp;window=popup_no_bar&amp;width=385&amp;height=120&amp;START_MAXIMIZED=FALSE&amp;creator=factset&amp;display_string=Audit"}</definedName>
    <definedName name="_512__FDSAUDITLINK__" hidden="1">{"fdsup://Directions/FactSet Auditing Viewer?action=AUDIT_VALUE&amp;DB=129&amp;ID1=75876610&amp;VALUEID=02999&amp;SDATE=201001&amp;PERIODTYPE=QTR_STD&amp;window=popup_no_bar&amp;width=385&amp;height=120&amp;START_MAXIMIZED=FALSE&amp;creator=factset&amp;display_string=Audit"}</definedName>
    <definedName name="_513__FDSAUDITLINK__" hidden="1">{"fdsup://Directions/FactSet Auditing Viewer?action=AUDIT_VALUE&amp;DB=129&amp;ID1=75914810&amp;VALUEID=02999&amp;SDATE=201001&amp;PERIODTYPE=QTR_STD&amp;window=popup_no_bar&amp;width=385&amp;height=120&amp;START_MAXIMIZED=FALSE&amp;creator=factset&amp;display_string=Audit"}</definedName>
    <definedName name="_514__FDSAUDITLINK__" hidden="1">{"fdsup://Directions/FactSet Auditing Viewer?action=AUDIT_VALUE&amp;DB=129&amp;ID1=75950910&amp;VALUEID=02999&amp;SDATE=201001&amp;PERIODTYPE=QTR_STD&amp;window=popup_no_bar&amp;width=385&amp;height=120&amp;START_MAXIMIZED=FALSE&amp;creator=factset&amp;display_string=Audit"}</definedName>
    <definedName name="_515__FDSAUDITLINK__" hidden="1">{"fdsup://Directions/FactSet Auditing Viewer?action=AUDIT_VALUE&amp;DB=129&amp;ID1=76009N10&amp;VALUEID=02999&amp;SDATE=201001&amp;PERIODTYPE=QTR_STD&amp;window=popup_no_bar&amp;width=385&amp;height=120&amp;START_MAXIMIZED=FALSE&amp;creator=factset&amp;display_string=Audit"}</definedName>
    <definedName name="_516__FDSAUDITLINK__" hidden="1">{"fdsup://Directions/FactSet Auditing Viewer?action=AUDIT_VALUE&amp;DB=129&amp;ID1=76075910&amp;VALUEID=02999&amp;SDATE=201001&amp;PERIODTYPE=QTR_STD&amp;window=popup_no_bar&amp;width=385&amp;height=120&amp;START_MAXIMIZED=FALSE&amp;creator=factset&amp;display_string=Audit"}</definedName>
    <definedName name="_517__FDSAUDITLINK__" hidden="1">{"fdsup://Directions/FactSet Auditing Viewer?action=AUDIT_VALUE&amp;DB=129&amp;ID1=76171310&amp;VALUEID=02999&amp;SDATE=201001&amp;PERIODTYPE=QTR_STD&amp;window=popup_no_bar&amp;width=385&amp;height=120&amp;START_MAXIMIZED=FALSE&amp;creator=factset&amp;display_string=Audit"}</definedName>
    <definedName name="_518__FDSAUDITLINK__" hidden="1">{"fdsup://Directions/FactSet Auditing Viewer?action=AUDIT_VALUE&amp;DB=129&amp;ID1=76775410&amp;VALUEID=02999&amp;SDATE=201001&amp;PERIODTYPE=QTR_STD&amp;window=popup_no_bar&amp;width=385&amp;height=120&amp;START_MAXIMIZED=FALSE&amp;creator=factset&amp;display_string=Audit"}</definedName>
    <definedName name="_519__FDSAUDITLINK__" hidden="1">{"fdsup://Directions/FactSet Auditing Viewer?action=AUDIT_VALUE&amp;DB=129&amp;ID1=76962710&amp;VALUEID=02999&amp;SDATE=201001&amp;PERIODTYPE=QTR_STD&amp;window=popup_no_bar&amp;width=385&amp;height=120&amp;START_MAXIMIZED=FALSE&amp;creator=factset&amp;display_string=Audit"}</definedName>
    <definedName name="_52__FDSAUDITLINK__" hidden="1">{"fdsup://Directions/FactSet Auditing Viewer?action=AUDIT_VALUE&amp;DB=129&amp;ID1=04343610&amp;VALUEID=02999&amp;SDATE=201001&amp;PERIODTYPE=QTR_STD&amp;window=popup_no_bar&amp;width=385&amp;height=120&amp;START_MAXIMIZED=FALSE&amp;creator=factset&amp;display_string=Audit"}</definedName>
    <definedName name="_520__FDSAUDITLINK__" hidden="1">{"fdsup://Directions/FactSet Auditing Viewer?action=AUDIT_VALUE&amp;DB=129&amp;ID1=77390310&amp;VALUEID=02999&amp;SDATE=201002&amp;PERIODTYPE=QTR_STD&amp;window=popup_no_bar&amp;width=385&amp;height=120&amp;START_MAXIMIZED=FALSE&amp;creator=factset&amp;display_string=Audit"}</definedName>
    <definedName name="_521__FDSAUDITLINK__" hidden="1">{"fdsup://Directions/FactSet Auditing Viewer?action=AUDIT_VALUE&amp;DB=129&amp;ID1=77434110&amp;VALUEID=02999&amp;SDATE=201002&amp;PERIODTYPE=QTR_STD&amp;window=popup_no_bar&amp;width=385&amp;height=120&amp;START_MAXIMIZED=FALSE&amp;creator=factset&amp;display_string=Audit"}</definedName>
    <definedName name="_522__FDSAUDITLINK__" hidden="1">{"fdsup://Directions/FactSet Auditing Viewer?action=AUDIT_VALUE&amp;DB=129&amp;ID1=77669610&amp;VALUEID=02999&amp;SDATE=201001&amp;PERIODTYPE=QTR_STD&amp;window=popup_no_bar&amp;width=385&amp;height=120&amp;START_MAXIMIZED=FALSE&amp;creator=factset&amp;display_string=Audit"}</definedName>
    <definedName name="_523__FDSAUDITLINK__" hidden="1">{"fdsup://Directions/FactSet Auditing Viewer?action=AUDIT_VALUE&amp;DB=129&amp;ID1=77829610&amp;VALUEID=02999&amp;SDATE=201001&amp;PERIODTYPE=QTR_STD&amp;window=popup_no_bar&amp;width=385&amp;height=120&amp;START_MAXIMIZED=FALSE&amp;creator=factset&amp;display_string=Audit"}</definedName>
    <definedName name="_524__FDSAUDITLINK__" hidden="1">{"fdsup://Directions/FactSet Auditing Viewer?action=AUDIT_VALUE&amp;DB=129&amp;ID1=77866910&amp;VALUEID=02999&amp;SDATE=201001&amp;PERIODTYPE=QTR_STD&amp;window=popup_no_bar&amp;width=385&amp;height=120&amp;START_MAXIMIZED=FALSE&amp;creator=factset&amp;display_string=Audit"}</definedName>
    <definedName name="_525__FDSAUDITLINK__" hidden="1">{"fdsup://Directions/FactSet Auditing Viewer?action=AUDIT_VALUE&amp;DB=129&amp;ID1=78174810&amp;VALUEID=02999&amp;SDATE=201003&amp;PERIODTYPE=QTR_STD&amp;window=popup_no_bar&amp;width=385&amp;height=120&amp;START_MAXIMIZED=FALSE&amp;creator=factset&amp;display_string=Audit"}</definedName>
    <definedName name="_526__FDSAUDITLINK__" hidden="1">{"fdsup://Directions/FactSet Auditing Viewer?action=AUDIT_VALUE&amp;DB=129&amp;ID1=78354910&amp;VALUEID=02999&amp;SDATE=201001&amp;PERIODTYPE=QTR_STD&amp;window=popup_no_bar&amp;width=385&amp;height=120&amp;START_MAXIMIZED=FALSE&amp;creator=factset&amp;display_string=Audit"}</definedName>
    <definedName name="_527__FDSAUDITLINK__" hidden="1">{"fdsup://Directions/FactSet Auditing Viewer?action=AUDIT_VALUE&amp;DB=129&amp;ID1=78376410&amp;VALUEID=02999&amp;SDATE=201001&amp;PERIODTYPE=QTR_STD&amp;window=popup_no_bar&amp;width=385&amp;height=120&amp;START_MAXIMIZED=FALSE&amp;creator=factset&amp;display_string=Audit"}</definedName>
    <definedName name="_528__FDSAUDITLINK__" hidden="1">{"fdsup://Directions/FactSet Auditing Viewer?action=AUDIT_VALUE&amp;DB=129&amp;ID1=78651420&amp;VALUEID=02999&amp;SDATE=201001&amp;PERIODTYPE=QTR_STD&amp;window=popup_no_bar&amp;width=385&amp;height=120&amp;START_MAXIMIZED=FALSE&amp;creator=factset&amp;display_string=Audit"}</definedName>
    <definedName name="_529__FDSAUDITLINK__" hidden="1">{"fdsup://Directions/FactSet Auditing Viewer?action=AUDIT_VALUE&amp;DB=129&amp;ID1=78390X10&amp;VALUEID=02999&amp;SDATE=201001&amp;PERIODTYPE=QTR_STD&amp;window=popup_no_bar&amp;width=385&amp;height=120&amp;START_MAXIMIZED=FALSE&amp;creator=factset&amp;display_string=Audit"}</definedName>
    <definedName name="_53__FDSAUDITLINK__" hidden="1">{"fdsup://Directions/FactSet Auditing Viewer?action=AUDIT_VALUE&amp;DB=129&amp;ID1=00206R10&amp;VALUEID=02999&amp;SDATE=201001&amp;PERIODTYPE=QTR_STD&amp;window=popup_no_bar&amp;width=385&amp;height=120&amp;START_MAXIMIZED=FALSE&amp;creator=factset&amp;display_string=Audit"}</definedName>
    <definedName name="_530__FDSAUDITLINK__" hidden="1">{"fdsup://Directions/FactSet Auditing Viewer?action=AUDIT_VALUE&amp;DB=129&amp;ID1=79377W10&amp;VALUEID=02999&amp;SDATE=201001&amp;PERIODTYPE=QTR_STD&amp;window=popup_no_bar&amp;width=385&amp;height=120&amp;START_MAXIMIZED=FALSE&amp;creator=factset&amp;display_string=Audit"}</definedName>
    <definedName name="_531__FDSAUDITLINK__" hidden="1">{"fdsup://Directions/FactSet Auditing Viewer?action=AUDIT_VALUE&amp;DB=129&amp;ID1=79409310&amp;VALUEID=02999&amp;SDATE=201001&amp;PERIODTYPE=QTR_STD&amp;window=popup_no_bar&amp;width=385&amp;height=120&amp;START_MAXIMIZED=FALSE&amp;creator=factset&amp;display_string=Audit"}</definedName>
    <definedName name="_532__FDSAUDITLINK__" hidden="1">{"fdsup://Directions/FactSet Auditing Viewer?action=AUDIT_VALUE&amp;DB=129&amp;ID1=79546E10&amp;VALUEID=02999&amp;SDATE=201002&amp;PERIODTYPE=QTR_STD&amp;window=popup_no_bar&amp;width=385&amp;height=120&amp;START_MAXIMIZED=FALSE&amp;creator=factset&amp;display_string=Audit"}</definedName>
    <definedName name="_533__FDSAUDITLINK__" hidden="1">{"fdsup://Directions/FactSet Auditing Viewer?action=AUDIT_VALUE&amp;DB=129&amp;ID1=80004C10&amp;VALUEID=02999&amp;SDATE=201001&amp;PERIODTYPE=QTR_STD&amp;window=popup_no_bar&amp;width=385&amp;height=120&amp;START_MAXIMIZED=FALSE&amp;creator=factset&amp;display_string=Audit"}</definedName>
    <definedName name="_534__FDSAUDITLINK__" hidden="1">{"fdsup://Directions/FactSet Auditing Viewer?action=AUDIT_VALUE&amp;DB=129&amp;ID1=80007P30&amp;VALUEID=02999&amp;SDATE=201001&amp;PERIODTYPE=QTR_STD&amp;window=popup_no_bar&amp;width=385&amp;height=120&amp;START_MAXIMIZED=FALSE&amp;creator=factset&amp;display_string=Audit"}</definedName>
    <definedName name="_535__FDSAUDITLINK__" hidden="1">{"fdsup://Directions/FactSet Auditing Viewer?action=AUDIT_VALUE&amp;DB=129&amp;ID1=80090720&amp;VALUEID=02999&amp;SDATE=201002&amp;PERIODTYPE=QTR_STD&amp;window=popup_no_bar&amp;width=385&amp;height=120&amp;START_MAXIMIZED=FALSE&amp;creator=factset&amp;display_string=Audit"}</definedName>
    <definedName name="_536__FDSAUDITLINK__" hidden="1">{"fdsup://Directions/FactSet Auditing Viewer?action=AUDIT_VALUE&amp;DB=129&amp;ID1=80311110&amp;VALUEID=02999&amp;SDATE=201003&amp;PERIODTYPE=QTR_STD&amp;window=popup_no_bar&amp;width=385&amp;height=120&amp;START_MAXIMIZED=FALSE&amp;creator=factset&amp;display_string=Audit"}</definedName>
    <definedName name="_537__FDSAUDITLINK__" hidden="1">{"fdsup://Directions/FactSet Auditing Viewer?action=AUDIT_VALUE&amp;DB=129&amp;ID1=78388J10&amp;VALUEID=02999&amp;SDATE=201001&amp;PERIODTYPE=QTR_STD&amp;window=popup_no_bar&amp;width=385&amp;height=120&amp;START_MAXIMIZED=FALSE&amp;creator=factset&amp;display_string=Audit"}</definedName>
    <definedName name="_538__FDSAUDITLINK__" hidden="1">{"fdsup://Directions/FactSet Auditing Viewer?action=AUDIT_VALUE&amp;DB=129&amp;ID1=80685710&amp;VALUEID=02999&amp;SDATE=201001&amp;PERIODTYPE=QTR_STD&amp;window=popup_no_bar&amp;width=385&amp;height=120&amp;START_MAXIMIZED=FALSE&amp;creator=factset&amp;display_string=Audit"}</definedName>
    <definedName name="_539__FDSAUDITLINK__" hidden="1">{"fdsup://Directions/FactSet Auditing Viewer?action=AUDIT_VALUE&amp;DB=129&amp;ID1=81018610&amp;VALUEID=02999&amp;SDATE=201002&amp;PERIODTYPE=QTR_STD&amp;window=popup_no_bar&amp;width=385&amp;height=120&amp;START_MAXIMIZED=FALSE&amp;creator=factset&amp;display_string=Audit"}</definedName>
    <definedName name="_54__FDSAUDITLINK__" hidden="1">{"fdsup://Directions/FactSet Auditing Viewer?action=AUDIT_VALUE&amp;DB=129&amp;ID1=04939210&amp;VALUEID=02999&amp;SDATE=201001&amp;PERIODTYPE=QTR_STD&amp;window=popup_no_bar&amp;width=385&amp;height=120&amp;START_MAXIMIZED=FALSE&amp;creator=factset&amp;display_string=Audit"}</definedName>
    <definedName name="_540__FDSAUDITLINK__" hidden="1">{"fdsup://Directions/FactSet Auditing Viewer?action=AUDIT_VALUE&amp;DB=129&amp;ID1=G7945J10&amp;VALUEID=02999&amp;SDATE=201003&amp;PERIODTYPE=QTR_STD&amp;window=popup_no_bar&amp;width=385&amp;height=120&amp;START_MAXIMIZED=FALSE&amp;creator=factset&amp;display_string=Audit"}</definedName>
    <definedName name="_541__FDSAUDITLINK__" hidden="1">{"fdsup://Directions/FactSet Auditing Viewer?action=AUDIT_VALUE&amp;DB=129&amp;ID1=81211K10&amp;VALUEID=02999&amp;SDATE=201001&amp;PERIODTYPE=QTR_STD&amp;window=popup_no_bar&amp;width=385&amp;height=120&amp;START_MAXIMIZED=FALSE&amp;creator=factset&amp;display_string=Audit"}</definedName>
    <definedName name="_542__FDSAUDITLINK__" hidden="1">{"fdsup://Directions/FactSet Auditing Viewer?action=AUDIT_VALUE&amp;DB=129&amp;ID1=81213930&amp;VALUEID=02999&amp;SDATE=201002&amp;PERIODTYPE=QTR_STD&amp;window=popup_no_bar&amp;width=385&amp;height=120&amp;START_MAXIMIZED=FALSE&amp;creator=factset&amp;display_string=Audit"}</definedName>
    <definedName name="_543__FDSAUDITLINK__" hidden="1">{"fdsup://Directions/FactSet Auditing Viewer?action=AUDIT_VALUE&amp;DB=129&amp;ID1=81235010&amp;VALUEID=02999&amp;SDATE=201001&amp;PERIODTYPE=QTR_STD&amp;window=popup_no_bar&amp;width=385&amp;height=120&amp;START_MAXIMIZED=FALSE&amp;creator=factset&amp;display_string=Audit"}</definedName>
    <definedName name="_544__FDSAUDITLINK__" hidden="1">{"fdsup://Directions/FactSet Auditing Viewer?action=AUDIT_VALUE&amp;DB=129&amp;ID1=82434810&amp;VALUEID=02999&amp;SDATE=201001&amp;PERIODTYPE=QTR_STD&amp;window=popup_no_bar&amp;width=385&amp;height=120&amp;START_MAXIMIZED=FALSE&amp;creator=factset&amp;display_string=Audit"}</definedName>
    <definedName name="_545__FDSAUDITLINK__" hidden="1">{"fdsup://Directions/FactSet Auditing Viewer?action=AUDIT_VALUE&amp;DB=129&amp;ID1=82454310&amp;VALUEID=02999&amp;SDATE=201002&amp;PERIODTYPE=QTR_STD&amp;window=popup_no_bar&amp;width=385&amp;height=120&amp;START_MAXIMIZED=FALSE&amp;creator=factset&amp;display_string=Audit"}</definedName>
    <definedName name="_546__FDSAUDITLINK__" hidden="1">{"fdsup://Directions/FactSet Auditing Viewer?action=AUDIT_VALUE&amp;DB=129&amp;ID1=82655210&amp;VALUEID=02999&amp;SDATE=201001&amp;PERIODTYPE=QTR_STD&amp;window=popup_no_bar&amp;width=385&amp;height=120&amp;START_MAXIMIZED=FALSE&amp;creator=factset&amp;display_string=Audit"}</definedName>
    <definedName name="_547__FDSAUDITLINK__" hidden="1">{"fdsup://Directions/FactSet Auditing Viewer?action=AUDIT_VALUE&amp;DB=129&amp;ID1=82704810&amp;VALUEID=02999&amp;SDATE=201001&amp;PERIODTYPE=QTR_STD&amp;window=popup_no_bar&amp;width=385&amp;height=120&amp;START_MAXIMIZED=FALSE&amp;creator=factset&amp;display_string=Audit"}</definedName>
    <definedName name="_548__FDSAUDITLINK__" hidden="1">{"fdsup://Directions/FactSet Auditing Viewer?action=AUDIT_VALUE&amp;DB=129&amp;ID1=82922610&amp;VALUEID=02999&amp;SDATE=201001&amp;PERIODTYPE=QTR_STD&amp;window=popup_no_bar&amp;width=385&amp;height=120&amp;START_MAXIMIZED=FALSE&amp;creator=factset&amp;display_string=Audit"}</definedName>
    <definedName name="_549__FDSAUDITLINK__" hidden="1">{"fdsup://Directions/FactSet Auditing Viewer?action=AUDIT_VALUE&amp;DB=129&amp;ID1=79222810&amp;VALUEID=02999&amp;SDATE=201001&amp;PERIODTYPE=QTR_STD&amp;window=popup_no_bar&amp;width=385&amp;height=120&amp;START_MAXIMIZED=FALSE&amp;creator=factset&amp;display_string=Audit"}</definedName>
    <definedName name="_55__FDSAUDITLINK__" hidden="1">{"fdsup://Directions/FactSet Auditing Viewer?action=AUDIT_VALUE&amp;DB=129&amp;ID1=05280010&amp;VALUEID=02999&amp;SDATE=201001&amp;PERIODTYPE=QTR_STD&amp;window=popup_no_bar&amp;width=385&amp;height=120&amp;START_MAXIMIZED=FALSE&amp;creator=factset&amp;display_string=Audit"}</definedName>
    <definedName name="_550__FDSAUDITLINK__" hidden="1">{"fdsup://Directions/FactSet Auditing Viewer?action=AUDIT_VALUE&amp;DB=129&amp;ID1=G8224510&amp;VALUEID=02999&amp;SDATE=201003&amp;PERIODTYPE=QTR_STD&amp;window=popup_no_bar&amp;width=385&amp;height=120&amp;START_MAXIMIZED=FALSE&amp;creator=factset&amp;display_string=Audit"}</definedName>
    <definedName name="_551__FDSAUDITLINK__" hidden="1">{"fdsup://Directions/FactSet Auditing Viewer?action=AUDIT_VALUE&amp;DB=129&amp;ID1=83211010&amp;VALUEID=02999&amp;SDATE=201001&amp;PERIODTYPE=QTR_STD&amp;window=popup_no_bar&amp;width=385&amp;height=120&amp;START_MAXIMIZED=FALSE&amp;creator=factset&amp;display_string=Audit"}</definedName>
    <definedName name="_552__FDSAUDITLINK__" hidden="1">{"fdsup://Directions/FactSet Auditing Viewer?action=AUDIT_VALUE&amp;DB=129&amp;ID1=83272A10&amp;VALUEID=02999&amp;SDATE=201001&amp;PERIODTYPE=QTR_STD&amp;window=popup_no_bar&amp;width=385&amp;height=120&amp;START_MAXIMIZED=FALSE&amp;creator=factset&amp;display_string=Audit"}</definedName>
    <definedName name="_553__FDSAUDITLINK__" hidden="1">{"fdsup://Directions/FactSet Auditing Viewer?action=AUDIT_VALUE&amp;DB=129&amp;ID1=83303410&amp;VALUEID=02999&amp;SDATE=201001&amp;PERIODTYPE=QTR_STD&amp;window=popup_no_bar&amp;width=385&amp;height=120&amp;START_MAXIMIZED=FALSE&amp;creator=factset&amp;display_string=Audit"}</definedName>
    <definedName name="_554__FDSAUDITLINK__" hidden="1">{"fdsup://Directions/FactSet Auditing Viewer?action=AUDIT_VALUE&amp;DB=129&amp;ID1=83421A10&amp;VALUEID=02999&amp;SDATE=201003&amp;PERIODTYPE=QTR_STD&amp;window=popup_no_bar&amp;width=385&amp;height=120&amp;START_MAXIMIZED=FALSE&amp;creator=factset&amp;display_string=Audit"}</definedName>
    <definedName name="_555__FDSAUDITLINK__" hidden="1">{"fdsup://Directions/FactSet Auditing Viewer?action=AUDIT_VALUE&amp;DB=129&amp;ID1=83437650&amp;VALUEID=02999&amp;SDATE=201001&amp;PERIODTYPE=QTR_STD&amp;window=popup_no_bar&amp;width=385&amp;height=120&amp;START_MAXIMIZED=FALSE&amp;creator=factset&amp;display_string=Audit"}</definedName>
    <definedName name="_556__FDSAUDITLINK__" hidden="1">{"fdsup://Directions/FactSet Auditing Viewer?action=AUDIT_VALUE&amp;DB=129&amp;ID1=83549510&amp;VALUEID=02999&amp;SDATE=201001&amp;PERIODTYPE=QTR_STD&amp;window=popup_no_bar&amp;width=385&amp;height=120&amp;START_MAXIMIZED=FALSE&amp;creator=factset&amp;display_string=Audit"}</definedName>
    <definedName name="_557__FDSAUDITLINK__" hidden="1">{"fdsup://Directions/FactSet Auditing Viewer?action=AUDIT_VALUE&amp;DB=129&amp;ID1=83589810&amp;VALUEID=02999&amp;SDATE=201001&amp;PERIODTYPE=QTR_STD&amp;window=popup_no_bar&amp;width=385&amp;height=120&amp;START_MAXIMIZED=FALSE&amp;creator=factset&amp;display_string=Audit"}</definedName>
    <definedName name="_558__FDSAUDITLINK__" hidden="1">{"fdsup://Directions/FactSet Auditing Viewer?action=AUDIT_VALUE&amp;DB=129&amp;ID1=84265V10&amp;VALUEID=02999&amp;SDATE=201001&amp;PERIODTYPE=QTR_STD&amp;window=popup_no_bar&amp;width=385&amp;height=120&amp;START_MAXIMIZED=FALSE&amp;creator=factset&amp;display_string=Audit"}</definedName>
    <definedName name="_559__FDSAUDITLINK__" hidden="1">{"fdsup://Directions/FactSet Auditing Viewer?action=AUDIT_VALUE&amp;DB=129&amp;ID1=84403010&amp;VALUEID=02999&amp;SDATE=201001&amp;PERIODTYPE=QTR_STD&amp;window=popup_no_bar&amp;width=385&amp;height=120&amp;START_MAXIMIZED=FALSE&amp;creator=factset&amp;display_string=Audit"}</definedName>
    <definedName name="_56__FDSAUDITLINK__" hidden="1">{"fdsup://Directions/FactSet Auditing Viewer?action=AUDIT_VALUE&amp;DB=129&amp;ID1=05301510&amp;VALUEID=02999&amp;SDATE=201003&amp;PERIODTYPE=QTR_STD&amp;window=popup_no_bar&amp;width=385&amp;height=120&amp;START_MAXIMIZED=FALSE&amp;creator=factset&amp;display_string=Audit"}</definedName>
    <definedName name="_560__FDSAUDITLINK__" hidden="1">{"fdsup://Directions/FactSet Auditing Viewer?action=AUDIT_VALUE&amp;DB=129&amp;ID1=84474110&amp;VALUEID=02999&amp;SDATE=201001&amp;PERIODTYPE=QTR_STD&amp;window=popup_no_bar&amp;width=385&amp;height=120&amp;START_MAXIMIZED=FALSE&amp;creator=factset&amp;display_string=Audit"}</definedName>
    <definedName name="_561__FDSAUDITLINK__" hidden="1">{"fdsup://Directions/FactSet Auditing Viewer?action=AUDIT_VALUE&amp;DB=129&amp;ID1=84546710&amp;VALUEID=02999&amp;SDATE=201001&amp;PERIODTYPE=QTR_STD&amp;window=popup_no_bar&amp;width=385&amp;height=120&amp;START_MAXIMIZED=FALSE&amp;creator=factset&amp;display_string=Audit"}</definedName>
    <definedName name="_562__FDSAUDITLINK__" hidden="1">{"fdsup://Directions/FactSet Auditing Viewer?action=AUDIT_VALUE&amp;DB=129&amp;ID1=84756010&amp;VALUEID=02999&amp;SDATE=201001&amp;PERIODTYPE=QTR_STD&amp;window=popup_no_bar&amp;width=385&amp;height=120&amp;START_MAXIMIZED=FALSE&amp;creator=factset&amp;display_string=Audit"}</definedName>
    <definedName name="_563__FDSAUDITLINK__" hidden="1">{"fdsup://Directions/FactSet Auditing Viewer?action=AUDIT_VALUE&amp;DB=129&amp;ID1=84763R10&amp;VALUEID=02999&amp;SDATE=201002&amp;PERIODTYPE=QTR_STD&amp;window=popup_no_bar&amp;width=385&amp;height=120&amp;START_MAXIMIZED=FALSE&amp;creator=factset&amp;display_string=Audit"}</definedName>
    <definedName name="_564__FDSAUDITLINK__" hidden="1">{"fdsup://Directions/FactSet Auditing Viewer?action=AUDIT_VALUE&amp;DB=129&amp;ID1=84857410&amp;VALUEID=02999&amp;SDATE=201001&amp;PERIODTYPE=QTR_STD&amp;window=popup_no_bar&amp;width=385&amp;height=120&amp;START_MAXIMIZED=FALSE&amp;creator=factset&amp;display_string=Audit"}</definedName>
    <definedName name="_565__FDSAUDITLINK__" hidden="1">{"fdsup://Directions/FactSet Auditing Viewer?action=AUDIT_VALUE&amp;DB=129&amp;ID1=85206110&amp;VALUEID=02999&amp;SDATE=201001&amp;PERIODTYPE=QTR_STD&amp;window=popup_no_bar&amp;width=385&amp;height=120&amp;START_MAXIMIZED=FALSE&amp;creator=factset&amp;display_string=Audit"}</definedName>
    <definedName name="_566__FDSAUDITLINK__" hidden="1">{"fdsup://Directions/FactSet Auditing Viewer?action=AUDIT_VALUE&amp;DB=129&amp;ID1=78463510&amp;VALUEID=02999&amp;SDATE=201001&amp;PERIODTYPE=QTR_STD&amp;window=popup_no_bar&amp;width=385&amp;height=120&amp;START_MAXIMIZED=FALSE&amp;creator=factset&amp;display_string=Audit"}</definedName>
    <definedName name="_567__FDSAUDITLINK__" hidden="1">{"fdsup://Directions/FactSet Auditing Viewer?action=AUDIT_VALUE&amp;DB=129&amp;ID1=79084910&amp;VALUEID=02999&amp;SDATE=201001&amp;PERIODTYPE=QTR_STD&amp;window=popup_no_bar&amp;width=385&amp;height=120&amp;START_MAXIMIZED=FALSE&amp;creator=factset&amp;display_string=Audit"}</definedName>
    <definedName name="_568__FDSAUDITLINK__" hidden="1">{"fdsup://Directions/FactSet Auditing Viewer?action=AUDIT_VALUE&amp;DB=129&amp;ID1=85375C10&amp;VALUEID=02999&amp;SDATE=201001&amp;PERIODTYPE=QTR_STD&amp;window=popup_no_bar&amp;width=385&amp;height=120&amp;START_MAXIMIZED=FALSE&amp;creator=factset&amp;display_string=Audit"}</definedName>
    <definedName name="_569__FDSAUDITLINK__" hidden="1">{"fdsup://Directions/FactSet Auditing Viewer?action=AUDIT_VALUE&amp;DB=129&amp;ID1=85450210&amp;VALUEID=02999&amp;SDATE=201001&amp;PERIODTYPE=QTR_STD&amp;window=popup_no_bar&amp;width=385&amp;height=120&amp;START_MAXIMIZED=FALSE&amp;creator=factset&amp;display_string=Audit"}</definedName>
    <definedName name="_57__FDSAUDITLINK__" hidden="1">{"fdsup://Directions/FactSet Auditing Viewer?action=AUDIT_VALUE&amp;DB=129&amp;ID1=05329W10&amp;VALUEID=02999&amp;SDATE=201001&amp;PERIODTYPE=QTR_STD&amp;window=popup_no_bar&amp;width=385&amp;height=120&amp;START_MAXIMIZED=FALSE&amp;creator=factset&amp;display_string=Audit"}</definedName>
    <definedName name="_570__FDSAUDITLINK__" hidden="1">{"fdsup://Directions/FactSet Auditing Viewer?action=AUDIT_VALUE&amp;DB=129&amp;ID1=85503010&amp;VALUEID=02999&amp;SDATE=201001&amp;PERIODTYPE=QTR_STD&amp;window=popup_no_bar&amp;width=385&amp;height=120&amp;START_MAXIMIZED=FALSE&amp;creator=factset&amp;display_string=Audit"}</definedName>
    <definedName name="_571__FDSAUDITLINK__" hidden="1">{"fdsup://Directions/FactSet Auditing Viewer?action=AUDIT_VALUE&amp;DB=129&amp;ID1=85524410&amp;VALUEID=02999&amp;SDATE=201002&amp;PERIODTYPE=QTR_STD&amp;window=popup_no_bar&amp;width=385&amp;height=120&amp;START_MAXIMIZED=FALSE&amp;creator=factset&amp;display_string=Audit"}</definedName>
    <definedName name="_572__FDSAUDITLINK__" hidden="1">{"fdsup://Directions/FactSet Auditing Viewer?action=AUDIT_VALUE&amp;DB=129&amp;ID1=85590A40&amp;VALUEID=02999&amp;SDATE=201001&amp;PERIODTYPE=QTR_STD&amp;window=popup_no_bar&amp;width=385&amp;height=120&amp;START_MAXIMIZED=FALSE&amp;creator=factset&amp;display_string=Audit"}</definedName>
    <definedName name="_573__FDSAUDITLINK__" hidden="1">{"fdsup://Directions/FactSet Auditing Viewer?action=AUDIT_VALUE&amp;DB=129&amp;ID1=85811910&amp;VALUEID=02999&amp;SDATE=201001&amp;PERIODTYPE=QTR_STD&amp;window=popup_no_bar&amp;width=385&amp;height=120&amp;START_MAXIMIZED=FALSE&amp;creator=factset&amp;display_string=Audit"}</definedName>
    <definedName name="_574__FDSAUDITLINK__" hidden="1">{"fdsup://Directions/FactSet Auditing Viewer?action=AUDIT_VALUE&amp;DB=129&amp;ID1=85815520&amp;VALUEID=02999&amp;SDATE=201001&amp;PERIODTYPE=QTR_STD&amp;window=popup_no_bar&amp;width=385&amp;height=120&amp;START_MAXIMIZED=FALSE&amp;creator=factset&amp;display_string=Audit"}</definedName>
    <definedName name="_575__FDSAUDITLINK__" hidden="1">{"fdsup://Directions/FactSet Auditing Viewer?action=AUDIT_VALUE&amp;DB=129&amp;ID1=85916610&amp;VALUEID=02999&amp;SDATE=201001&amp;PERIODTYPE=QTR_STD&amp;window=popup_no_bar&amp;width=385&amp;height=120&amp;START_MAXIMIZED=FALSE&amp;creator=factset&amp;display_string=Audit"}</definedName>
    <definedName name="_576__FDSAUDITLINK__" hidden="1">{"fdsup://Directions/FactSet Auditing Viewer?action=AUDIT_VALUE&amp;DB=129&amp;ID1=86037010&amp;VALUEID=02999&amp;SDATE=201002&amp;PERIODTYPE=QTR_STD&amp;window=popup_no_bar&amp;width=385&amp;height=120&amp;START_MAXIMIZED=FALSE&amp;creator=factset&amp;display_string=Audit"}</definedName>
    <definedName name="_577__FDSAUDITLINK__" hidden="1">{"fdsup://Directions/FactSet Auditing Viewer?action=AUDIT_VALUE&amp;DB=129&amp;ID1=91290910&amp;VALUEID=02999&amp;SDATE=201001&amp;PERIODTYPE=QTR_STD&amp;window=popup_no_bar&amp;width=385&amp;height=120&amp;START_MAXIMIZED=FALSE&amp;creator=factset&amp;display_string=Audit"}</definedName>
    <definedName name="_578__FDSAUDITLINK__" hidden="1">{"fdsup://Directions/FactSet Auditing Viewer?action=AUDIT_VALUE&amp;DB=129&amp;ID1=91324P10&amp;VALUEID=02999&amp;SDATE=201001&amp;PERIODTYPE=QTR_STD&amp;window=popup_no_bar&amp;width=385&amp;height=120&amp;START_MAXIMIZED=FALSE&amp;creator=factset&amp;display_string=Audit"}</definedName>
    <definedName name="_579__FDSAUDITLINK__" hidden="1">{"fdsup://Directions/FactSet Auditing Viewer?action=AUDIT_VALUE&amp;DB=129&amp;ID1=90341W10&amp;VALUEID=02999&amp;SDATE=201001&amp;PERIODTYPE=QTR_STD&amp;window=popup_no_bar&amp;width=385&amp;height=120&amp;START_MAXIMIZED=FALSE&amp;creator=factset&amp;display_string=Audit"}</definedName>
    <definedName name="_58__FDSAUDITLINK__" hidden="1">{"fdsup://Directions/FactSet Auditing Viewer?action=AUDIT_VALUE&amp;DB=129&amp;ID1=05333210&amp;VALUEID=02999&amp;SDATE=201003&amp;PERIODTYPE=QTR_STD&amp;window=popup_no_bar&amp;width=385&amp;height=120&amp;START_MAXIMIZED=FALSE&amp;creator=factset&amp;display_string=Audit"}</definedName>
    <definedName name="_580__FDSAUDITLINK__" hidden="1">{"fdsup://Directions/FactSet Auditing Viewer?action=AUDIT_VALUE&amp;DB=129&amp;ID1=90333E10&amp;VALUEID=02999&amp;SDATE=201001&amp;PERIODTYPE=QTR_STD&amp;window=popup_no_bar&amp;width=385&amp;height=120&amp;START_MAXIMIZED=FALSE&amp;creator=factset&amp;display_string=Audit"}</definedName>
    <definedName name="_581__FDSAUDITLINK__" hidden="1">{"fdsup://Directions/FactSet Auditing Viewer?action=AUDIT_VALUE&amp;DB=129&amp;ID1=91879Q10&amp;VALUEID=02999&amp;SDATE=201003&amp;PERIODTYPE=QTR_STD&amp;window=popup_no_bar&amp;width=385&amp;height=120&amp;START_MAXIMIZED=FALSE&amp;creator=factset&amp;display_string=Audit"}</definedName>
    <definedName name="_582__FDSAUDITLINK__" hidden="1">{"fdsup://Directions/FactSet Auditing Viewer?action=AUDIT_VALUE&amp;DB=129&amp;ID1=91911X10&amp;VALUEID=02999&amp;SDATE=201001&amp;PERIODTYPE=QTR_STD&amp;window=popup_no_bar&amp;width=385&amp;height=120&amp;START_MAXIMIZED=FALSE&amp;creator=factset&amp;display_string=Audit"}</definedName>
    <definedName name="_583__FDSAUDITLINK__" hidden="1">{"fdsup://Directions/FactSet Auditing Viewer?action=AUDIT_VALUE&amp;DB=129&amp;ID1=86074Q10&amp;VALUEID=02999&amp;SDATE=201001&amp;PERIODTYPE=QTR_STD&amp;window=popup_no_bar&amp;width=385&amp;height=120&amp;START_MAXIMIZED=FALSE&amp;creator=factset&amp;display_string=Audit"}</definedName>
    <definedName name="_584__FDSAUDITLINK__" hidden="1">{"fdsup://Directions/FactSet Auditing Viewer?action=AUDIT_VALUE&amp;DB=129&amp;ID1=86164210&amp;VALUEID=02999&amp;SDATE=201001&amp;PERIODTYPE=QTR_STD&amp;window=popup_no_bar&amp;width=385&amp;height=120&amp;START_MAXIMIZED=FALSE&amp;creator=factset&amp;display_string=Audit"}</definedName>
    <definedName name="_585__FDSAUDITLINK__" hidden="1">{"fdsup://Directions/FactSet Auditing Viewer?action=AUDIT_VALUE&amp;DB=129&amp;ID1=86183Q10&amp;VALUEID=02999&amp;SDATE=201001&amp;PERIODTYPE=QTR_STD&amp;window=popup_no_bar&amp;width=385&amp;height=120&amp;START_MAXIMIZED=FALSE&amp;creator=factset&amp;display_string=Audit"}</definedName>
    <definedName name="_586__FDSAUDITLINK__" hidden="1">{"fdsup://Directions/FactSet Auditing Viewer?action=AUDIT_VALUE&amp;DB=129&amp;ID1=86183P10&amp;VALUEID=02999&amp;SDATE=201001&amp;PERIODTYPE=QTR_STD&amp;window=popup_no_bar&amp;width=385&amp;height=120&amp;START_MAXIMIZED=FALSE&amp;creator=factset&amp;display_string=Audit"}</definedName>
    <definedName name="_587__FDSAUDITLINK__" hidden="1">{"fdsup://Directions/FactSet Auditing Viewer?action=AUDIT_VALUE&amp;DB=129&amp;ID1=86366710&amp;VALUEID=02999&amp;SDATE=201001&amp;PERIODTYPE=QTR_STD&amp;window=popup_no_bar&amp;width=385&amp;height=120&amp;START_MAXIMIZED=FALSE&amp;creator=factset&amp;display_string=Audit"}</definedName>
    <definedName name="_588__FDSAUDITLINK__" hidden="1">{"fdsup://Directions/FactSet Auditing Viewer?action=AUDIT_VALUE&amp;DB=129&amp;ID1=86764P10&amp;VALUEID=02999&amp;SDATE=201001&amp;PERIODTYPE=QTR_STD&amp;window=popup_no_bar&amp;width=385&amp;height=120&amp;START_MAXIMIZED=FALSE&amp;creator=factset&amp;display_string=Audit"}</definedName>
    <definedName name="_589__FDSAUDITLINK__" hidden="1">{"fdsup://Directions/FactSet Auditing Viewer?action=AUDIT_VALUE&amp;DB=129&amp;ID1=86815710&amp;VALUEID=02999&amp;SDATE=201001&amp;PERIODTYPE=QTR_STD&amp;window=popup_no_bar&amp;width=385&amp;height=120&amp;START_MAXIMIZED=FALSE&amp;creator=factset&amp;display_string=Audit"}</definedName>
    <definedName name="_59__FDSAUDITLINK__" hidden="1">{"fdsup://Directions/FactSet Auditing Viewer?action=AUDIT_VALUE&amp;DB=129&amp;ID1=05361110&amp;VALUEID=02999&amp;SDATE=201001&amp;PERIODTYPE=QTR_STD&amp;window=popup_no_bar&amp;width=385&amp;height=120&amp;START_MAXIMIZED=FALSE&amp;creator=factset&amp;display_string=Audit"}</definedName>
    <definedName name="_590__FDSAUDITLINK__" hidden="1">{"fdsup://Directions/FactSet Auditing Viewer?action=AUDIT_VALUE&amp;DB=129&amp;ID1=86923310&amp;VALUEID=02999&amp;SDATE=201001&amp;PERIODTYPE=QTR_STD&amp;window=popup_no_bar&amp;width=385&amp;height=120&amp;START_MAXIMIZED=FALSE&amp;creator=factset&amp;display_string=Audit"}</definedName>
    <definedName name="_591__FDSAUDITLINK__" hidden="1">{"fdsup://Directions/FactSet Auditing Viewer?action=AUDIT_VALUE&amp;DB=129&amp;ID1=87422710&amp;VALUEID=02999&amp;SDATE=201001&amp;PERIODTYPE=QTR_STD&amp;window=popup_no_bar&amp;width=385&amp;height=120&amp;START_MAXIMIZED=FALSE&amp;creator=factset&amp;display_string=Audit"}</definedName>
    <definedName name="_592__FDSAUDITLINK__" hidden="1">{"fdsup://Directions/FactSet Auditing Viewer?action=AUDIT_VALUE&amp;DB=129&amp;ID1=87611X10&amp;VALUEID=02999&amp;SDATE=201001&amp;PERIODTYPE=QTR_STD&amp;window=popup_no_bar&amp;width=385&amp;height=120&amp;START_MAXIMIZED=FALSE&amp;creator=factset&amp;display_string=Audit"}</definedName>
    <definedName name="_593__FDSAUDITLINK__" hidden="1">{"fdsup://Directions/FactSet Auditing Viewer?action=AUDIT_VALUE&amp;DB=129&amp;ID1=87612E10&amp;VALUEID=02999&amp;SDATE=201001&amp;PERIODTYPE=QTR_STD&amp;window=popup_no_bar&amp;width=385&amp;height=120&amp;START_MAXIMIZED=FALSE&amp;creator=factset&amp;display_string=Audit"}</definedName>
    <definedName name="_594__FDSAUDITLINK__" hidden="1">{"fdsup://Directions/FactSet Auditing Viewer?action=AUDIT_VALUE&amp;DB=129&amp;ID1=87823710&amp;VALUEID=02999&amp;SDATE=201001&amp;PERIODTYPE=QTR_STD&amp;window=popup_no_bar&amp;width=385&amp;height=120&amp;START_MAXIMIZED=FALSE&amp;creator=factset&amp;display_string=Audit"}</definedName>
    <definedName name="_595__FDSAUDITLINK__" hidden="1">{"fdsup://Directions/FactSet Auditing Viewer?action=AUDIT_VALUE&amp;DB=129&amp;ID1=Y8564W10&amp;VALUEID=02999&amp;SDATE=201001&amp;PERIODTYPE=QTR_STD&amp;window=popup_no_bar&amp;width=385&amp;height=120&amp;START_MAXIMIZED=FALSE&amp;creator=factset&amp;display_string=Audit"}</definedName>
    <definedName name="_596__FDSAUDITLINK__" hidden="1">{"fdsup://Directions/FactSet Auditing Viewer?action=AUDIT_VALUE&amp;DB=129&amp;ID1=87986810&amp;VALUEID=02999&amp;SDATE=201001&amp;PERIODTYPE=QTR_STD&amp;window=popup_no_bar&amp;width=385&amp;height=120&amp;START_MAXIMIZED=FALSE&amp;creator=factset&amp;display_string=Audit"}</definedName>
    <definedName name="_597__FDSAUDITLINK__" hidden="1">{"fdsup://Directions/FactSet Auditing Viewer?action=AUDIT_VALUE&amp;DB=129&amp;ID1=88033G10&amp;VALUEID=02999&amp;SDATE=201001&amp;PERIODTYPE=QTR_STD&amp;window=popup_no_bar&amp;width=385&amp;height=120&amp;START_MAXIMIZED=FALSE&amp;creator=factset&amp;display_string=Audit"}</definedName>
    <definedName name="_598__FDSAUDITLINK__" hidden="1">{"fdsup://Directions/FactSet Auditing Viewer?action=AUDIT_VALUE&amp;DB=129&amp;ID1=88034910&amp;VALUEID=02999&amp;SDATE=201001&amp;PERIODTYPE=QTR_STD&amp;window=popup_no_bar&amp;width=385&amp;height=120&amp;START_MAXIMIZED=FALSE&amp;creator=factset&amp;display_string=Audit"}</definedName>
    <definedName name="_599__FDSAUDITLINK__" hidden="1">{"fdsup://Directions/FactSet Auditing Viewer?action=AUDIT_VALUE&amp;DB=129&amp;ID1=88077910&amp;VALUEID=02999&amp;SDATE=201001&amp;PERIODTYPE=QTR_STD&amp;window=popup_no_bar&amp;width=385&amp;height=120&amp;START_MAXIMIZED=FALSE&amp;creator=factset&amp;display_string=Audit"}</definedName>
    <definedName name="_5IQ_CURRENCY_GAIN_INS" hidden="1">"c238"</definedName>
    <definedName name="_6__FDSAUDITLINK__" hidden="1">{"fdsup://Directions/FactSet Auditing Viewer?action=AUDIT_VALUE&amp;DB=129&amp;ID1=15133V20&amp;VALUEID=02999&amp;SDATE=200901&amp;PERIODTYPE=QTR_STD&amp;window=popup_no_bar&amp;width=385&amp;height=120&amp;START_MAXIMIZED=FALSE&amp;creator=factset&amp;display_string=Audit"}</definedName>
    <definedName name="_6_0__123Grap" hidden="1">'[1]Comp. Transaction'!#REF!</definedName>
    <definedName name="_60__FDSAUDITLINK__" hidden="1">{"fdsup://Directions/FactSet Auditing Viewer?action=AUDIT_VALUE&amp;DB=129&amp;ID1=05430310&amp;VALUEID=02999&amp;SDATE=201001&amp;PERIODTYPE=QTR_STD&amp;window=popup_no_bar&amp;width=385&amp;height=120&amp;START_MAXIMIZED=FALSE&amp;creator=factset&amp;display_string=Audit"}</definedName>
    <definedName name="_600__FDSAUDITLINK__" hidden="1">{"fdsup://Directions/FactSet Auditing Viewer?action=AUDIT_VALUE&amp;DB=129&amp;ID1=88091510&amp;VALUEID=02999&amp;SDATE=201001&amp;PERIODTYPE=QTR_STD&amp;window=popup_no_bar&amp;width=385&amp;height=120&amp;START_MAXIMIZED=FALSE&amp;creator=factset&amp;display_string=Audit"}</definedName>
    <definedName name="_601__FDSAUDITLINK__" hidden="1">{"fdsup://Directions/FactSet Auditing Viewer?action=AUDIT_VALUE&amp;DB=129&amp;ID1=88160910&amp;VALUEID=02999&amp;SDATE=201001&amp;PERIODTYPE=QTR_STD&amp;window=popup_no_bar&amp;width=385&amp;height=120&amp;START_MAXIMIZED=FALSE&amp;creator=factset&amp;display_string=Audit"}</definedName>
    <definedName name="_602__FDSAUDITLINK__" hidden="1">{"fdsup://Directions/FactSet Auditing Viewer?action=AUDIT_VALUE&amp;DB=129&amp;ID1=88250810&amp;VALUEID=02999&amp;SDATE=201001&amp;PERIODTYPE=QTR_STD&amp;window=popup_no_bar&amp;width=385&amp;height=120&amp;START_MAXIMIZED=FALSE&amp;creator=factset&amp;display_string=Audit"}</definedName>
    <definedName name="_603__FDSAUDITLINK__" hidden="1">{"fdsup://Directions/FactSet Auditing Viewer?action=AUDIT_VALUE&amp;DB=129&amp;ID1=88320310&amp;VALUEID=02999&amp;SDATE=201001&amp;PERIODTYPE=QTR_STD&amp;window=popup_no_bar&amp;width=385&amp;height=120&amp;START_MAXIMIZED=FALSE&amp;creator=factset&amp;display_string=Audit"}</definedName>
    <definedName name="_604__FDSAUDITLINK__" hidden="1">{"fdsup://Directions/FactSet Auditing Viewer?action=AUDIT_VALUE&amp;DB=129&amp;ID1=88355610&amp;VALUEID=02999&amp;SDATE=201001&amp;PERIODTYPE=QTR_STD&amp;window=popup_no_bar&amp;width=385&amp;height=120&amp;START_MAXIMIZED=FALSE&amp;creator=factset&amp;display_string=Audit"}</definedName>
    <definedName name="_605__FDSAUDITLINK__" hidden="1">{"fdsup://Directions/FactSet Auditing Viewer?action=AUDIT_VALUE&amp;DB=129&amp;ID1=88731730&amp;VALUEID=02999&amp;SDATE=201001&amp;PERIODTYPE=QTR_STD&amp;window=popup_no_bar&amp;width=385&amp;height=120&amp;START_MAXIMIZED=FALSE&amp;creator=factset&amp;display_string=Audit"}</definedName>
    <definedName name="_606__FDSAUDITLINK__" hidden="1">{"fdsup://Directions/FactSet Auditing Viewer?action=AUDIT_VALUE&amp;DB=129&amp;ID1=88738910&amp;VALUEID=02999&amp;SDATE=201001&amp;PERIODTYPE=QTR_STD&amp;window=popup_no_bar&amp;width=385&amp;height=120&amp;START_MAXIMIZED=FALSE&amp;creator=factset&amp;display_string=Audit"}</definedName>
    <definedName name="_607__FDSAUDITLINK__" hidden="1">{"fdsup://Directions/FactSet Auditing Viewer?action=AUDIT_VALUE&amp;DB=129&amp;ID1=88830M10&amp;VALUEID=02999&amp;SDATE=201001&amp;PERIODTYPE=QTR_STD&amp;window=popup_no_bar&amp;width=385&amp;height=120&amp;START_MAXIMIZED=FALSE&amp;creator=factset&amp;display_string=Audit"}</definedName>
    <definedName name="_608__FDSAUDITLINK__" hidden="1">{"fdsup://Directions/FactSet Auditing Viewer?action=AUDIT_VALUE&amp;DB=129&amp;ID1=87254010&amp;VALUEID=02999&amp;SDATE=201001&amp;PERIODTYPE=QTR_STD&amp;window=popup_no_bar&amp;width=385&amp;height=120&amp;START_MAXIMIZED=FALSE&amp;creator=factset&amp;display_string=Audit"}</definedName>
    <definedName name="_609__FDSAUDITLINK__" hidden="1">{"fdsup://Directions/FactSet Auditing Viewer?action=AUDIT_VALUE&amp;DB=129&amp;ID1=87296010&amp;VALUEID=02999&amp;SDATE=201001&amp;PERIODTYPE=QTR_STD&amp;window=popup_no_bar&amp;width=385&amp;height=120&amp;START_MAXIMIZED=FALSE&amp;creator=factset&amp;display_string=Audit"}</definedName>
    <definedName name="_61__FDSAUDITLINK__" hidden="1">{"fdsup://Directions/FactSet Auditing Viewer?action=AUDIT_VALUE&amp;DB=129&amp;ID1=05722410&amp;VALUEID=02999&amp;SDATE=201001&amp;PERIODTYPE=QTR_STD&amp;window=popup_no_bar&amp;width=385&amp;height=120&amp;START_MAXIMIZED=FALSE&amp;creator=factset&amp;display_string=Audit"}</definedName>
    <definedName name="_610__FDSAUDITLINK__" hidden="1">{"fdsup://Directions/FactSet Auditing Viewer?action=AUDIT_VALUE&amp;DB=129&amp;ID1=88947810&amp;VALUEID=02999&amp;SDATE=201002&amp;PERIODTYPE=QTR_STD&amp;window=popup_no_bar&amp;width=385&amp;height=120&amp;START_MAXIMIZED=FALSE&amp;creator=factset&amp;display_string=Audit"}</definedName>
    <definedName name="_611__FDSAUDITLINK__" hidden="1">{"fdsup://Directions/FactSet Auditing Viewer?action=AUDIT_VALUE&amp;DB=129&amp;ID1=89109210&amp;VALUEID=02999&amp;SDATE=201002&amp;PERIODTYPE=QTR_STD&amp;window=popup_no_bar&amp;width=385&amp;height=120&amp;START_MAXIMIZED=FALSE&amp;creator=factset&amp;display_string=Audit"}</definedName>
    <definedName name="_612__FDSAUDITLINK__" hidden="1">{"fdsup://Directions/FactSet Auditing Viewer?action=AUDIT_VALUE&amp;DB=129&amp;ID1=89190610&amp;VALUEID=02999&amp;SDATE=201001&amp;PERIODTYPE=QTR_STD&amp;window=popup_no_bar&amp;width=385&amp;height=120&amp;START_MAXIMIZED=FALSE&amp;creator=factset&amp;display_string=Audit"}</definedName>
    <definedName name="_613__FDSAUDITLINK__" hidden="1">{"fdsup://Directions/FactSet Auditing Viewer?action=AUDIT_VALUE&amp;DB=129&amp;ID1=89278210&amp;VALUEID=02999&amp;SDATE=201001&amp;PERIODTYPE=QTR_STD&amp;window=popup_no_bar&amp;width=385&amp;height=120&amp;START_MAXIMIZED=FALSE&amp;creator=factset&amp;display_string=Audit"}</definedName>
    <definedName name="_614__FDSAUDITLINK__" hidden="1">{"fdsup://Directions/FactSet Auditing Viewer?action=AUDIT_VALUE&amp;DB=129&amp;ID1=89364110&amp;VALUEID=02999&amp;SDATE=201002&amp;PERIODTYPE=QTR_STD&amp;window=popup_no_bar&amp;width=385&amp;height=120&amp;START_MAXIMIZED=FALSE&amp;creator=factset&amp;display_string=Audit"}</definedName>
    <definedName name="_615__FDSAUDITLINK__" hidden="1">{"fdsup://Directions/FactSet Auditing Viewer?action=AUDIT_VALUE&amp;DB=129&amp;ID1=H8817H10&amp;VALUEID=02999&amp;SDATE=201001&amp;PERIODTYPE=QTR_STD&amp;window=popup_no_bar&amp;width=385&amp;height=120&amp;START_MAXIMIZED=FALSE&amp;creator=factset&amp;display_string=Audit"}</definedName>
    <definedName name="_616__FDSAUDITLINK__" hidden="1">{"fdsup://Directions/FactSet Auditing Viewer?action=AUDIT_VALUE&amp;DB=129&amp;ID1=89469A10&amp;VALUEID=02999&amp;SDATE=201001&amp;PERIODTYPE=QTR_STD&amp;window=popup_no_bar&amp;width=385&amp;height=120&amp;START_MAXIMIZED=FALSE&amp;creator=factset&amp;display_string=Audit"}</definedName>
    <definedName name="_617__FDSAUDITLINK__" hidden="1">{"fdsup://Directions/FactSet Auditing Viewer?action=AUDIT_VALUE&amp;DB=129&amp;ID1=89610620&amp;VALUEID=02999&amp;SDATE=201001&amp;PERIODTYPE=QTR_STD&amp;window=popup_no_bar&amp;width=385&amp;height=120&amp;START_MAXIMIZED=FALSE&amp;creator=factset&amp;display_string=Audit"}</definedName>
    <definedName name="_618__FDSAUDITLINK__" hidden="1">{"fdsup://Directions/FactSet Auditing Viewer?action=AUDIT_VALUE&amp;DB=129&amp;ID1=89621520&amp;VALUEID=02999&amp;SDATE=201001&amp;PERIODTYPE=QTR_STD&amp;window=popup_no_bar&amp;width=385&amp;height=120&amp;START_MAXIMIZED=FALSE&amp;creator=factset&amp;display_string=Audit"}</definedName>
    <definedName name="_619__FDSAUDITLINK__" hidden="1">{"fdsup://Directions/FactSet Auditing Viewer?action=AUDIT_VALUE&amp;DB=129&amp;ID1=87305R10&amp;VALUEID=02999&amp;SDATE=201001&amp;PERIODTYPE=QTR_STD&amp;window=popup_no_bar&amp;width=385&amp;height=120&amp;START_MAXIMIZED=FALSE&amp;creator=factset&amp;display_string=Audit"}</definedName>
    <definedName name="_62__FDSAUDITLINK__" hidden="1">{"fdsup://Directions/FactSet Auditing Viewer?action=AUDIT_VALUE&amp;DB=129&amp;ID1=05774110&amp;VALUEID=02999&amp;SDATE=201001&amp;PERIODTYPE=QTR_STD&amp;window=popup_no_bar&amp;width=385&amp;height=120&amp;START_MAXIMIZED=FALSE&amp;creator=factset&amp;display_string=Audit"}</definedName>
    <definedName name="_620__FDSAUDITLINK__" hidden="1">{"fdsup://Directions/FactSet Auditing Viewer?action=AUDIT_VALUE&amp;DB=129&amp;ID1=89989610&amp;VALUEID=02999&amp;SDATE=201001&amp;PERIODTYPE=QTR_STD&amp;window=popup_no_bar&amp;width=385&amp;height=120&amp;START_MAXIMIZED=FALSE&amp;creator=factset&amp;display_string=Audit"}</definedName>
    <definedName name="_621__FDSAUDITLINK__" hidden="1">{"fdsup://Directions/FactSet Auditing Viewer?action=AUDIT_VALUE&amp;DB=129&amp;ID1=H8912810&amp;VALUEID=02999&amp;SDATE=201002&amp;PERIODTYPE=QTR_STD&amp;window=popup_no_bar&amp;width=385&amp;height=120&amp;START_MAXIMIZED=FALSE&amp;creator=factset&amp;display_string=Audit"}</definedName>
    <definedName name="_622__FDSAUDITLINK__" hidden="1">{"fdsup://Directions/FactSet Auditing Viewer?action=AUDIT_VALUE&amp;DB=129&amp;ID1=90249410&amp;VALUEID=02999&amp;SDATE=201002&amp;PERIODTYPE=QTR_STD&amp;window=popup_no_bar&amp;width=385&amp;height=120&amp;START_MAXIMIZED=FALSE&amp;creator=factset&amp;display_string=Audit"}</definedName>
    <definedName name="_623__FDSAUDITLINK__" hidden="1">{"fdsup://Directions/FactSet Auditing Viewer?action=AUDIT_VALUE&amp;DB=129&amp;ID1=91168410&amp;VALUEID=02999&amp;SDATE=201001&amp;PERIODTYPE=QTR_STD&amp;window=popup_no_bar&amp;width=385&amp;height=120&amp;START_MAXIMIZED=FALSE&amp;creator=factset&amp;display_string=Audit"}</definedName>
    <definedName name="_624__FDSAUDITLINK__" hidden="1">{"fdsup://Directions/FactSet Auditing Viewer?action=AUDIT_VALUE&amp;DB=129&amp;ID1=90333L10&amp;VALUEID=02999&amp;SDATE=201001&amp;PERIODTYPE=QTR_STD&amp;window=popup_no_bar&amp;width=385&amp;height=120&amp;START_MAXIMIZED=FALSE&amp;creator=factset&amp;display_string=Audit"}</definedName>
    <definedName name="_625__FDSAUDITLINK__" hidden="1">{"fdsup://Directions/FactSet Auditing Viewer?action=AUDIT_VALUE&amp;DB=129&amp;ID1=90467710&amp;VALUEID=02999&amp;SDATE=201003&amp;PERIODTYPE=QTR_STD&amp;window=popup_no_bar&amp;width=385&amp;height=120&amp;START_MAXIMIZED=FALSE&amp;creator=factset&amp;display_string=Audit"}</definedName>
    <definedName name="_626__FDSAUDITLINK__" hidden="1">{"fdsup://Directions/FactSet Auditing Viewer?action=AUDIT_VALUE&amp;DB=129&amp;ID1=90558110&amp;VALUEID=02999&amp;SDATE=201001&amp;PERIODTYPE=QTR_STD&amp;window=popup_no_bar&amp;width=385&amp;height=120&amp;START_MAXIMIZED=FALSE&amp;creator=factset&amp;display_string=Audit"}</definedName>
    <definedName name="_627__FDSAUDITLINK__" hidden="1">{"fdsup://Directions/FactSet Auditing Viewer?action=AUDIT_VALUE&amp;DB=129&amp;ID1=90781810&amp;VALUEID=02999&amp;SDATE=201001&amp;PERIODTYPE=QTR_STD&amp;window=popup_no_bar&amp;width=385&amp;height=120&amp;START_MAXIMIZED=FALSE&amp;creator=factset&amp;display_string=Audit"}</definedName>
    <definedName name="_628__FDSAUDITLINK__" hidden="1">{"fdsup://Directions/FactSet Auditing Viewer?action=AUDIT_VALUE&amp;DB=129&amp;ID1=90921430&amp;VALUEID=02999&amp;SDATE=201001&amp;PERIODTYPE=QTR_STD&amp;window=popup_no_bar&amp;width=385&amp;height=120&amp;START_MAXIMIZED=FALSE&amp;creator=factset&amp;display_string=Audit"}</definedName>
    <definedName name="_629__FDSAUDITLINK__" hidden="1">{"fdsup://Directions/FactSet Auditing Viewer?action=AUDIT_VALUE&amp;DB=129&amp;ID1=91131210&amp;VALUEID=02999&amp;SDATE=201001&amp;PERIODTYPE=QTR_STD&amp;window=popup_no_bar&amp;width=385&amp;height=120&amp;START_MAXIMIZED=FALSE&amp;creator=factset&amp;display_string=Audit"}</definedName>
    <definedName name="_63__FDSAUDITLINK__" hidden="1">{"fdsup://Directions/FactSet Auditing Viewer?action=AUDIT_VALUE&amp;DB=129&amp;ID1=05849810&amp;VALUEID=02999&amp;SDATE=201001&amp;PERIODTYPE=QTR_STD&amp;window=popup_no_bar&amp;width=385&amp;height=120&amp;START_MAXIMIZED=FALSE&amp;creator=factset&amp;display_string=Audit"}</definedName>
    <definedName name="_630__FDSAUDITLINK__" hidden="1">{"fdsup://Directions/FactSet Auditing Viewer?action=AUDIT_VALUE&amp;DB=129&amp;ID1=91301710&amp;VALUEID=02999&amp;SDATE=201001&amp;PERIODTYPE=QTR_STD&amp;window=popup_no_bar&amp;width=385&amp;height=120&amp;START_MAXIMIZED=FALSE&amp;creator=factset&amp;display_string=Audit"}</definedName>
    <definedName name="_631__FDSAUDITLINK__" hidden="1">{"fdsup://Directions/FactSet Auditing Viewer?action=AUDIT_VALUE&amp;DB=129&amp;ID1=91337710&amp;VALUEID=02999&amp;SDATE=201001&amp;PERIODTYPE=QTR_STD&amp;window=popup_no_bar&amp;width=385&amp;height=120&amp;START_MAXIMIZED=FALSE&amp;creator=factset&amp;display_string=Audit"}</definedName>
    <definedName name="_632__FDSAUDITLINK__" hidden="1">{"fdsup://Directions/FactSet Auditing Viewer?action=AUDIT_VALUE&amp;DB=129&amp;ID1=90323610&amp;VALUEID=02999&amp;SDATE=201001&amp;PERIODTYPE=QTR_STD&amp;window=popup_no_bar&amp;width=385&amp;height=120&amp;START_MAXIMIZED=FALSE&amp;creator=factset&amp;display_string=Audit"}</definedName>
    <definedName name="_633__FDSAUDITLINK__" hidden="1">{"fdsup://Directions/FactSet Auditing Viewer?action=AUDIT_VALUE&amp;DB=129&amp;ID1=91886610&amp;VALUEID=02999&amp;SDATE=201001&amp;PERIODTYPE=QTR_STD&amp;window=popup_no_bar&amp;width=385&amp;height=120&amp;START_MAXIMIZED=FALSE&amp;creator=factset&amp;display_string=Audit"}</definedName>
    <definedName name="_634__FDSAUDITLINK__" hidden="1">{"fdsup://Directions/FactSet Auditing Viewer?action=AUDIT_VALUE&amp;DB=129&amp;ID1=92025310&amp;VALUEID=02999&amp;SDATE=201001&amp;PERIODTYPE=QTR_STD&amp;window=popup_no_bar&amp;width=385&amp;height=120&amp;START_MAXIMIZED=FALSE&amp;creator=factset&amp;display_string=Audit"}</definedName>
    <definedName name="_635__FDSAUDITLINK__" hidden="1">{"fdsup://Directions/FactSet Auditing Viewer?action=AUDIT_VALUE&amp;DB=129&amp;ID1=92035510&amp;VALUEID=02999&amp;SDATE=201002&amp;PERIODTYPE=QTR_STD&amp;window=popup_no_bar&amp;width=385&amp;height=120&amp;START_MAXIMIZED=FALSE&amp;creator=factset&amp;display_string=Audit"}</definedName>
    <definedName name="_636__FDSAUDITLINK__" hidden="1">{"fdsup://Directions/FactSet Auditing Viewer?action=AUDIT_VALUE&amp;DB=129&amp;ID1=91819410&amp;VALUEID=02999&amp;SDATE=201001&amp;PERIODTYPE=QTR_STD&amp;window=popup_no_bar&amp;width=385&amp;height=120&amp;START_MAXIMIZED=FALSE&amp;creator=factset&amp;display_string=Audit"}</definedName>
    <definedName name="_637__FDSAUDITLINK__" hidden="1">{"fdsup://Directions/FactSet Auditing Viewer?action=AUDIT_VALUE&amp;DB=129&amp;ID1=92275P30&amp;VALUEID=02999&amp;SDATE=201001&amp;PERIODTYPE=QTR_STD&amp;window=popup_no_bar&amp;width=385&amp;height=120&amp;START_MAXIMIZED=FALSE&amp;creator=factset&amp;display_string=Audit"}</definedName>
    <definedName name="_638__FDSAUDITLINK__" hidden="1">{"fdsup://Directions/FactSet Auditing Viewer?action=AUDIT_VALUE&amp;DB=129&amp;ID1=92342Y10&amp;VALUEID=02999&amp;SDATE=201002&amp;PERIODTYPE=QTR_STD&amp;window=popup_no_bar&amp;width=385&amp;height=120&amp;START_MAXIMIZED=FALSE&amp;creator=factset&amp;display_string=Audit"}</definedName>
    <definedName name="_639__FDSAUDITLINK__" hidden="1">{"fdsup://Directions/FactSet Auditing Viewer?action=AUDIT_VALUE&amp;DB=129&amp;ID1=92343X10&amp;VALUEID=02999&amp;SDATE=201001&amp;PERIODTYPE=QTR_STD&amp;window=popup_no_bar&amp;width=385&amp;height=120&amp;START_MAXIMIZED=FALSE&amp;creator=factset&amp;display_string=Audit"}</definedName>
    <definedName name="_64__FDSAUDITLINK__" hidden="1">{"fdsup://Directions/FactSet Auditing Viewer?action=AUDIT_VALUE&amp;DB=129&amp;ID1=05874B10&amp;VALUEID=02999&amp;SDATE=201003&amp;PERIODTYPE=QTR_STD&amp;window=popup_no_bar&amp;width=385&amp;height=120&amp;START_MAXIMIZED=FALSE&amp;creator=factset&amp;display_string=Audit"}</definedName>
    <definedName name="_640__FDSAUDITLINK__" hidden="1">{"fdsup://Directions/FactSet Auditing Viewer?action=AUDIT_VALUE&amp;DB=129&amp;ID1=92343V10&amp;VALUEID=02999&amp;SDATE=201001&amp;PERIODTYPE=QTR_STD&amp;window=popup_no_bar&amp;width=385&amp;height=120&amp;START_MAXIMIZED=FALSE&amp;creator=factset&amp;display_string=Audit"}</definedName>
    <definedName name="_641__FDSAUDITLINK__" hidden="1">{"fdsup://Directions/FactSet Auditing Viewer?action=AUDIT_VALUE&amp;DB=129&amp;ID1=91820410&amp;VALUEID=02999&amp;SDATE=201001&amp;PERIODTYPE=QTR_STD&amp;window=popup_no_bar&amp;width=385&amp;height=120&amp;START_MAXIMIZED=FALSE&amp;creator=factset&amp;display_string=Audit"}</definedName>
    <definedName name="_642__FDSAUDITLINK__" hidden="1">{"fdsup://Directions/FactSet Auditing Viewer?action=AUDIT_VALUE&amp;DB=129&amp;ID1=92553P20&amp;VALUEID=02999&amp;SDATE=201001&amp;PERIODTYPE=QTR_STD&amp;window=popup_no_bar&amp;width=385&amp;height=120&amp;START_MAXIMIZED=FALSE&amp;creator=factset&amp;display_string=Audit"}</definedName>
    <definedName name="_643__FDSAUDITLINK__" hidden="1">{"fdsup://Directions/FactSet Auditing Viewer?action=AUDIT_VALUE&amp;DB=129&amp;ID1=92826C83&amp;VALUEID=02999&amp;SDATE=201002&amp;PERIODTYPE=QTR_STD&amp;window=popup_no_bar&amp;width=385&amp;height=120&amp;START_MAXIMIZED=FALSE&amp;creator=factset&amp;display_string=Audit"}</definedName>
    <definedName name="_644__FDSAUDITLINK__" hidden="1">{"fdsup://Directions/FactSet Auditing Viewer?action=AUDIT_VALUE&amp;DB=129&amp;ID1=92829810&amp;VALUEID=02999&amp;SDATE=201001&amp;PERIODTYPE=QTR_STD&amp;window=popup_no_bar&amp;width=385&amp;height=120&amp;START_MAXIMIZED=FALSE&amp;creator=factset&amp;display_string=Audit"}</definedName>
    <definedName name="_645__FDSAUDITLINK__" hidden="1">{"fdsup://Directions/FactSet Auditing Viewer?action=AUDIT_VALUE&amp;DB=129&amp;ID1=92916010&amp;VALUEID=02999&amp;SDATE=201001&amp;PERIODTYPE=QTR_STD&amp;window=popup_no_bar&amp;width=385&amp;height=120&amp;START_MAXIMIZED=FALSE&amp;creator=factset&amp;display_string=Audit"}</definedName>
    <definedName name="_646__FDSAUDITLINK__" hidden="1">{"fdsup://Directions/FactSet Auditing Viewer?action=AUDIT_VALUE&amp;DB=129&amp;ID1=92922P10&amp;VALUEID=02999&amp;SDATE=201001&amp;PERIODTYPE=QTR_STD&amp;window=popup_no_bar&amp;width=385&amp;height=120&amp;START_MAXIMIZED=FALSE&amp;creator=factset&amp;display_string=Audit"}</definedName>
    <definedName name="_647__FDSAUDITLINK__" hidden="1">{"fdsup://Directions/FactSet Auditing Viewer?action=AUDIT_VALUE&amp;DB=129&amp;ID1=38480210&amp;VALUEID=02999&amp;SDATE=201001&amp;PERIODTYPE=QTR_STD&amp;window=popup_no_bar&amp;width=385&amp;height=120&amp;START_MAXIMIZED=FALSE&amp;creator=factset&amp;display_string=Audit"}</definedName>
    <definedName name="_648__FDSAUDITLINK__" hidden="1">{"fdsup://Directions/FactSet Auditing Viewer?action=AUDIT_VALUE&amp;DB=129&amp;ID1=93114210&amp;VALUEID=02999&amp;SDATE=201001&amp;PERIODTYPE=QTR_STD&amp;window=popup_no_bar&amp;width=385&amp;height=120&amp;START_MAXIMIZED=FALSE&amp;creator=factset&amp;display_string=Audit"}</definedName>
    <definedName name="_649__FDSAUDITLINK__" hidden="1">{"fdsup://Directions/FactSet Auditing Viewer?action=AUDIT_VALUE&amp;DB=129&amp;ID1=93142210&amp;VALUEID=02999&amp;SDATE=201003&amp;PERIODTYPE=QTR_STD&amp;window=popup_no_bar&amp;width=385&amp;height=120&amp;START_MAXIMIZED=FALSE&amp;creator=factset&amp;display_string=Audit"}</definedName>
    <definedName name="_65__FDSAUDITLINK__" hidden="1">{"fdsup://Directions/FactSet Auditing Viewer?action=AUDIT_VALUE&amp;DB=129&amp;ID1=07581110&amp;VALUEID=02999&amp;SDATE=201001&amp;PERIODTYPE=QTR_STD&amp;window=popup_no_bar&amp;width=385&amp;height=120&amp;START_MAXIMIZED=FALSE&amp;creator=factset&amp;display_string=Audit"}</definedName>
    <definedName name="_650__FDSAUDITLINK__" hidden="1">{"fdsup://Directions/FactSet Auditing Viewer?action=AUDIT_VALUE&amp;DB=129&amp;ID1=25468710&amp;VALUEID=02999&amp;SDATE=201002&amp;PERIODTYPE=QTR_STD&amp;window=popup_no_bar&amp;width=385&amp;height=120&amp;START_MAXIMIZED=FALSE&amp;creator=factset&amp;display_string=Audit"}</definedName>
    <definedName name="_651__FDSAUDITLINK__" hidden="1">{"fdsup://Directions/FactSet Auditing Viewer?action=AUDIT_VALUE&amp;DB=129&amp;ID1=93317Q10&amp;VALUEID=02999&amp;SDATE=201001&amp;PERIODTYPE=QTR_STD&amp;window=popup_no_bar&amp;width=385&amp;height=120&amp;START_MAXIMIZED=FALSE&amp;creator=factset&amp;display_string=Audit"}</definedName>
    <definedName name="_652__FDSAUDITLINK__" hidden="1">{"fdsup://Directions/FactSet Auditing Viewer?action=AUDIT_VALUE&amp;DB=129&amp;ID1=93964010&amp;VALUEID=02999&amp;SDATE=201001&amp;PERIODTYPE=QTR_STD&amp;window=popup_no_bar&amp;width=385&amp;height=120&amp;START_MAXIMIZED=FALSE&amp;creator=factset&amp;display_string=Audit"}</definedName>
    <definedName name="_653__FDSAUDITLINK__" hidden="1">{"fdsup://Directions/FactSet Auditing Viewer?action=AUDIT_VALUE&amp;DB=129&amp;ID1=94106L10&amp;VALUEID=02999&amp;SDATE=201001&amp;PERIODTYPE=QTR_STD&amp;window=popup_no_bar&amp;width=385&amp;height=120&amp;START_MAXIMIZED=FALSE&amp;creator=factset&amp;display_string=Audit"}</definedName>
    <definedName name="_654__FDSAUDITLINK__" hidden="1">{"fdsup://Directions/FactSet Auditing Viewer?action=AUDIT_VALUE&amp;DB=129&amp;ID1=94268310&amp;VALUEID=02999&amp;SDATE=201001&amp;PERIODTYPE=QTR_STD&amp;window=popup_no_bar&amp;width=385&amp;height=120&amp;START_MAXIMIZED=FALSE&amp;creator=factset&amp;display_string=Audit"}</definedName>
    <definedName name="_655__FDSAUDITLINK__" hidden="1">{"fdsup://Directions/FactSet Auditing Viewer?action=AUDIT_VALUE&amp;DB=129&amp;ID1=H2701310&amp;VALUEID=02999&amp;SDATE=201001&amp;PERIODTYPE=QTR_STD&amp;window=popup_no_bar&amp;width=385&amp;height=120&amp;START_MAXIMIZED=FALSE&amp;creator=factset&amp;display_string=Audit"}</definedName>
    <definedName name="_656__FDSAUDITLINK__" hidden="1">{"fdsup://Directions/FactSet Auditing Viewer?action=AUDIT_VALUE&amp;DB=129&amp;ID1=94862610&amp;VALUEID=02999&amp;SDATE=201001&amp;PERIODTYPE=QTR_STD&amp;window=popup_no_bar&amp;width=385&amp;height=120&amp;START_MAXIMIZED=FALSE&amp;creator=factset&amp;display_string=Audit"}</definedName>
    <definedName name="_657__FDSAUDITLINK__" hidden="1">{"fdsup://Directions/FactSet Auditing Viewer?action=AUDIT_VALUE&amp;DB=129&amp;ID1=94946T10&amp;VALUEID=02999&amp;SDATE=201001&amp;PERIODTYPE=QTR_STD&amp;window=popup_no_bar&amp;width=385&amp;height=120&amp;START_MAXIMIZED=FALSE&amp;creator=factset&amp;display_string=Audit"}</definedName>
    <definedName name="_658__FDSAUDITLINK__" hidden="1">{"fdsup://Directions/FactSet Auditing Viewer?action=AUDIT_VALUE&amp;DB=129&amp;ID1=94973V10&amp;VALUEID=02999&amp;SDATE=201001&amp;PERIODTYPE=QTR_STD&amp;window=popup_no_bar&amp;width=385&amp;height=120&amp;START_MAXIMIZED=FALSE&amp;creator=factset&amp;display_string=Audit"}</definedName>
    <definedName name="_659__FDSAUDITLINK__" hidden="1">{"fdsup://Directions/FactSet Auditing Viewer?action=AUDIT_VALUE&amp;DB=129&amp;ID1=95058710&amp;VALUEID=02999&amp;SDATE=201001&amp;PERIODTYPE=QTR_STD&amp;window=popup_no_bar&amp;width=385&amp;height=120&amp;START_MAXIMIZED=FALSE&amp;creator=factset&amp;display_string=Audit"}</definedName>
    <definedName name="_65IQ_CURRENCY_GAIN_INS" hidden="1">"c238"</definedName>
    <definedName name="_66__FDSAUDITLINK__" hidden="1">{"fdsup://Directions/FactSet Auditing Viewer?action=AUDIT_VALUE&amp;DB=129&amp;ID1=07588710&amp;VALUEID=02999&amp;SDATE=201002&amp;PERIODTYPE=QTR_STD&amp;window=popup_no_bar&amp;width=385&amp;height=120&amp;START_MAXIMIZED=FALSE&amp;creator=factset&amp;display_string=Audit"}</definedName>
    <definedName name="_660__FDSAUDITLINK__" hidden="1">{"fdsup://Directions/FactSet Auditing Viewer?action=AUDIT_VALUE&amp;DB=129&amp;ID1=95082P10&amp;VALUEID=02999&amp;SDATE=201001&amp;PERIODTYPE=QTR_STD&amp;window=popup_no_bar&amp;width=385&amp;height=120&amp;START_MAXIMIZED=FALSE&amp;creator=factset&amp;display_string=Audit"}</definedName>
    <definedName name="_661__FDSAUDITLINK__" hidden="1">{"fdsup://Directions/FactSet Auditing Viewer?action=AUDIT_VALUE&amp;DB=129&amp;ID1=95931910&amp;VALUEID=02999&amp;SDATE=201001&amp;PERIODTYPE=QTR_STD&amp;window=popup_no_bar&amp;width=385&amp;height=120&amp;START_MAXIMIZED=FALSE&amp;creator=factset&amp;display_string=Audit"}</definedName>
    <definedName name="_662__FDSAUDITLINK__" hidden="1">{"fdsup://Directions/FactSet Auditing Viewer?action=AUDIT_VALUE&amp;DB=129&amp;ID1=95980210&amp;VALUEID=02999&amp;SDATE=201001&amp;PERIODTYPE=QTR_STD&amp;window=popup_no_bar&amp;width=385&amp;height=120&amp;START_MAXIMIZED=FALSE&amp;creator=factset&amp;display_string=Audit"}</definedName>
    <definedName name="_663__FDSAUDITLINK__" hidden="1">{"fdsup://Directions/FactSet Auditing Viewer?action=AUDIT_VALUE&amp;DB=129&amp;ID1=96041310&amp;VALUEID=02999&amp;SDATE=201001&amp;PERIODTYPE=QTR_STD&amp;window=popup_no_bar&amp;width=385&amp;height=120&amp;START_MAXIMIZED=FALSE&amp;creator=factset&amp;display_string=Audit"}</definedName>
    <definedName name="_664__FDSAUDITLINK__" hidden="1">{"fdsup://Directions/FactSet Auditing Viewer?action=AUDIT_VALUE&amp;DB=129&amp;ID1=96332010&amp;VALUEID=02999&amp;SDATE=201001&amp;PERIODTYPE=QTR_STD&amp;window=popup_no_bar&amp;width=385&amp;height=120&amp;START_MAXIMIZED=FALSE&amp;creator=factset&amp;display_string=Audit"}</definedName>
    <definedName name="_665__FDSAUDITLINK__" hidden="1">{"fdsup://Directions/FactSet Auditing Viewer?action=AUDIT_VALUE&amp;DB=129&amp;ID1=96683710&amp;VALUEID=02999&amp;SDATE=201002&amp;PERIODTYPE=QTR_STD&amp;window=popup_no_bar&amp;width=385&amp;height=120&amp;START_MAXIMIZED=FALSE&amp;creator=factset&amp;display_string=Audit"}</definedName>
    <definedName name="_666__FDSAUDITLINK__" hidden="1">{"fdsup://Directions/FactSet Auditing Viewer?action=AUDIT_VALUE&amp;DB=129&amp;ID1=96945710&amp;VALUEID=02999&amp;SDATE=201001&amp;PERIODTYPE=QTR_STD&amp;window=popup_no_bar&amp;width=385&amp;height=120&amp;START_MAXIMIZED=FALSE&amp;creator=factset&amp;display_string=Audit"}</definedName>
    <definedName name="_667__FDSAUDITLINK__" hidden="1">{"fdsup://Directions/FactSet Auditing Viewer?action=AUDIT_VALUE&amp;DB=129&amp;ID1=96950F10&amp;VALUEID=02999&amp;SDATE=201001&amp;PERIODTYPE=QTR_STD&amp;window=popup_no_bar&amp;width=385&amp;height=120&amp;START_MAXIMIZED=FALSE&amp;creator=factset&amp;display_string=Audit"}</definedName>
    <definedName name="_668__FDSAUDITLINK__" hidden="1">{"fdsup://Directions/FactSet Auditing Viewer?action=AUDIT_VALUE&amp;DB=129&amp;ID1=97381W10&amp;VALUEID=02999&amp;SDATE=201001&amp;PERIODTYPE=QTR_STD&amp;window=popup_no_bar&amp;width=385&amp;height=120&amp;START_MAXIMIZED=FALSE&amp;creator=factset&amp;display_string=Audit"}</definedName>
    <definedName name="_669__FDSAUDITLINK__" hidden="1">{"fdsup://Directions/FactSet Auditing Viewer?action=AUDIT_VALUE&amp;DB=129&amp;ID1=98310W10&amp;VALUEID=02999&amp;SDATE=201001&amp;PERIODTYPE=QTR_STD&amp;window=popup_no_bar&amp;width=385&amp;height=120&amp;START_MAXIMIZED=FALSE&amp;creator=factset&amp;display_string=Audit"}</definedName>
    <definedName name="_67__FDSAUDITLINK__" hidden="1">{"fdsup://Directions/FactSet Auditing Viewer?action=AUDIT_VALUE&amp;DB=129&amp;ID1=07589610&amp;VALUEID=02999&amp;SDATE=201001&amp;PERIODTYPE=QTR_STD&amp;window=popup_no_bar&amp;width=385&amp;height=120&amp;START_MAXIMIZED=FALSE&amp;creator=factset&amp;display_string=Audit"}</definedName>
    <definedName name="_670__FDSAUDITLINK__" hidden="1">{"fdsup://Directions/FactSet Auditing Viewer?action=AUDIT_VALUE&amp;DB=129&amp;ID1=98313410&amp;VALUEID=02999&amp;SDATE=201001&amp;PERIODTYPE=QTR_STD&amp;window=popup_no_bar&amp;width=385&amp;height=120&amp;START_MAXIMIZED=FALSE&amp;creator=factset&amp;display_string=Audit"}</definedName>
    <definedName name="_671__FDSAUDITLINK__" hidden="1">{"fdsup://Directions/FactSet Auditing Viewer?action=AUDIT_VALUE&amp;DB=129&amp;ID1=98385710&amp;VALUEID=02999&amp;SDATE=201001&amp;PERIODTYPE=QTR_STD&amp;window=popup_no_bar&amp;width=385&amp;height=120&amp;START_MAXIMIZED=FALSE&amp;creator=factset&amp;display_string=Audit"}</definedName>
    <definedName name="_672__FDSAUDITLINK__" hidden="1">{"fdsup://Directions/FactSet Auditing Viewer?action=AUDIT_VALUE&amp;DB=129&amp;ID1=98416J10&amp;VALUEID=02999&amp;SDATE=201001&amp;PERIODTYPE=QTR_STD&amp;window=popup_no_bar&amp;width=385&amp;height=120&amp;START_MAXIMIZED=FALSE&amp;creator=factset&amp;display_string=Audit"}</definedName>
    <definedName name="_673__FDSAUDITLINK__" hidden="1">{"fdsup://Directions/FactSet Auditing Viewer?action=AUDIT_VALUE&amp;DB=129&amp;ID1=98412110&amp;VALUEID=02999&amp;SDATE=201001&amp;PERIODTYPE=QTR_STD&amp;window=popup_no_bar&amp;width=385&amp;height=120&amp;START_MAXIMIZED=FALSE&amp;creator=factset&amp;display_string=Audit"}</definedName>
    <definedName name="_674__FDSAUDITLINK__" hidden="1">{"fdsup://Directions/FactSet Auditing Viewer?action=AUDIT_VALUE&amp;DB=129&amp;ID1=98385X10&amp;VALUEID=02999&amp;SDATE=201001&amp;PERIODTYPE=QTR_STD&amp;window=popup_no_bar&amp;width=385&amp;height=120&amp;START_MAXIMIZED=FALSE&amp;creator=factset&amp;display_string=Audit"}</definedName>
    <definedName name="_675__FDSAUDITLINK__" hidden="1">{"fdsup://Directions/FactSet Auditing Viewer?action=AUDIT_VALUE&amp;DB=129&amp;ID1=98424910&amp;VALUEID=02999&amp;SDATE=201001&amp;PERIODTYPE=QTR_STD&amp;window=popup_no_bar&amp;width=385&amp;height=120&amp;START_MAXIMIZED=FALSE&amp;creator=factset&amp;display_string=Audit"}</definedName>
    <definedName name="_676__FDSAUDITLINK__" hidden="1">{"fdsup://Directions/FactSet Auditing Viewer?action=AUDIT_VALUE&amp;DB=129&amp;ID1=98849810&amp;VALUEID=02999&amp;SDATE=201001&amp;PERIODTYPE=QTR_STD&amp;window=popup_no_bar&amp;width=385&amp;height=120&amp;START_MAXIMIZED=FALSE&amp;creator=factset&amp;display_string=Audit"}</definedName>
    <definedName name="_677__FDSAUDITLINK__" hidden="1">{"fdsup://IBCentral/FAT Viewer?action=UPDATE&amp;creator=factset&amp;DOC_NAME=fat:reuters_qtrly_source_window.fat&amp;display_string=Audit&amp;DYN_ARGS=TRUE&amp;VAR:ID1=60054410&amp;VAR:RCODE=LTLL&amp;VAR:SDATE=20081199&amp;VAR:FREQ=DAILY&amp;VAR:RELITEM=&amp;VAR:CURRENCY=&amp;VAR:CURRSOURCE=EXSHARE&amp;","VAR:NATFREQ=QUARTERLY&amp;VAR:RFIELD=FINALIZED&amp;VAR:DB_TYPE=&amp;VAR:UNITS=M&amp;window=popup&amp;width=450&amp;height=300&amp;START_MAXIMIZED=FALSE"}</definedName>
    <definedName name="_678__FDSAUDITLINK__" hidden="1">{"fdsup://IBCentral/FAT Viewer?action=UPDATE&amp;creator=factset&amp;DOC_NAME=fat:reuters_qtrly_source_window.fat&amp;display_string=Audit&amp;DYN_ARGS=TRUE&amp;VAR:ID1=60054410&amp;VAR:RCODE=LTCL&amp;VAR:SDATE=20081199&amp;VAR:FREQ=DAILY&amp;VAR:RELITEM=&amp;VAR:CURRENCY=&amp;VAR:CURRSOURCE=EXSHARE&amp;","VAR:NATFREQ=QUARTERLY&amp;VAR:RFIELD=FINALIZED&amp;VAR:DB_TYPE=&amp;VAR:UNITS=M&amp;window=popup&amp;width=450&amp;height=300&amp;START_MAXIMIZED=FALSE"}</definedName>
    <definedName name="_679__FDSAUDITLINK__" hidden="1">{"fdsup://IBCentral/FAT Viewer?action=UPDATE&amp;creator=factset&amp;DOC_NAME=fat:reuters_qtrly_source_window.fat&amp;display_string=Audit&amp;DYN_ARGS=TRUE&amp;VAR:ID1=60054410&amp;VAR:RCODE=ATCA&amp;VAR:SDATE=20081199&amp;VAR:FREQ=DAILY&amp;VAR:RELITEM=&amp;VAR:CURRENCY=&amp;VAR:CURRSOURCE=EXSHARE&amp;","VAR:NATFREQ=QUARTERLY&amp;VAR:RFIELD=FINALIZED&amp;VAR:DB_TYPE=&amp;VAR:UNITS=M&amp;window=popup&amp;width=450&amp;height=300&amp;START_MAXIMIZED=FALSE"}</definedName>
    <definedName name="_68__FDSAUDITLINK__" hidden="1">{"fdsup://Directions/FactSet Auditing Viewer?action=AUDIT_VALUE&amp;DB=129&amp;ID1=07745410&amp;VALUEID=02999&amp;SDATE=201001&amp;PERIODTYPE=QTR_STD&amp;window=popup_no_bar&amp;width=385&amp;height=120&amp;START_MAXIMIZED=FALSE&amp;creator=factset&amp;display_string=Audit"}</definedName>
    <definedName name="_680__FDSAUDITLINK__" hidden="1">{"fdsup://IBCentral/FAT Viewer?action=UPDATE&amp;creator=factset&amp;DOC_NAME=fat:reuters_qtrly_source_window.fat&amp;display_string=Audit&amp;DYN_ARGS=TRUE&amp;VAR:ID1=60054410&amp;VAR:RCODE=ATOT&amp;VAR:SDATE=20081199&amp;VAR:FREQ=DAILY&amp;VAR:RELITEM=&amp;VAR:CURRENCY=&amp;VAR:CURRSOURCE=EXSHARE&amp;","VAR:NATFREQ=QUARTERLY&amp;VAR:RFIELD=FINALIZED&amp;VAR:DB_TYPE=&amp;VAR:UNITS=M&amp;window=popup&amp;width=450&amp;height=300&amp;START_MAXIMIZED=FALSE"}</definedName>
    <definedName name="_681__FDSAUDITLINK__" hidden="1">{"fdsup://IBCentral/FAT Viewer?action=UPDATE&amp;creator=factset&amp;DOC_NAME=fat:reuters_qtrly_source_window.fat&amp;display_string=Audit&amp;DYN_ARGS=TRUE&amp;VAR:ID1=41805610&amp;VAR:RCODE=LTLL&amp;VAR:SDATE=20081299&amp;VAR:FREQ=DAILY&amp;VAR:RELITEM=&amp;VAR:CURRENCY=&amp;VAR:CURRSOURCE=EXSHARE&amp;","VAR:NATFREQ=QUARTERLY&amp;VAR:RFIELD=FINALIZED&amp;VAR:DB_TYPE=&amp;VAR:UNITS=M&amp;window=popup&amp;width=450&amp;height=300&amp;START_MAXIMIZED=FALSE"}</definedName>
    <definedName name="_682__FDSAUDITLINK__" hidden="1">{"fdsup://IBCentral/FAT Viewer?action=UPDATE&amp;creator=factset&amp;DOC_NAME=fat:reuters_qtrly_source_window.fat&amp;display_string=Audit&amp;DYN_ARGS=TRUE&amp;VAR:ID1=41805610&amp;VAR:RCODE=LTCL&amp;VAR:SDATE=20081299&amp;VAR:FREQ=DAILY&amp;VAR:RELITEM=&amp;VAR:CURRENCY=&amp;VAR:CURRSOURCE=EXSHARE&amp;","VAR:NATFREQ=QUARTERLY&amp;VAR:RFIELD=FINALIZED&amp;VAR:DB_TYPE=&amp;VAR:UNITS=M&amp;window=popup&amp;width=450&amp;height=300&amp;START_MAXIMIZED=FALSE"}</definedName>
    <definedName name="_683__FDSAUDITLINK__" hidden="1">{"fdsup://IBCentral/FAT Viewer?action=UPDATE&amp;creator=factset&amp;DOC_NAME=fat:reuters_qtrly_source_window.fat&amp;display_string=Audit&amp;DYN_ARGS=TRUE&amp;VAR:ID1=41805610&amp;VAR:RCODE=ATCA&amp;VAR:SDATE=20081299&amp;VAR:FREQ=DAILY&amp;VAR:RELITEM=&amp;VAR:CURRENCY=&amp;VAR:CURRSOURCE=EXSHARE&amp;","VAR:NATFREQ=QUARTERLY&amp;VAR:RFIELD=FINALIZED&amp;VAR:DB_TYPE=&amp;VAR:UNITS=M&amp;window=popup&amp;width=450&amp;height=300&amp;START_MAXIMIZED=FALSE"}</definedName>
    <definedName name="_684__FDSAUDITLINK__" hidden="1">{"fdsup://IBCentral/FAT Viewer?action=UPDATE&amp;creator=factset&amp;DOC_NAME=fat:reuters_qtrly_source_window.fat&amp;display_string=Audit&amp;DYN_ARGS=TRUE&amp;VAR:ID1=41805610&amp;VAR:RCODE=ATOT&amp;VAR:SDATE=20081299&amp;VAR:FREQ=DAILY&amp;VAR:RELITEM=&amp;VAR:CURRENCY=&amp;VAR:CURRSOURCE=EXSHARE&amp;","VAR:NATFREQ=QUARTERLY&amp;VAR:RFIELD=FINALIZED&amp;VAR:DB_TYPE=&amp;VAR:UNITS=M&amp;window=popup&amp;width=450&amp;height=300&amp;START_MAXIMIZED=FALSE"}</definedName>
    <definedName name="_685__FDSAUDITLINK__" hidden="1">{"fdsup://IBCentral/FAT Viewer?action=UPDATE&amp;creator=factset&amp;DOC_NAME=fat:reuters_qtrly_source_window.fat&amp;display_string=Audit&amp;DYN_ARGS=TRUE&amp;VAR:ID1=39116410&amp;VAR:RCODE=LTLL&amp;VAR:SDATE=20081299&amp;VAR:FREQ=DAILY&amp;VAR:RELITEM=&amp;VAR:CURRENCY=&amp;VAR:CURRSOURCE=EXSHARE&amp;","VAR:NATFREQ=QUARTERLY&amp;VAR:RFIELD=FINALIZED&amp;VAR:DB_TYPE=&amp;VAR:UNITS=M&amp;window=popup&amp;width=450&amp;height=300&amp;START_MAXIMIZED=FALSE"}</definedName>
    <definedName name="_686__FDSAUDITLINK__" hidden="1">{"fdsup://IBCentral/FAT Viewer?action=UPDATE&amp;creator=factset&amp;DOC_NAME=fat:reuters_qtrly_source_window.fat&amp;display_string=Audit&amp;DYN_ARGS=TRUE&amp;VAR:ID1=39116410&amp;VAR:RCODE=LTCL&amp;VAR:SDATE=20081299&amp;VAR:FREQ=DAILY&amp;VAR:RELITEM=&amp;VAR:CURRENCY=&amp;VAR:CURRSOURCE=EXSHARE&amp;","VAR:NATFREQ=QUARTERLY&amp;VAR:RFIELD=FINALIZED&amp;VAR:DB_TYPE=&amp;VAR:UNITS=M&amp;window=popup&amp;width=450&amp;height=300&amp;START_MAXIMIZED=FALSE"}</definedName>
    <definedName name="_687__FDSAUDITLINK__" hidden="1">{"fdsup://IBCentral/FAT Viewer?action=UPDATE&amp;creator=factset&amp;DOC_NAME=fat:reuters_qtrly_source_window.fat&amp;display_string=Audit&amp;DYN_ARGS=TRUE&amp;VAR:ID1=39116410&amp;VAR:RCODE=ATCA&amp;VAR:SDATE=20081299&amp;VAR:FREQ=DAILY&amp;VAR:RELITEM=&amp;VAR:CURRENCY=&amp;VAR:CURRSOURCE=EXSHARE&amp;","VAR:NATFREQ=QUARTERLY&amp;VAR:RFIELD=FINALIZED&amp;VAR:DB_TYPE=&amp;VAR:UNITS=M&amp;window=popup&amp;width=450&amp;height=300&amp;START_MAXIMIZED=FALSE"}</definedName>
    <definedName name="_688__FDSAUDITLINK__" hidden="1">{"fdsup://IBCentral/FAT Viewer?action=UPDATE&amp;creator=factset&amp;DOC_NAME=fat:reuters_qtrly_source_window.fat&amp;display_string=Audit&amp;DYN_ARGS=TRUE&amp;VAR:ID1=39116410&amp;VAR:RCODE=ATOT&amp;VAR:SDATE=20081299&amp;VAR:FREQ=DAILY&amp;VAR:RELITEM=&amp;VAR:CURRENCY=&amp;VAR:CURRSOURCE=EXSHARE&amp;","VAR:NATFREQ=QUARTERLY&amp;VAR:RFIELD=FINALIZED&amp;VAR:DB_TYPE=&amp;VAR:UNITS=M&amp;window=popup&amp;width=450&amp;height=300&amp;START_MAXIMIZED=FALSE"}</definedName>
    <definedName name="_689__FDSAUDITLINK__" hidden="1">{"fdsup://IBCentral/FAT Viewer?action=UPDATE&amp;creator=factset&amp;DOC_NAME=fat:reuters_qtrly_source_window.fat&amp;display_string=Audit&amp;DYN_ARGS=TRUE&amp;VAR:ID1=38238810&amp;VAR:RCODE=LTLL&amp;VAR:SDATE=20081299&amp;VAR:FREQ=DAILY&amp;VAR:RELITEM=&amp;VAR:CURRENCY=&amp;VAR:CURRSOURCE=EXSHARE&amp;","VAR:NATFREQ=QUARTERLY&amp;VAR:RFIELD=FINALIZED&amp;VAR:DB_TYPE=&amp;VAR:UNITS=M&amp;window=popup&amp;width=450&amp;height=300&amp;START_MAXIMIZED=FALSE"}</definedName>
    <definedName name="_69__FDSAUDITLINK__" hidden="1">{"fdsup://Directions/FactSet Auditing Viewer?action=AUDIT_VALUE&amp;DB=129&amp;ID1=08055510&amp;VALUEID=02999&amp;SDATE=201001&amp;PERIODTYPE=QTR_STD&amp;window=popup_no_bar&amp;width=385&amp;height=120&amp;START_MAXIMIZED=FALSE&amp;creator=factset&amp;display_string=Audit"}</definedName>
    <definedName name="_690__FDSAUDITLINK__" hidden="1">{"fdsup://IBCentral/FAT Viewer?action=UPDATE&amp;creator=factset&amp;DOC_NAME=fat:reuters_qtrly_source_window.fat&amp;display_string=Audit&amp;DYN_ARGS=TRUE&amp;VAR:ID1=38238810&amp;VAR:RCODE=LTCL&amp;VAR:SDATE=20081299&amp;VAR:FREQ=DAILY&amp;VAR:RELITEM=&amp;VAR:CURRENCY=&amp;VAR:CURRSOURCE=EXSHARE&amp;","VAR:NATFREQ=QUARTERLY&amp;VAR:RFIELD=FINALIZED&amp;VAR:DB_TYPE=&amp;VAR:UNITS=M&amp;window=popup&amp;width=450&amp;height=300&amp;START_MAXIMIZED=FALSE"}</definedName>
    <definedName name="_691__FDSAUDITLINK__" hidden="1">{"fdsup://IBCentral/FAT Viewer?action=UPDATE&amp;creator=factset&amp;DOC_NAME=fat:reuters_qtrly_source_window.fat&amp;display_string=Audit&amp;DYN_ARGS=TRUE&amp;VAR:ID1=38238810&amp;VAR:RCODE=ATCA&amp;VAR:SDATE=20081299&amp;VAR:FREQ=DAILY&amp;VAR:RELITEM=&amp;VAR:CURRENCY=&amp;VAR:CURRSOURCE=EXSHARE&amp;","VAR:NATFREQ=QUARTERLY&amp;VAR:RFIELD=FINALIZED&amp;VAR:DB_TYPE=&amp;VAR:UNITS=M&amp;window=popup&amp;width=450&amp;height=300&amp;START_MAXIMIZED=FALSE"}</definedName>
    <definedName name="_692__FDSAUDITLINK__" hidden="1">{"fdsup://IBCentral/FAT Viewer?action=UPDATE&amp;creator=factset&amp;DOC_NAME=fat:reuters_qtrly_source_window.fat&amp;display_string=Audit&amp;DYN_ARGS=TRUE&amp;VAR:ID1=38238810&amp;VAR:RCODE=ATOT&amp;VAR:SDATE=20081299&amp;VAR:FREQ=DAILY&amp;VAR:RELITEM=&amp;VAR:CURRENCY=&amp;VAR:CURRSOURCE=EXSHARE&amp;","VAR:NATFREQ=QUARTERLY&amp;VAR:RFIELD=FINALIZED&amp;VAR:DB_TYPE=&amp;VAR:UNITS=M&amp;window=popup&amp;width=450&amp;height=300&amp;START_MAXIMIZED=FALSE"}</definedName>
    <definedName name="_693__FDSAUDITLINK__" hidden="1">{"fdsup://IBCentral/FAT Viewer?action=UPDATE&amp;creator=factset&amp;DOC_NAME=fat:reuters_qtrly_source_window.fat&amp;display_string=Audit&amp;DYN_ARGS=TRUE&amp;VAR:ID1=36473010&amp;VAR:RCODE=LTLL&amp;VAR:SDATE=20081299&amp;VAR:FREQ=DAILY&amp;VAR:RELITEM=&amp;VAR:CURRENCY=&amp;VAR:CURRSOURCE=EXSHARE&amp;","VAR:NATFREQ=QUARTERLY&amp;VAR:RFIELD=FINALIZED&amp;VAR:DB_TYPE=&amp;VAR:UNITS=M&amp;window=popup&amp;width=450&amp;height=300&amp;START_MAXIMIZED=FALSE"}</definedName>
    <definedName name="_694__FDSAUDITLINK__" hidden="1">{"fdsup://IBCentral/FAT Viewer?action=UPDATE&amp;creator=factset&amp;DOC_NAME=fat:reuters_qtrly_source_window.fat&amp;display_string=Audit&amp;DYN_ARGS=TRUE&amp;VAR:ID1=36473010&amp;VAR:RCODE=LTCL&amp;VAR:SDATE=20081299&amp;VAR:FREQ=DAILY&amp;VAR:RELITEM=&amp;VAR:CURRENCY=&amp;VAR:CURRSOURCE=EXSHARE&amp;","VAR:NATFREQ=QUARTERLY&amp;VAR:RFIELD=FINALIZED&amp;VAR:DB_TYPE=&amp;VAR:UNITS=M&amp;window=popup&amp;width=450&amp;height=300&amp;START_MAXIMIZED=FALSE"}</definedName>
    <definedName name="_695__FDSAUDITLINK__" hidden="1">{"fdsup://IBCentral/FAT Viewer?action=UPDATE&amp;creator=factset&amp;DOC_NAME=fat:reuters_qtrly_source_window.fat&amp;display_string=Audit&amp;DYN_ARGS=TRUE&amp;VAR:ID1=36473010&amp;VAR:RCODE=ATCA&amp;VAR:SDATE=20081299&amp;VAR:FREQ=DAILY&amp;VAR:RELITEM=&amp;VAR:CURRENCY=&amp;VAR:CURRSOURCE=EXSHARE&amp;","VAR:NATFREQ=QUARTERLY&amp;VAR:RFIELD=FINALIZED&amp;VAR:DB_TYPE=&amp;VAR:UNITS=M&amp;window=popup&amp;width=450&amp;height=300&amp;START_MAXIMIZED=FALSE"}</definedName>
    <definedName name="_696__FDSAUDITLINK__" hidden="1">{"fdsup://IBCentral/FAT Viewer?action=UPDATE&amp;creator=factset&amp;DOC_NAME=fat:reuters_qtrly_source_window.fat&amp;display_string=Audit&amp;DYN_ARGS=TRUE&amp;VAR:ID1=36473010&amp;VAR:RCODE=ATOT&amp;VAR:SDATE=20081299&amp;VAR:FREQ=DAILY&amp;VAR:RELITEM=&amp;VAR:CURRENCY=&amp;VAR:CURRSOURCE=EXSHARE&amp;","VAR:NATFREQ=QUARTERLY&amp;VAR:RFIELD=FINALIZED&amp;VAR:DB_TYPE=&amp;VAR:UNITS=M&amp;window=popup&amp;width=450&amp;height=300&amp;START_MAXIMIZED=FALSE"}</definedName>
    <definedName name="_697__FDSAUDITLINK__" hidden="1">{"fdsup://IBCentral/FAT Viewer?action=UPDATE&amp;creator=factset&amp;DOC_NAME=fat:reuters_qtrly_source_window.fat&amp;display_string=Audit&amp;DYN_ARGS=TRUE&amp;VAR:ID1=34963110&amp;VAR:RCODE=LTLL&amp;VAR:SDATE=20081299&amp;VAR:FREQ=DAILY&amp;VAR:RELITEM=&amp;VAR:CURRENCY=&amp;VAR:CURRSOURCE=EXSHARE&amp;","VAR:NATFREQ=QUARTERLY&amp;VAR:RFIELD=FINALIZED&amp;VAR:DB_TYPE=&amp;VAR:UNITS=M&amp;window=popup&amp;width=450&amp;height=300&amp;START_MAXIMIZED=FALSE"}</definedName>
    <definedName name="_698__FDSAUDITLINK__" hidden="1">{"fdsup://IBCentral/FAT Viewer?action=UPDATE&amp;creator=factset&amp;DOC_NAME=fat:reuters_qtrly_source_window.fat&amp;display_string=Audit&amp;DYN_ARGS=TRUE&amp;VAR:ID1=34963110&amp;VAR:RCODE=LTCL&amp;VAR:SDATE=20081299&amp;VAR:FREQ=DAILY&amp;VAR:RELITEM=&amp;VAR:CURRENCY=&amp;VAR:CURRSOURCE=EXSHARE&amp;","VAR:NATFREQ=QUARTERLY&amp;VAR:RFIELD=FINALIZED&amp;VAR:DB_TYPE=&amp;VAR:UNITS=M&amp;window=popup&amp;width=450&amp;height=300&amp;START_MAXIMIZED=FALSE"}</definedName>
    <definedName name="_699__FDSAUDITLINK__" hidden="1">{"fdsup://IBCentral/FAT Viewer?action=UPDATE&amp;creator=factset&amp;DOC_NAME=fat:reuters_qtrly_source_window.fat&amp;display_string=Audit&amp;DYN_ARGS=TRUE&amp;VAR:ID1=34963110&amp;VAR:RCODE=ATCA&amp;VAR:SDATE=20081299&amp;VAR:FREQ=DAILY&amp;VAR:RELITEM=&amp;VAR:CURRENCY=&amp;VAR:CURRSOURCE=EXSHARE&amp;","VAR:NATFREQ=QUARTERLY&amp;VAR:RFIELD=FINALIZED&amp;VAR:DB_TYPE=&amp;VAR:UNITS=M&amp;window=popup&amp;width=450&amp;height=300&amp;START_MAXIMIZED=FALSE"}</definedName>
    <definedName name="_6IQ_CURRENCY_GAIN_INS" hidden="1">"c238"</definedName>
    <definedName name="_7__FDSAUDITLINK__" hidden="1">{"fdsup://Directions/FactSet Auditing Viewer?action=AUDIT_VALUE&amp;DB=129&amp;ID1=B13MST&amp;VALUEID=02999&amp;SDATE=200903&amp;PERIODTYPE=QTR_STD&amp;window=popup_no_bar&amp;width=385&amp;height=120&amp;START_MAXIMIZED=FALSE&amp;creator=factset&amp;display_string=Audit"}</definedName>
    <definedName name="_7_0__123Grap" hidden="1">'[1]Comp. Transaction'!#REF!</definedName>
    <definedName name="_70__FDSAUDITLINK__" hidden="1">{"fdsup://Directions/FactSet Auditing Viewer?action=AUDIT_VALUE&amp;DB=129&amp;ID1=08143710&amp;VALUEID=02999&amp;SDATE=201001&amp;PERIODTYPE=QTR_STD&amp;window=popup_no_bar&amp;width=385&amp;height=120&amp;START_MAXIMIZED=FALSE&amp;creator=factset&amp;display_string=Audit"}</definedName>
    <definedName name="_700__FDSAUDITLINK__" hidden="1">{"fdsup://IBCentral/FAT Viewer?action=UPDATE&amp;creator=factset&amp;DOC_NAME=fat:reuters_qtrly_source_window.fat&amp;display_string=Audit&amp;DYN_ARGS=TRUE&amp;VAR:ID1=34963110&amp;VAR:RCODE=ATOT&amp;VAR:SDATE=20081299&amp;VAR:FREQ=DAILY&amp;VAR:RELITEM=&amp;VAR:CURRENCY=&amp;VAR:CURRSOURCE=EXSHARE&amp;","VAR:NATFREQ=QUARTERLY&amp;VAR:RFIELD=FINALIZED&amp;VAR:DB_TYPE=&amp;VAR:UNITS=M&amp;window=popup&amp;width=450&amp;height=300&amp;START_MAXIMIZED=FALSE"}</definedName>
    <definedName name="_701__FDSAUDITLINK__" hidden="1">{"fdsup://IBCentral/FAT Viewer?action=UPDATE&amp;creator=factset&amp;DOC_NAME=fat:reuters_qtrly_source_window.fat&amp;display_string=Audit&amp;DYN_ARGS=TRUE&amp;VAR:ID1=30249130&amp;VAR:RCODE=LTLL&amp;VAR:SDATE=20081299&amp;VAR:FREQ=DAILY&amp;VAR:RELITEM=&amp;VAR:CURRENCY=&amp;VAR:CURRSOURCE=EXSHARE&amp;","VAR:NATFREQ=QUARTERLY&amp;VAR:RFIELD=FINALIZED&amp;VAR:DB_TYPE=&amp;VAR:UNITS=M&amp;window=popup&amp;width=450&amp;height=300&amp;START_MAXIMIZED=FALSE"}</definedName>
    <definedName name="_702__FDSAUDITLINK__" hidden="1">{"fdsup://IBCentral/FAT Viewer?action=UPDATE&amp;creator=factset&amp;DOC_NAME=fat:reuters_qtrly_source_window.fat&amp;display_string=Audit&amp;DYN_ARGS=TRUE&amp;VAR:ID1=30249130&amp;VAR:RCODE=LTCL&amp;VAR:SDATE=20081299&amp;VAR:FREQ=DAILY&amp;VAR:RELITEM=&amp;VAR:CURRENCY=&amp;VAR:CURRSOURCE=EXSHARE&amp;","VAR:NATFREQ=QUARTERLY&amp;VAR:RFIELD=FINALIZED&amp;VAR:DB_TYPE=&amp;VAR:UNITS=M&amp;window=popup&amp;width=450&amp;height=300&amp;START_MAXIMIZED=FALSE"}</definedName>
    <definedName name="_703__FDSAUDITLINK__" hidden="1">{"fdsup://IBCentral/FAT Viewer?action=UPDATE&amp;creator=factset&amp;DOC_NAME=fat:reuters_qtrly_source_window.fat&amp;display_string=Audit&amp;DYN_ARGS=TRUE&amp;VAR:ID1=30249130&amp;VAR:RCODE=ATCA&amp;VAR:SDATE=20081299&amp;VAR:FREQ=DAILY&amp;VAR:RELITEM=&amp;VAR:CURRENCY=&amp;VAR:CURRSOURCE=EXSHARE&amp;","VAR:NATFREQ=QUARTERLY&amp;VAR:RFIELD=FINALIZED&amp;VAR:DB_TYPE=&amp;VAR:UNITS=M&amp;window=popup&amp;width=450&amp;height=300&amp;START_MAXIMIZED=FALSE"}</definedName>
    <definedName name="_704__FDSAUDITLINK__" hidden="1">{"fdsup://IBCentral/FAT Viewer?action=UPDATE&amp;creator=factset&amp;DOC_NAME=fat:reuters_qtrly_source_window.fat&amp;display_string=Audit&amp;DYN_ARGS=TRUE&amp;VAR:ID1=30249130&amp;VAR:RCODE=ATOT&amp;VAR:SDATE=20081299&amp;VAR:FREQ=DAILY&amp;VAR:RELITEM=&amp;VAR:CURRENCY=&amp;VAR:CURRSOURCE=EXSHARE&amp;","VAR:NATFREQ=QUARTERLY&amp;VAR:RFIELD=FINALIZED&amp;VAR:DB_TYPE=&amp;VAR:UNITS=M&amp;window=popup&amp;width=450&amp;height=300&amp;START_MAXIMIZED=FALSE"}</definedName>
    <definedName name="_705__FDSAUDITLINK__" hidden="1">{"fdsup://IBCentral/FAT Viewer?action=UPDATE&amp;creator=factset&amp;DOC_NAME=fat:reuters_qtrly_source_window.fat&amp;display_string=Audit&amp;DYN_ARGS=TRUE&amp;VAR:ID1=34349810&amp;VAR:RCODE=LTLL&amp;VAR:SDATE=20081299&amp;VAR:FREQ=DAILY&amp;VAR:RELITEM=&amp;VAR:CURRENCY=&amp;VAR:CURRSOURCE=EXSHARE&amp;","VAR:NATFREQ=QUARTERLY&amp;VAR:RFIELD=FINALIZED&amp;VAR:DB_TYPE=&amp;VAR:UNITS=M&amp;window=popup&amp;width=450&amp;height=300&amp;START_MAXIMIZED=FALSE"}</definedName>
    <definedName name="_706__FDSAUDITLINK__" hidden="1">{"fdsup://IBCentral/FAT Viewer?action=UPDATE&amp;creator=factset&amp;DOC_NAME=fat:reuters_qtrly_source_window.fat&amp;display_string=Audit&amp;DYN_ARGS=TRUE&amp;VAR:ID1=34349810&amp;VAR:RCODE=LTCL&amp;VAR:SDATE=20081299&amp;VAR:FREQ=DAILY&amp;VAR:RELITEM=&amp;VAR:CURRENCY=&amp;VAR:CURRSOURCE=EXSHARE&amp;","VAR:NATFREQ=QUARTERLY&amp;VAR:RFIELD=FINALIZED&amp;VAR:DB_TYPE=&amp;VAR:UNITS=M&amp;window=popup&amp;width=450&amp;height=300&amp;START_MAXIMIZED=FALSE"}</definedName>
    <definedName name="_707__FDSAUDITLINK__" hidden="1">{"fdsup://IBCentral/FAT Viewer?action=UPDATE&amp;creator=factset&amp;DOC_NAME=fat:reuters_qtrly_source_window.fat&amp;display_string=Audit&amp;DYN_ARGS=TRUE&amp;VAR:ID1=34349810&amp;VAR:RCODE=ATCA&amp;VAR:SDATE=20081299&amp;VAR:FREQ=DAILY&amp;VAR:RELITEM=&amp;VAR:CURRENCY=&amp;VAR:CURRSOURCE=EXSHARE&amp;","VAR:NATFREQ=QUARTERLY&amp;VAR:RFIELD=FINALIZED&amp;VAR:DB_TYPE=&amp;VAR:UNITS=M&amp;window=popup&amp;width=450&amp;height=300&amp;START_MAXIMIZED=FALSE"}</definedName>
    <definedName name="_708__FDSAUDITLINK__" hidden="1">{"fdsup://IBCentral/FAT Viewer?action=UPDATE&amp;creator=factset&amp;DOC_NAME=fat:reuters_qtrly_source_window.fat&amp;display_string=Audit&amp;DYN_ARGS=TRUE&amp;VAR:ID1=34349810&amp;VAR:RCODE=ATOT&amp;VAR:SDATE=20081299&amp;VAR:FREQ=DAILY&amp;VAR:RELITEM=&amp;VAR:CURRENCY=&amp;VAR:CURRSOURCE=EXSHARE&amp;","VAR:NATFREQ=QUARTERLY&amp;VAR:RFIELD=FINALIZED&amp;VAR:DB_TYPE=&amp;VAR:UNITS=M&amp;window=popup&amp;width=450&amp;height=300&amp;START_MAXIMIZED=FALSE"}</definedName>
    <definedName name="_709__FDSAUDITLINK__" hidden="1">{"fdsup://IBCentral/FAT Viewer?action=UPDATE&amp;creator=factset&amp;DOC_NAME=fat:reuters_qtrly_source_window.fat&amp;display_string=Audit&amp;DYN_ARGS=TRUE&amp;VAR:ID1=33773810&amp;VAR:RCODE=LTLL&amp;VAR:SDATE=20081299&amp;VAR:FREQ=DAILY&amp;VAR:RELITEM=&amp;VAR:CURRENCY=&amp;VAR:CURRSOURCE=EXSHARE&amp;","VAR:NATFREQ=QUARTERLY&amp;VAR:RFIELD=FINALIZED&amp;VAR:DB_TYPE=&amp;VAR:UNITS=M&amp;window=popup&amp;width=450&amp;height=300&amp;START_MAXIMIZED=FALSE"}</definedName>
    <definedName name="_71__FDSAUDITLINK__" hidden="1">{"fdsup://Directions/FactSet Auditing Viewer?action=AUDIT_VALUE&amp;DB=129&amp;ID1=08160H10&amp;VALUEID=02999&amp;SDATE=201001&amp;PERIODTYPE=QTR_STD&amp;window=popup_no_bar&amp;width=385&amp;height=120&amp;START_MAXIMIZED=FALSE&amp;creator=factset&amp;display_string=Audit"}</definedName>
    <definedName name="_710__FDSAUDITLINK__" hidden="1">{"fdsup://IBCentral/FAT Viewer?action=UPDATE&amp;creator=factset&amp;DOC_NAME=fat:reuters_qtrly_source_window.fat&amp;display_string=Audit&amp;DYN_ARGS=TRUE&amp;VAR:ID1=33773810&amp;VAR:RCODE=LTCL&amp;VAR:SDATE=20081299&amp;VAR:FREQ=DAILY&amp;VAR:RELITEM=&amp;VAR:CURRENCY=&amp;VAR:CURRSOURCE=EXSHARE&amp;","VAR:NATFREQ=QUARTERLY&amp;VAR:RFIELD=FINALIZED&amp;VAR:DB_TYPE=&amp;VAR:UNITS=M&amp;window=popup&amp;width=450&amp;height=300&amp;START_MAXIMIZED=FALSE"}</definedName>
    <definedName name="_711__FDSAUDITLINK__" hidden="1">{"fdsup://IBCentral/FAT Viewer?action=UPDATE&amp;creator=factset&amp;DOC_NAME=fat:reuters_qtrly_source_window.fat&amp;display_string=Audit&amp;DYN_ARGS=TRUE&amp;VAR:ID1=33773810&amp;VAR:RCODE=ATCA&amp;VAR:SDATE=20081299&amp;VAR:FREQ=DAILY&amp;VAR:RELITEM=&amp;VAR:CURRENCY=&amp;VAR:CURRSOURCE=EXSHARE&amp;","VAR:NATFREQ=QUARTERLY&amp;VAR:RFIELD=FINALIZED&amp;VAR:DB_TYPE=&amp;VAR:UNITS=M&amp;window=popup&amp;width=450&amp;height=300&amp;START_MAXIMIZED=FALSE"}</definedName>
    <definedName name="_712__FDSAUDITLINK__" hidden="1">{"fdsup://IBCentral/FAT Viewer?action=UPDATE&amp;creator=factset&amp;DOC_NAME=fat:reuters_qtrly_source_window.fat&amp;display_string=Audit&amp;DYN_ARGS=TRUE&amp;VAR:ID1=33773810&amp;VAR:RCODE=ATOT&amp;VAR:SDATE=20081299&amp;VAR:FREQ=DAILY&amp;VAR:RELITEM=&amp;VAR:CURRENCY=&amp;VAR:CURRSOURCE=EXSHARE&amp;","VAR:NATFREQ=QUARTERLY&amp;VAR:RFIELD=FINALIZED&amp;VAR:DB_TYPE=&amp;VAR:UNITS=M&amp;window=popup&amp;width=450&amp;height=300&amp;START_MAXIMIZED=FALSE"}</definedName>
    <definedName name="_713__FDSAUDITLINK__" hidden="1">{"fdsup://IBCentral/FAT Viewer?action=UPDATE&amp;creator=factset&amp;DOC_NAME=fat:reuters_qtrly_source_window.fat&amp;display_string=Audit&amp;DYN_ARGS=TRUE&amp;VAR:ID1=31428X10&amp;VAR:RCODE=LTLL&amp;VAR:SDATE=20081199&amp;VAR:FREQ=DAILY&amp;VAR:RELITEM=&amp;VAR:CURRENCY=&amp;VAR:CURRSOURCE=EXSHARE&amp;","VAR:NATFREQ=QUARTERLY&amp;VAR:RFIELD=FINALIZED&amp;VAR:DB_TYPE=&amp;VAR:UNITS=M&amp;window=popup&amp;width=450&amp;height=300&amp;START_MAXIMIZED=FALSE"}</definedName>
    <definedName name="_714__FDSAUDITLINK__" hidden="1">{"fdsup://IBCentral/FAT Viewer?action=UPDATE&amp;creator=factset&amp;DOC_NAME=fat:reuters_qtrly_source_window.fat&amp;display_string=Audit&amp;DYN_ARGS=TRUE&amp;VAR:ID1=31428X10&amp;VAR:RCODE=LTCL&amp;VAR:SDATE=20081199&amp;VAR:FREQ=DAILY&amp;VAR:RELITEM=&amp;VAR:CURRENCY=&amp;VAR:CURRSOURCE=EXSHARE&amp;","VAR:NATFREQ=QUARTERLY&amp;VAR:RFIELD=FINALIZED&amp;VAR:DB_TYPE=&amp;VAR:UNITS=M&amp;window=popup&amp;width=450&amp;height=300&amp;START_MAXIMIZED=FALSE"}</definedName>
    <definedName name="_715__FDSAUDITLINK__" hidden="1">{"fdsup://IBCentral/FAT Viewer?action=UPDATE&amp;creator=factset&amp;DOC_NAME=fat:reuters_qtrly_source_window.fat&amp;display_string=Audit&amp;DYN_ARGS=TRUE&amp;VAR:ID1=31428X10&amp;VAR:RCODE=ATCA&amp;VAR:SDATE=20081199&amp;VAR:FREQ=DAILY&amp;VAR:RELITEM=&amp;VAR:CURRENCY=&amp;VAR:CURRSOURCE=EXSHARE&amp;","VAR:NATFREQ=QUARTERLY&amp;VAR:RFIELD=FINALIZED&amp;VAR:DB_TYPE=&amp;VAR:UNITS=M&amp;window=popup&amp;width=450&amp;height=300&amp;START_MAXIMIZED=FALSE"}</definedName>
    <definedName name="_716__FDSAUDITLINK__" hidden="1">{"fdsup://IBCentral/FAT Viewer?action=UPDATE&amp;creator=factset&amp;DOC_NAME=fat:reuters_qtrly_source_window.fat&amp;display_string=Audit&amp;DYN_ARGS=TRUE&amp;VAR:ID1=31428X10&amp;VAR:RCODE=ATOT&amp;VAR:SDATE=20081199&amp;VAR:FREQ=DAILY&amp;VAR:RELITEM=&amp;VAR:CURRENCY=&amp;VAR:CURRSOURCE=EXSHARE&amp;","VAR:NATFREQ=QUARTERLY&amp;VAR:RFIELD=FINALIZED&amp;VAR:DB_TYPE=&amp;VAR:UNITS=M&amp;window=popup&amp;width=450&amp;height=300&amp;START_MAXIMIZED=FALSE"}</definedName>
    <definedName name="_717__FDSAUDITLINK__" hidden="1">{"fdsup://IBCentral/FAT Viewer?action=UPDATE&amp;creator=factset&amp;DOC_NAME=fat:reuters_qtrly_source_window.fat&amp;display_string=Audit&amp;DYN_ARGS=TRUE&amp;VAR:ID1=29164110&amp;VAR:RCODE=LTLL&amp;VAR:SDATE=20081299&amp;VAR:FREQ=DAILY&amp;VAR:RELITEM=&amp;VAR:CURRENCY=&amp;VAR:CURRSOURCE=EXSHARE&amp;","VAR:NATFREQ=QUARTERLY&amp;VAR:RFIELD=FINALIZED&amp;VAR:DB_TYPE=&amp;VAR:UNITS=M&amp;window=popup&amp;width=450&amp;height=300&amp;START_MAXIMIZED=FALSE"}</definedName>
    <definedName name="_718__FDSAUDITLINK__" hidden="1">{"fdsup://IBCentral/FAT Viewer?action=UPDATE&amp;creator=factset&amp;DOC_NAME=fat:reuters_qtrly_source_window.fat&amp;display_string=Audit&amp;DYN_ARGS=TRUE&amp;VAR:ID1=29164110&amp;VAR:RCODE=LTCL&amp;VAR:SDATE=20081299&amp;VAR:FREQ=DAILY&amp;VAR:RELITEM=&amp;VAR:CURRENCY=&amp;VAR:CURRSOURCE=EXSHARE&amp;","VAR:NATFREQ=QUARTERLY&amp;VAR:RFIELD=FINALIZED&amp;VAR:DB_TYPE=&amp;VAR:UNITS=M&amp;window=popup&amp;width=450&amp;height=300&amp;START_MAXIMIZED=FALSE"}</definedName>
    <definedName name="_719__FDSAUDITLINK__" hidden="1">{"fdsup://IBCentral/FAT Viewer?action=UPDATE&amp;creator=factset&amp;DOC_NAME=fat:reuters_qtrly_source_window.fat&amp;display_string=Audit&amp;DYN_ARGS=TRUE&amp;VAR:ID1=29164110&amp;VAR:RCODE=ATCA&amp;VAR:SDATE=20081299&amp;VAR:FREQ=DAILY&amp;VAR:RELITEM=&amp;VAR:CURRENCY=&amp;VAR:CURRSOURCE=EXSHARE&amp;","VAR:NATFREQ=QUARTERLY&amp;VAR:RFIELD=FINALIZED&amp;VAR:DB_TYPE=&amp;VAR:UNITS=M&amp;window=popup&amp;width=450&amp;height=300&amp;START_MAXIMIZED=FALSE"}</definedName>
    <definedName name="_72__FDSAUDITLINK__" hidden="1">{"fdsup://Directions/FactSet Auditing Viewer?action=AUDIT_VALUE&amp;DB=129&amp;ID1=08578910&amp;VALUEID=02999&amp;SDATE=201001&amp;PERIODTYPE=QTR_STD&amp;window=popup_no_bar&amp;width=385&amp;height=120&amp;START_MAXIMIZED=FALSE&amp;creator=factset&amp;display_string=Audit"}</definedName>
    <definedName name="_720__FDSAUDITLINK__" hidden="1">{"fdsup://IBCentral/FAT Viewer?action=UPDATE&amp;creator=factset&amp;DOC_NAME=fat:reuters_qtrly_source_window.fat&amp;display_string=Audit&amp;DYN_ARGS=TRUE&amp;VAR:ID1=29164110&amp;VAR:RCODE=ATOT&amp;VAR:SDATE=20081299&amp;VAR:FREQ=DAILY&amp;VAR:RELITEM=&amp;VAR:CURRENCY=&amp;VAR:CURRSOURCE=EXSHARE&amp;","VAR:NATFREQ=QUARTERLY&amp;VAR:RFIELD=FINALIZED&amp;VAR:DB_TYPE=&amp;VAR:UNITS=M&amp;window=popup&amp;width=450&amp;height=300&amp;START_MAXIMIZED=FALSE"}</definedName>
    <definedName name="_721__FDSAUDITLINK__" hidden="1">{"fdsup://IBCentral/FAT Viewer?action=UPDATE&amp;creator=factset&amp;DOC_NAME=fat:reuters_qtrly_source_window.fat&amp;display_string=Audit&amp;DYN_ARGS=TRUE&amp;VAR:ID1=28367785&amp;VAR:RCODE=LTLL&amp;VAR:SDATE=20081299&amp;VAR:FREQ=DAILY&amp;VAR:RELITEM=&amp;VAR:CURRENCY=&amp;VAR:CURRSOURCE=EXSHARE&amp;","VAR:NATFREQ=QUARTERLY&amp;VAR:RFIELD=FINALIZED&amp;VAR:DB_TYPE=&amp;VAR:UNITS=M&amp;window=popup&amp;width=450&amp;height=300&amp;START_MAXIMIZED=FALSE"}</definedName>
    <definedName name="_722__FDSAUDITLINK__" hidden="1">{"fdsup://IBCentral/FAT Viewer?action=UPDATE&amp;creator=factset&amp;DOC_NAME=fat:reuters_qtrly_source_window.fat&amp;display_string=Audit&amp;DYN_ARGS=TRUE&amp;VAR:ID1=28367785&amp;VAR:RCODE=LTCL&amp;VAR:SDATE=20081299&amp;VAR:FREQ=DAILY&amp;VAR:RELITEM=&amp;VAR:CURRENCY=&amp;VAR:CURRSOURCE=EXSHARE&amp;","VAR:NATFREQ=QUARTERLY&amp;VAR:RFIELD=FINALIZED&amp;VAR:DB_TYPE=&amp;VAR:UNITS=M&amp;window=popup&amp;width=450&amp;height=300&amp;START_MAXIMIZED=FALSE"}</definedName>
    <definedName name="_723__FDSAUDITLINK__" hidden="1">{"fdsup://IBCentral/FAT Viewer?action=UPDATE&amp;creator=factset&amp;DOC_NAME=fat:reuters_qtrly_source_window.fat&amp;display_string=Audit&amp;DYN_ARGS=TRUE&amp;VAR:ID1=28367785&amp;VAR:RCODE=ATCA&amp;VAR:SDATE=20081299&amp;VAR:FREQ=DAILY&amp;VAR:RELITEM=&amp;VAR:CURRENCY=&amp;VAR:CURRSOURCE=EXSHARE&amp;","VAR:NATFREQ=QUARTERLY&amp;VAR:RFIELD=FINALIZED&amp;VAR:DB_TYPE=&amp;VAR:UNITS=M&amp;window=popup&amp;width=450&amp;height=300&amp;START_MAXIMIZED=FALSE"}</definedName>
    <definedName name="_724__FDSAUDITLINK__" hidden="1">{"fdsup://IBCentral/FAT Viewer?action=UPDATE&amp;creator=factset&amp;DOC_NAME=fat:reuters_qtrly_source_window.fat&amp;display_string=Audit&amp;DYN_ARGS=TRUE&amp;VAR:ID1=28367785&amp;VAR:RCODE=ATOT&amp;VAR:SDATE=20081299&amp;VAR:FREQ=DAILY&amp;VAR:RELITEM=&amp;VAR:CURRENCY=&amp;VAR:CURRSOURCE=EXSHARE&amp;","VAR:NATFREQ=QUARTERLY&amp;VAR:RFIELD=FINALIZED&amp;VAR:DB_TYPE=&amp;VAR:UNITS=M&amp;window=popup&amp;width=450&amp;height=300&amp;START_MAXIMIZED=FALSE"}</definedName>
    <definedName name="_725__FDSAUDITLINK__" hidden="1">{"fdsup://IBCentral/FAT Viewer?action=UPDATE&amp;creator=factset&amp;DOC_NAME=fat:reuters_qtrly_source_window.fat&amp;display_string=Audit&amp;DYN_ARGS=TRUE&amp;VAR:ID1=28102010&amp;VAR:RCODE=LTLL&amp;VAR:SDATE=20081299&amp;VAR:FREQ=DAILY&amp;VAR:RELITEM=&amp;VAR:CURRENCY=&amp;VAR:CURRSOURCE=EXSHARE&amp;","VAR:NATFREQ=QUARTERLY&amp;VAR:RFIELD=FINALIZED&amp;VAR:DB_TYPE=&amp;VAR:UNITS=M&amp;window=popup&amp;width=450&amp;height=300&amp;START_MAXIMIZED=FALSE"}</definedName>
    <definedName name="_726__FDSAUDITLINK__" hidden="1">{"fdsup://IBCentral/FAT Viewer?action=UPDATE&amp;creator=factset&amp;DOC_NAME=fat:reuters_qtrly_source_window.fat&amp;display_string=Audit&amp;DYN_ARGS=TRUE&amp;VAR:ID1=28102010&amp;VAR:RCODE=LTCL&amp;VAR:SDATE=20081299&amp;VAR:FREQ=DAILY&amp;VAR:RELITEM=&amp;VAR:CURRENCY=&amp;VAR:CURRSOURCE=EXSHARE&amp;","VAR:NATFREQ=QUARTERLY&amp;VAR:RFIELD=FINALIZED&amp;VAR:DB_TYPE=&amp;VAR:UNITS=M&amp;window=popup&amp;width=450&amp;height=300&amp;START_MAXIMIZED=FALSE"}</definedName>
    <definedName name="_727__FDSAUDITLINK__" hidden="1">{"fdsup://IBCentral/FAT Viewer?action=UPDATE&amp;creator=factset&amp;DOC_NAME=fat:reuters_qtrly_source_window.fat&amp;display_string=Audit&amp;DYN_ARGS=TRUE&amp;VAR:ID1=28102010&amp;VAR:RCODE=ATCA&amp;VAR:SDATE=20081299&amp;VAR:FREQ=DAILY&amp;VAR:RELITEM=&amp;VAR:CURRENCY=&amp;VAR:CURRSOURCE=EXSHARE&amp;","VAR:NATFREQ=QUARTERLY&amp;VAR:RFIELD=FINALIZED&amp;VAR:DB_TYPE=&amp;VAR:UNITS=M&amp;window=popup&amp;width=450&amp;height=300&amp;START_MAXIMIZED=FALSE"}</definedName>
    <definedName name="_728__FDSAUDITLINK__" hidden="1">{"fdsup://IBCentral/FAT Viewer?action=UPDATE&amp;creator=factset&amp;DOC_NAME=fat:reuters_qtrly_source_window.fat&amp;display_string=Audit&amp;DYN_ARGS=TRUE&amp;VAR:ID1=28102010&amp;VAR:RCODE=ATOT&amp;VAR:SDATE=20081299&amp;VAR:FREQ=DAILY&amp;VAR:RELITEM=&amp;VAR:CURRENCY=&amp;VAR:CURRSOURCE=EXSHARE&amp;","VAR:NATFREQ=QUARTERLY&amp;VAR:RFIELD=FINALIZED&amp;VAR:DB_TYPE=&amp;VAR:UNITS=M&amp;window=popup&amp;width=450&amp;height=300&amp;START_MAXIMIZED=FALSE"}</definedName>
    <definedName name="_729__FDSAUDITLINK__" hidden="1">{"fdsup://IBCentral/FAT Viewer?action=UPDATE&amp;creator=factset&amp;DOC_NAME=fat:reuters_qtrly_source_window.fat&amp;display_string=Audit&amp;DYN_ARGS=TRUE&amp;VAR:ID1=27743210&amp;VAR:RCODE=LTLL&amp;VAR:SDATE=20081299&amp;VAR:FREQ=DAILY&amp;VAR:RELITEM=&amp;VAR:CURRENCY=&amp;VAR:CURRSOURCE=EXSHARE&amp;","VAR:NATFREQ=QUARTERLY&amp;VAR:RFIELD=FINALIZED&amp;VAR:DB_TYPE=&amp;VAR:UNITS=M&amp;window=popup&amp;width=450&amp;height=300&amp;START_MAXIMIZED=FALSE"}</definedName>
    <definedName name="_73__FDSAUDITLINK__" hidden="1">{"fdsup://Directions/FactSet Auditing Viewer?action=AUDIT_VALUE&amp;DB=129&amp;ID1=08651610&amp;VALUEID=02999&amp;SDATE=201001&amp;PERIODTYPE=QTR_STD&amp;window=popup_no_bar&amp;width=385&amp;height=120&amp;START_MAXIMIZED=FALSE&amp;creator=factset&amp;display_string=Audit"}</definedName>
    <definedName name="_730__FDSAUDITLINK__" hidden="1">{"fdsup://IBCentral/FAT Viewer?action=UPDATE&amp;creator=factset&amp;DOC_NAME=fat:reuters_qtrly_source_window.fat&amp;display_string=Audit&amp;DYN_ARGS=TRUE&amp;VAR:ID1=27743210&amp;VAR:RCODE=LTCL&amp;VAR:SDATE=20081299&amp;VAR:FREQ=DAILY&amp;VAR:RELITEM=&amp;VAR:CURRENCY=&amp;VAR:CURRSOURCE=EXSHARE&amp;","VAR:NATFREQ=QUARTERLY&amp;VAR:RFIELD=FINALIZED&amp;VAR:DB_TYPE=&amp;VAR:UNITS=M&amp;window=popup&amp;width=450&amp;height=300&amp;START_MAXIMIZED=FALSE"}</definedName>
    <definedName name="_731__FDSAUDITLINK__" hidden="1">{"fdsup://IBCentral/FAT Viewer?action=UPDATE&amp;creator=factset&amp;DOC_NAME=fat:reuters_qtrly_source_window.fat&amp;display_string=Audit&amp;DYN_ARGS=TRUE&amp;VAR:ID1=27743210&amp;VAR:RCODE=ATCA&amp;VAR:SDATE=20081299&amp;VAR:FREQ=DAILY&amp;VAR:RELITEM=&amp;VAR:CURRENCY=&amp;VAR:CURRSOURCE=EXSHARE&amp;","VAR:NATFREQ=QUARTERLY&amp;VAR:RFIELD=FINALIZED&amp;VAR:DB_TYPE=&amp;VAR:UNITS=M&amp;window=popup&amp;width=450&amp;height=300&amp;START_MAXIMIZED=FALSE"}</definedName>
    <definedName name="_732__FDSAUDITLINK__" hidden="1">{"fdsup://IBCentral/FAT Viewer?action=UPDATE&amp;creator=factset&amp;DOC_NAME=fat:reuters_qtrly_source_window.fat&amp;display_string=Audit&amp;DYN_ARGS=TRUE&amp;VAR:ID1=27743210&amp;VAR:RCODE=ATOT&amp;VAR:SDATE=20081299&amp;VAR:FREQ=DAILY&amp;VAR:RELITEM=&amp;VAR:CURRENCY=&amp;VAR:CURRSOURCE=EXSHARE&amp;","VAR:NATFREQ=QUARTERLY&amp;VAR:RFIELD=FINALIZED&amp;VAR:DB_TYPE=&amp;VAR:UNITS=M&amp;window=popup&amp;width=450&amp;height=300&amp;START_MAXIMIZED=FALSE"}</definedName>
    <definedName name="_733__FDSAUDITLINK__" hidden="1">{"fdsup://IBCentral/FAT Viewer?action=UPDATE&amp;creator=factset&amp;DOC_NAME=fat:reuters_qtrly_source_window.fat&amp;display_string=Audit&amp;DYN_ARGS=TRUE&amp;VAR:ID1=26441C10&amp;VAR:RCODE=LTLL&amp;VAR:SDATE=20081299&amp;VAR:FREQ=DAILY&amp;VAR:RELITEM=&amp;VAR:CURRENCY=&amp;VAR:CURRSOURCE=EXSHARE&amp;","VAR:NATFREQ=QUARTERLY&amp;VAR:RFIELD=FINALIZED&amp;VAR:DB_TYPE=&amp;VAR:UNITS=M&amp;window=popup&amp;width=450&amp;height=300&amp;START_MAXIMIZED=FALSE"}</definedName>
    <definedName name="_734__FDSAUDITLINK__" hidden="1">{"fdsup://IBCentral/FAT Viewer?action=UPDATE&amp;creator=factset&amp;DOC_NAME=fat:reuters_qtrly_source_window.fat&amp;display_string=Audit&amp;DYN_ARGS=TRUE&amp;VAR:ID1=26441C10&amp;VAR:RCODE=LTCL&amp;VAR:SDATE=20081299&amp;VAR:FREQ=DAILY&amp;VAR:RELITEM=&amp;VAR:CURRENCY=&amp;VAR:CURRSOURCE=EXSHARE&amp;","VAR:NATFREQ=QUARTERLY&amp;VAR:RFIELD=FINALIZED&amp;VAR:DB_TYPE=&amp;VAR:UNITS=M&amp;window=popup&amp;width=450&amp;height=300&amp;START_MAXIMIZED=FALSE"}</definedName>
    <definedName name="_735__FDSAUDITLINK__" hidden="1">{"fdsup://IBCentral/FAT Viewer?action=UPDATE&amp;creator=factset&amp;DOC_NAME=fat:reuters_qtrly_source_window.fat&amp;display_string=Audit&amp;DYN_ARGS=TRUE&amp;VAR:ID1=26441C10&amp;VAR:RCODE=ATCA&amp;VAR:SDATE=20081299&amp;VAR:FREQ=DAILY&amp;VAR:RELITEM=&amp;VAR:CURRENCY=&amp;VAR:CURRSOURCE=EXSHARE&amp;","VAR:NATFREQ=QUARTERLY&amp;VAR:RFIELD=FINALIZED&amp;VAR:DB_TYPE=&amp;VAR:UNITS=M&amp;window=popup&amp;width=450&amp;height=300&amp;START_MAXIMIZED=FALSE"}</definedName>
    <definedName name="_736__FDSAUDITLINK__" hidden="1">{"fdsup://IBCentral/FAT Viewer?action=UPDATE&amp;creator=factset&amp;DOC_NAME=fat:reuters_qtrly_source_window.fat&amp;display_string=Audit&amp;DYN_ARGS=TRUE&amp;VAR:ID1=26441C10&amp;VAR:RCODE=ATOT&amp;VAR:SDATE=20081299&amp;VAR:FREQ=DAILY&amp;VAR:RELITEM=&amp;VAR:CURRENCY=&amp;VAR:CURRSOURCE=EXSHARE&amp;","VAR:NATFREQ=QUARTERLY&amp;VAR:RFIELD=FINALIZED&amp;VAR:DB_TYPE=&amp;VAR:UNITS=M&amp;window=popup&amp;width=450&amp;height=300&amp;START_MAXIMIZED=FALSE"}</definedName>
    <definedName name="_737__FDSAUDITLINK__" hidden="1">{"fdsup://IBCentral/FAT Viewer?action=UPDATE&amp;creator=factset&amp;DOC_NAME=fat:reuters_qtrly_source_window.fat&amp;display_string=Audit&amp;DYN_ARGS=TRUE&amp;VAR:ID1=23333110&amp;VAR:RCODE=LTLL&amp;VAR:SDATE=20081299&amp;VAR:FREQ=DAILY&amp;VAR:RELITEM=&amp;VAR:CURRENCY=&amp;VAR:CURRSOURCE=EXSHARE&amp;","VAR:NATFREQ=QUARTERLY&amp;VAR:RFIELD=FINALIZED&amp;VAR:DB_TYPE=&amp;VAR:UNITS=M&amp;window=popup&amp;width=450&amp;height=300&amp;START_MAXIMIZED=FALSE"}</definedName>
    <definedName name="_738__FDSAUDITLINK__" hidden="1">{"fdsup://IBCentral/FAT Viewer?action=UPDATE&amp;creator=factset&amp;DOC_NAME=fat:reuters_qtrly_source_window.fat&amp;display_string=Audit&amp;DYN_ARGS=TRUE&amp;VAR:ID1=23333110&amp;VAR:RCODE=LTCL&amp;VAR:SDATE=20081299&amp;VAR:FREQ=DAILY&amp;VAR:RELITEM=&amp;VAR:CURRENCY=&amp;VAR:CURRSOURCE=EXSHARE&amp;","VAR:NATFREQ=QUARTERLY&amp;VAR:RFIELD=FINALIZED&amp;VAR:DB_TYPE=&amp;VAR:UNITS=M&amp;window=popup&amp;width=450&amp;height=300&amp;START_MAXIMIZED=FALSE"}</definedName>
    <definedName name="_739__FDSAUDITLINK__" hidden="1">{"fdsup://IBCentral/FAT Viewer?action=UPDATE&amp;creator=factset&amp;DOC_NAME=fat:reuters_qtrly_source_window.fat&amp;display_string=Audit&amp;DYN_ARGS=TRUE&amp;VAR:ID1=23333110&amp;VAR:RCODE=ATCA&amp;VAR:SDATE=20081299&amp;VAR:FREQ=DAILY&amp;VAR:RELITEM=&amp;VAR:CURRENCY=&amp;VAR:CURRSOURCE=EXSHARE&amp;","VAR:NATFREQ=QUARTERLY&amp;VAR:RFIELD=FINALIZED&amp;VAR:DB_TYPE=&amp;VAR:UNITS=M&amp;window=popup&amp;width=450&amp;height=300&amp;START_MAXIMIZED=FALSE"}</definedName>
    <definedName name="_74__FDSAUDITLINK__" hidden="1">{"fdsup://Directions/FactSet Auditing Viewer?action=AUDIT_VALUE&amp;DB=129&amp;ID1=08930210&amp;VALUEID=02999&amp;SDATE=201001&amp;PERIODTYPE=QTR_STD&amp;window=popup_no_bar&amp;width=385&amp;height=120&amp;START_MAXIMIZED=FALSE&amp;creator=factset&amp;display_string=Audit"}</definedName>
    <definedName name="_740__FDSAUDITLINK__" hidden="1">{"fdsup://IBCentral/FAT Viewer?action=UPDATE&amp;creator=factset&amp;DOC_NAME=fat:reuters_qtrly_source_window.fat&amp;display_string=Audit&amp;DYN_ARGS=TRUE&amp;VAR:ID1=23333110&amp;VAR:RCODE=ATOT&amp;VAR:SDATE=20081299&amp;VAR:FREQ=DAILY&amp;VAR:RELITEM=&amp;VAR:CURRENCY=&amp;VAR:CURRSOURCE=EXSHARE&amp;","VAR:NATFREQ=QUARTERLY&amp;VAR:RFIELD=FINALIZED&amp;VAR:DB_TYPE=&amp;VAR:UNITS=M&amp;window=popup&amp;width=450&amp;height=300&amp;START_MAXIMIZED=FALSE"}</definedName>
    <definedName name="_741__FDSAUDITLINK__" hidden="1">{"fdsup://IBCentral/FAT Viewer?action=UPDATE&amp;creator=factset&amp;DOC_NAME=fat:reuters_qtrly_source_window.fat&amp;display_string=Audit&amp;DYN_ARGS=TRUE&amp;VAR:ID1=23329310&amp;VAR:RCODE=LTLL&amp;VAR:SDATE=20081299&amp;VAR:FREQ=DAILY&amp;VAR:RELITEM=&amp;VAR:CURRENCY=&amp;VAR:CURRSOURCE=EXSHARE&amp;","VAR:NATFREQ=QUARTERLY&amp;VAR:RFIELD=FINALIZED&amp;VAR:DB_TYPE=&amp;VAR:UNITS=M&amp;window=popup&amp;width=450&amp;height=300&amp;START_MAXIMIZED=FALSE"}</definedName>
    <definedName name="_742__FDSAUDITLINK__" hidden="1">{"fdsup://IBCentral/FAT Viewer?action=UPDATE&amp;creator=factset&amp;DOC_NAME=fat:reuters_qtrly_source_window.fat&amp;display_string=Audit&amp;DYN_ARGS=TRUE&amp;VAR:ID1=23329310&amp;VAR:RCODE=LTCL&amp;VAR:SDATE=20081299&amp;VAR:FREQ=DAILY&amp;VAR:RELITEM=&amp;VAR:CURRENCY=&amp;VAR:CURRSOURCE=EXSHARE&amp;","VAR:NATFREQ=QUARTERLY&amp;VAR:RFIELD=FINALIZED&amp;VAR:DB_TYPE=&amp;VAR:UNITS=M&amp;window=popup&amp;width=450&amp;height=300&amp;START_MAXIMIZED=FALSE"}</definedName>
    <definedName name="_743__FDSAUDITLINK__" hidden="1">{"fdsup://IBCentral/FAT Viewer?action=UPDATE&amp;creator=factset&amp;DOC_NAME=fat:reuters_qtrly_source_window.fat&amp;display_string=Audit&amp;DYN_ARGS=TRUE&amp;VAR:ID1=23329310&amp;VAR:RCODE=ATCA&amp;VAR:SDATE=20081299&amp;VAR:FREQ=DAILY&amp;VAR:RELITEM=&amp;VAR:CURRENCY=&amp;VAR:CURRSOURCE=EXSHARE&amp;","VAR:NATFREQ=QUARTERLY&amp;VAR:RFIELD=FINALIZED&amp;VAR:DB_TYPE=&amp;VAR:UNITS=M&amp;window=popup&amp;width=450&amp;height=300&amp;START_MAXIMIZED=FALSE"}</definedName>
    <definedName name="_744__FDSAUDITLINK__" hidden="1">{"fdsup://IBCentral/FAT Viewer?action=UPDATE&amp;creator=factset&amp;DOC_NAME=fat:reuters_qtrly_source_window.fat&amp;display_string=Audit&amp;DYN_ARGS=TRUE&amp;VAR:ID1=23329310&amp;VAR:RCODE=ATOT&amp;VAR:SDATE=20081299&amp;VAR:FREQ=DAILY&amp;VAR:RELITEM=&amp;VAR:CURRENCY=&amp;VAR:CURRSOURCE=EXSHARE&amp;","VAR:NATFREQ=QUARTERLY&amp;VAR:RFIELD=FINALIZED&amp;VAR:DB_TYPE=&amp;VAR:UNITS=M&amp;window=popup&amp;width=450&amp;height=300&amp;START_MAXIMIZED=FALSE"}</definedName>
    <definedName name="_745__FDSAUDITLINK__" hidden="1">{"fdsup://IBCentral/FAT Viewer?action=UPDATE&amp;creator=factset&amp;DOC_NAME=fat:reuters_qtrly_source_window.fat&amp;display_string=Audit&amp;DYN_ARGS=TRUE&amp;VAR:ID1=25746U10&amp;VAR:RCODE=LTLL&amp;VAR:SDATE=20081299&amp;VAR:FREQ=DAILY&amp;VAR:RELITEM=&amp;VAR:CURRENCY=&amp;VAR:CURRSOURCE=EXSHARE&amp;","VAR:NATFREQ=QUARTERLY&amp;VAR:RFIELD=FINALIZED&amp;VAR:DB_TYPE=&amp;VAR:UNITS=M&amp;window=popup&amp;width=450&amp;height=300&amp;START_MAXIMIZED=FALSE"}</definedName>
    <definedName name="_746__FDSAUDITLINK__" hidden="1">{"fdsup://IBCentral/FAT Viewer?action=UPDATE&amp;creator=factset&amp;DOC_NAME=fat:reuters_qtrly_source_window.fat&amp;display_string=Audit&amp;DYN_ARGS=TRUE&amp;VAR:ID1=25746U10&amp;VAR:RCODE=LTCL&amp;VAR:SDATE=20081299&amp;VAR:FREQ=DAILY&amp;VAR:RELITEM=&amp;VAR:CURRENCY=&amp;VAR:CURRSOURCE=EXSHARE&amp;","VAR:NATFREQ=QUARTERLY&amp;VAR:RFIELD=FINALIZED&amp;VAR:DB_TYPE=&amp;VAR:UNITS=M&amp;window=popup&amp;width=450&amp;height=300&amp;START_MAXIMIZED=FALSE"}</definedName>
    <definedName name="_747__FDSAUDITLINK__" hidden="1">{"fdsup://IBCentral/FAT Viewer?action=UPDATE&amp;creator=factset&amp;DOC_NAME=fat:reuters_qtrly_source_window.fat&amp;display_string=Audit&amp;DYN_ARGS=TRUE&amp;VAR:ID1=25746U10&amp;VAR:RCODE=ATCA&amp;VAR:SDATE=20081299&amp;VAR:FREQ=DAILY&amp;VAR:RELITEM=&amp;VAR:CURRENCY=&amp;VAR:CURRSOURCE=EXSHARE&amp;","VAR:NATFREQ=QUARTERLY&amp;VAR:RFIELD=FINALIZED&amp;VAR:DB_TYPE=&amp;VAR:UNITS=M&amp;window=popup&amp;width=450&amp;height=300&amp;START_MAXIMIZED=FALSE"}</definedName>
    <definedName name="_748__FDSAUDITLINK__" hidden="1">{"fdsup://IBCentral/FAT Viewer?action=UPDATE&amp;creator=factset&amp;DOC_NAME=fat:reuters_qtrly_source_window.fat&amp;display_string=Audit&amp;DYN_ARGS=TRUE&amp;VAR:ID1=25746U10&amp;VAR:RCODE=ATOT&amp;VAR:SDATE=20081299&amp;VAR:FREQ=DAILY&amp;VAR:RELITEM=&amp;VAR:CURRENCY=&amp;VAR:CURRSOURCE=EXSHARE&amp;","VAR:NATFREQ=QUARTERLY&amp;VAR:RFIELD=FINALIZED&amp;VAR:DB_TYPE=&amp;VAR:UNITS=M&amp;window=popup&amp;width=450&amp;height=300&amp;START_MAXIMIZED=FALSE"}</definedName>
    <definedName name="_749__FDSAUDITLINK__" hidden="1">{"fdsup://IBCentral/FAT Viewer?action=UPDATE&amp;creator=factset&amp;DOC_NAME=fat:reuters_qtrly_source_window.fat&amp;display_string=Audit&amp;DYN_ARGS=TRUE&amp;VAR:ID1=12665010&amp;VAR:RCODE=LTLL&amp;VAR:SDATE=20081299&amp;VAR:FREQ=DAILY&amp;VAR:RELITEM=&amp;VAR:CURRENCY=&amp;VAR:CURRSOURCE=EXSHARE&amp;","VAR:NATFREQ=QUARTERLY&amp;VAR:RFIELD=FINALIZED&amp;VAR:DB_TYPE=&amp;VAR:UNITS=M&amp;window=popup&amp;width=450&amp;height=300&amp;START_MAXIMIZED=FALSE"}</definedName>
    <definedName name="_75__FDSAUDITLINK__" hidden="1">{"fdsup://Directions/FactSet Auditing Viewer?action=AUDIT_VALUE&amp;DB=129&amp;ID1=06846N10&amp;VALUEID=02999&amp;SDATE=201001&amp;PERIODTYPE=QTR_STD&amp;window=popup_no_bar&amp;width=385&amp;height=120&amp;START_MAXIMIZED=FALSE&amp;creator=factset&amp;display_string=Audit"}</definedName>
    <definedName name="_750__FDSAUDITLINK__" hidden="1">{"fdsup://IBCentral/FAT Viewer?action=UPDATE&amp;creator=factset&amp;DOC_NAME=fat:reuters_qtrly_source_window.fat&amp;display_string=Audit&amp;DYN_ARGS=TRUE&amp;VAR:ID1=12665010&amp;VAR:RCODE=LTCL&amp;VAR:SDATE=20081299&amp;VAR:FREQ=DAILY&amp;VAR:RELITEM=&amp;VAR:CURRENCY=&amp;VAR:CURRSOURCE=EXSHARE&amp;","VAR:NATFREQ=QUARTERLY&amp;VAR:RFIELD=FINALIZED&amp;VAR:DB_TYPE=&amp;VAR:UNITS=M&amp;window=popup&amp;width=450&amp;height=300&amp;START_MAXIMIZED=FALSE"}</definedName>
    <definedName name="_751__FDSAUDITLINK__" hidden="1">{"fdsup://IBCentral/FAT Viewer?action=UPDATE&amp;creator=factset&amp;DOC_NAME=fat:reuters_qtrly_source_window.fat&amp;display_string=Audit&amp;DYN_ARGS=TRUE&amp;VAR:ID1=12665010&amp;VAR:RCODE=ATCA&amp;VAR:SDATE=20081299&amp;VAR:FREQ=DAILY&amp;VAR:RELITEM=&amp;VAR:CURRENCY=&amp;VAR:CURRSOURCE=EXSHARE&amp;","VAR:NATFREQ=QUARTERLY&amp;VAR:RFIELD=FINALIZED&amp;VAR:DB_TYPE=&amp;VAR:UNITS=M&amp;window=popup&amp;width=450&amp;height=300&amp;START_MAXIMIZED=FALSE"}</definedName>
    <definedName name="_752__FDSAUDITLINK__" hidden="1">{"fdsup://IBCentral/FAT Viewer?action=UPDATE&amp;creator=factset&amp;DOC_NAME=fat:reuters_qtrly_source_window.fat&amp;display_string=Audit&amp;DYN_ARGS=TRUE&amp;VAR:ID1=12665010&amp;VAR:RCODE=ATOT&amp;VAR:SDATE=20081299&amp;VAR:FREQ=DAILY&amp;VAR:RELITEM=&amp;VAR:CURRENCY=&amp;VAR:CURRSOURCE=EXSHARE&amp;","VAR:NATFREQ=QUARTERLY&amp;VAR:RFIELD=FINALIZED&amp;VAR:DB_TYPE=&amp;VAR:UNITS=M&amp;window=popup&amp;width=450&amp;height=300&amp;START_MAXIMIZED=FALSE"}</definedName>
    <definedName name="_753__FDSAUDITLINK__" hidden="1">{"fdsup://IBCentral/FAT Viewer?action=UPDATE&amp;creator=factset&amp;DOC_NAME=fat:reuters_qtrly_source_window.fat&amp;display_string=Audit&amp;DYN_ARGS=TRUE&amp;VAR:ID1=22439910&amp;VAR:RCODE=LTLL&amp;VAR:SDATE=20081299&amp;VAR:FREQ=DAILY&amp;VAR:RELITEM=&amp;VAR:CURRENCY=&amp;VAR:CURRSOURCE=EXSHARE&amp;","VAR:NATFREQ=QUARTERLY&amp;VAR:RFIELD=FINALIZED&amp;VAR:DB_TYPE=&amp;VAR:UNITS=M&amp;window=popup&amp;width=450&amp;height=300&amp;START_MAXIMIZED=FALSE"}</definedName>
    <definedName name="_754__FDSAUDITLINK__" hidden="1">{"fdsup://IBCentral/FAT Viewer?action=UPDATE&amp;creator=factset&amp;DOC_NAME=fat:reuters_qtrly_source_window.fat&amp;display_string=Audit&amp;DYN_ARGS=TRUE&amp;VAR:ID1=22439910&amp;VAR:RCODE=LTCL&amp;VAR:SDATE=20081299&amp;VAR:FREQ=DAILY&amp;VAR:RELITEM=&amp;VAR:CURRENCY=&amp;VAR:CURRSOURCE=EXSHARE&amp;","VAR:NATFREQ=QUARTERLY&amp;VAR:RFIELD=FINALIZED&amp;VAR:DB_TYPE=&amp;VAR:UNITS=M&amp;window=popup&amp;width=450&amp;height=300&amp;START_MAXIMIZED=FALSE"}</definedName>
    <definedName name="_755__FDSAUDITLINK__" hidden="1">{"fdsup://IBCentral/FAT Viewer?action=UPDATE&amp;creator=factset&amp;DOC_NAME=fat:reuters_qtrly_source_window.fat&amp;display_string=Audit&amp;DYN_ARGS=TRUE&amp;VAR:ID1=22439910&amp;VAR:RCODE=ATCA&amp;VAR:SDATE=20081299&amp;VAR:FREQ=DAILY&amp;VAR:RELITEM=&amp;VAR:CURRENCY=&amp;VAR:CURRSOURCE=EXSHARE&amp;","VAR:NATFREQ=QUARTERLY&amp;VAR:RFIELD=FINALIZED&amp;VAR:DB_TYPE=&amp;VAR:UNITS=M&amp;window=popup&amp;width=450&amp;height=300&amp;START_MAXIMIZED=FALSE"}</definedName>
    <definedName name="_756__FDSAUDITLINK__" hidden="1">{"fdsup://IBCentral/FAT Viewer?action=UPDATE&amp;creator=factset&amp;DOC_NAME=fat:reuters_qtrly_source_window.fat&amp;display_string=Audit&amp;DYN_ARGS=TRUE&amp;VAR:ID1=22439910&amp;VAR:RCODE=ATOT&amp;VAR:SDATE=20081299&amp;VAR:FREQ=DAILY&amp;VAR:RELITEM=&amp;VAR:CURRENCY=&amp;VAR:CURRSOURCE=EXSHARE&amp;","VAR:NATFREQ=QUARTERLY&amp;VAR:RFIELD=FINALIZED&amp;VAR:DB_TYPE=&amp;VAR:UNITS=M&amp;window=popup&amp;width=450&amp;height=300&amp;START_MAXIMIZED=FALSE"}</definedName>
    <definedName name="_757__FDSAUDITLINK__" hidden="1">{"fdsup://IBCentral/FAT Viewer?action=UPDATE&amp;creator=factset&amp;DOC_NAME=fat:reuters_qtrly_source_window.fat&amp;display_string=Audit&amp;DYN_ARGS=TRUE&amp;VAR:ID1=21902310&amp;VAR:RCODE=LTLL&amp;VAR:SDATE=20081299&amp;VAR:FREQ=DAILY&amp;VAR:RELITEM=&amp;VAR:CURRENCY=&amp;VAR:CURRSOURCE=EXSHARE&amp;","VAR:NATFREQ=QUARTERLY&amp;VAR:RFIELD=FINALIZED&amp;VAR:DB_TYPE=&amp;VAR:UNITS=M&amp;window=popup&amp;width=450&amp;height=300&amp;START_MAXIMIZED=FALSE"}</definedName>
    <definedName name="_758__FDSAUDITLINK__" hidden="1">{"fdsup://IBCentral/FAT Viewer?action=UPDATE&amp;creator=factset&amp;DOC_NAME=fat:reuters_qtrly_source_window.fat&amp;display_string=Audit&amp;DYN_ARGS=TRUE&amp;VAR:ID1=21902310&amp;VAR:RCODE=LTCL&amp;VAR:SDATE=20081299&amp;VAR:FREQ=DAILY&amp;VAR:RELITEM=&amp;VAR:CURRENCY=&amp;VAR:CURRSOURCE=EXSHARE&amp;","VAR:NATFREQ=QUARTERLY&amp;VAR:RFIELD=FINALIZED&amp;VAR:DB_TYPE=&amp;VAR:UNITS=M&amp;window=popup&amp;width=450&amp;height=300&amp;START_MAXIMIZED=FALSE"}</definedName>
    <definedName name="_759__FDSAUDITLINK__" hidden="1">{"fdsup://IBCentral/FAT Viewer?action=UPDATE&amp;creator=factset&amp;DOC_NAME=fat:reuters_qtrly_source_window.fat&amp;display_string=Audit&amp;DYN_ARGS=TRUE&amp;VAR:ID1=21902310&amp;VAR:RCODE=ATCA&amp;VAR:SDATE=20081299&amp;VAR:FREQ=DAILY&amp;VAR:RELITEM=&amp;VAR:CURRENCY=&amp;VAR:CURRSOURCE=EXSHARE&amp;","VAR:NATFREQ=QUARTERLY&amp;VAR:RFIELD=FINALIZED&amp;VAR:DB_TYPE=&amp;VAR:UNITS=M&amp;window=popup&amp;width=450&amp;height=300&amp;START_MAXIMIZED=FALSE"}</definedName>
    <definedName name="_76__FDSAUDITLINK__" hidden="1">{"fdsup://Directions/FactSet Auditing Viewer?action=AUDIT_VALUE&amp;DB=129&amp;ID1=09057220&amp;VALUEID=02999&amp;SDATE=201001&amp;PERIODTYPE=QTR_STD&amp;window=popup_no_bar&amp;width=385&amp;height=120&amp;START_MAXIMIZED=FALSE&amp;creator=factset&amp;display_string=Audit"}</definedName>
    <definedName name="_760__FDSAUDITLINK__" hidden="1">{"fdsup://IBCentral/FAT Viewer?action=UPDATE&amp;creator=factset&amp;DOC_NAME=fat:reuters_qtrly_source_window.fat&amp;display_string=Audit&amp;DYN_ARGS=TRUE&amp;VAR:ID1=21902310&amp;VAR:RCODE=ATOT&amp;VAR:SDATE=20081299&amp;VAR:FREQ=DAILY&amp;VAR:RELITEM=&amp;VAR:CURRENCY=&amp;VAR:CURRSOURCE=EXSHARE&amp;","VAR:NATFREQ=QUARTERLY&amp;VAR:RFIELD=FINALIZED&amp;VAR:DB_TYPE=&amp;VAR:UNITS=M&amp;window=popup&amp;width=450&amp;height=300&amp;START_MAXIMIZED=FALSE"}</definedName>
    <definedName name="_761__FDSAUDITLINK__" hidden="1">{"fdsup://IBCentral/FAT Viewer?action=UPDATE&amp;creator=factset&amp;DOC_NAME=fat:reuters_qtrly_source_window.fat&amp;display_string=Audit&amp;DYN_ARGS=TRUE&amp;VAR:ID1=20588710&amp;VAR:RCODE=LTLL&amp;VAR:SDATE=20081199&amp;VAR:FREQ=DAILY&amp;VAR:RELITEM=&amp;VAR:CURRENCY=&amp;VAR:CURRSOURCE=EXSHARE&amp;","VAR:NATFREQ=QUARTERLY&amp;VAR:RFIELD=FINALIZED&amp;VAR:DB_TYPE=&amp;VAR:UNITS=M&amp;window=popup&amp;width=450&amp;height=300&amp;START_MAXIMIZED=FALSE"}</definedName>
    <definedName name="_762__FDSAUDITLINK__" hidden="1">{"fdsup://IBCentral/FAT Viewer?action=UPDATE&amp;creator=factset&amp;DOC_NAME=fat:reuters_qtrly_source_window.fat&amp;display_string=Audit&amp;DYN_ARGS=TRUE&amp;VAR:ID1=20588710&amp;VAR:RCODE=LTCL&amp;VAR:SDATE=20081199&amp;VAR:FREQ=DAILY&amp;VAR:RELITEM=&amp;VAR:CURRENCY=&amp;VAR:CURRSOURCE=EXSHARE&amp;","VAR:NATFREQ=QUARTERLY&amp;VAR:RFIELD=FINALIZED&amp;VAR:DB_TYPE=&amp;VAR:UNITS=M&amp;window=popup&amp;width=450&amp;height=300&amp;START_MAXIMIZED=FALSE"}</definedName>
    <definedName name="_763__FDSAUDITLINK__" hidden="1">{"fdsup://IBCentral/FAT Viewer?action=UPDATE&amp;creator=factset&amp;DOC_NAME=fat:reuters_qtrly_source_window.fat&amp;display_string=Audit&amp;DYN_ARGS=TRUE&amp;VAR:ID1=20588710&amp;VAR:RCODE=ATCA&amp;VAR:SDATE=20081199&amp;VAR:FREQ=DAILY&amp;VAR:RELITEM=&amp;VAR:CURRENCY=&amp;VAR:CURRSOURCE=EXSHARE&amp;","VAR:NATFREQ=QUARTERLY&amp;VAR:RFIELD=FINALIZED&amp;VAR:DB_TYPE=&amp;VAR:UNITS=M&amp;window=popup&amp;width=450&amp;height=300&amp;START_MAXIMIZED=FALSE"}</definedName>
    <definedName name="_764__FDSAUDITLINK__" hidden="1">{"fdsup://IBCentral/FAT Viewer?action=UPDATE&amp;creator=factset&amp;DOC_NAME=fat:reuters_qtrly_source_window.fat&amp;display_string=Audit&amp;DYN_ARGS=TRUE&amp;VAR:ID1=20588710&amp;VAR:RCODE=ATOT&amp;VAR:SDATE=20081199&amp;VAR:FREQ=DAILY&amp;VAR:RELITEM=&amp;VAR:CURRENCY=&amp;VAR:CURRSOURCE=EXSHARE&amp;","VAR:NATFREQ=QUARTERLY&amp;VAR:RFIELD=FINALIZED&amp;VAR:DB_TYPE=&amp;VAR:UNITS=M&amp;window=popup&amp;width=450&amp;height=300&amp;START_MAXIMIZED=FALSE"}</definedName>
    <definedName name="_765__FDSAUDITLINK__" hidden="1">{"fdsup://IBCentral/FAT Viewer?action=UPDATE&amp;creator=factset&amp;DOC_NAME=fat:reuters_qtrly_source_window.fat&amp;display_string=Audit&amp;DYN_ARGS=TRUE&amp;VAR:ID1=20172310&amp;VAR:RCODE=LTLL&amp;VAR:SDATE=20081199&amp;VAR:FREQ=DAILY&amp;VAR:RELITEM=&amp;VAR:CURRENCY=&amp;VAR:CURRSOURCE=EXSHARE&amp;","VAR:NATFREQ=QUARTERLY&amp;VAR:RFIELD=FINALIZED&amp;VAR:DB_TYPE=&amp;VAR:UNITS=M&amp;window=popup&amp;width=450&amp;height=300&amp;START_MAXIMIZED=FALSE"}</definedName>
    <definedName name="_766__FDSAUDITLINK__" hidden="1">{"fdsup://IBCentral/FAT Viewer?action=UPDATE&amp;creator=factset&amp;DOC_NAME=fat:reuters_qtrly_source_window.fat&amp;display_string=Audit&amp;DYN_ARGS=TRUE&amp;VAR:ID1=20172310&amp;VAR:RCODE=LTCL&amp;VAR:SDATE=20081199&amp;VAR:FREQ=DAILY&amp;VAR:RELITEM=&amp;VAR:CURRENCY=&amp;VAR:CURRSOURCE=EXSHARE&amp;","VAR:NATFREQ=QUARTERLY&amp;VAR:RFIELD=FINALIZED&amp;VAR:DB_TYPE=&amp;VAR:UNITS=M&amp;window=popup&amp;width=450&amp;height=300&amp;START_MAXIMIZED=FALSE"}</definedName>
    <definedName name="_767__FDSAUDITLINK__" hidden="1">{"fdsup://IBCentral/FAT Viewer?action=UPDATE&amp;creator=factset&amp;DOC_NAME=fat:reuters_qtrly_source_window.fat&amp;display_string=Audit&amp;DYN_ARGS=TRUE&amp;VAR:ID1=20172310&amp;VAR:RCODE=ATCA&amp;VAR:SDATE=20081199&amp;VAR:FREQ=DAILY&amp;VAR:RELITEM=&amp;VAR:CURRENCY=&amp;VAR:CURRSOURCE=EXSHARE&amp;","VAR:NATFREQ=QUARTERLY&amp;VAR:RFIELD=FINALIZED&amp;VAR:DB_TYPE=&amp;VAR:UNITS=M&amp;window=popup&amp;width=450&amp;height=300&amp;START_MAXIMIZED=FALSE"}</definedName>
    <definedName name="_768__FDSAUDITLINK__" hidden="1">{"fdsup://IBCentral/FAT Viewer?action=UPDATE&amp;creator=factset&amp;DOC_NAME=fat:reuters_qtrly_source_window.fat&amp;display_string=Audit&amp;DYN_ARGS=TRUE&amp;VAR:ID1=20172310&amp;VAR:RCODE=ATOT&amp;VAR:SDATE=20081199&amp;VAR:FREQ=DAILY&amp;VAR:RELITEM=&amp;VAR:CURRENCY=&amp;VAR:CURRSOURCE=EXSHARE&amp;","VAR:NATFREQ=QUARTERLY&amp;VAR:RFIELD=FINALIZED&amp;VAR:DB_TYPE=&amp;VAR:UNITS=M&amp;window=popup&amp;width=450&amp;height=300&amp;START_MAXIMIZED=FALSE"}</definedName>
    <definedName name="_769__FDSAUDITLINK__" hidden="1">{"fdsup://IBCentral/FAT Viewer?action=UPDATE&amp;creator=factset&amp;DOC_NAME=fat:reuters_qtrly_source_window.fat&amp;display_string=Audit&amp;DYN_ARGS=TRUE&amp;VAR:ID1=20030N10&amp;VAR:RCODE=LTLL&amp;VAR:SDATE=20081299&amp;VAR:FREQ=DAILY&amp;VAR:RELITEM=&amp;VAR:CURRENCY=&amp;VAR:CURRSOURCE=EXSHARE&amp;","VAR:NATFREQ=QUARTERLY&amp;VAR:RFIELD=FINALIZED&amp;VAR:DB_TYPE=&amp;VAR:UNITS=M&amp;window=popup&amp;width=450&amp;height=300&amp;START_MAXIMIZED=FALSE"}</definedName>
    <definedName name="_77__FDSAUDITLINK__" hidden="1">{"fdsup://Directions/FactSet Auditing Viewer?action=AUDIT_VALUE&amp;DB=129&amp;ID1=09062X10&amp;VALUEID=02999&amp;SDATE=201001&amp;PERIODTYPE=QTR_STD&amp;window=popup_no_bar&amp;width=385&amp;height=120&amp;START_MAXIMIZED=FALSE&amp;creator=factset&amp;display_string=Audit"}</definedName>
    <definedName name="_770__FDSAUDITLINK__" hidden="1">{"fdsup://IBCentral/FAT Viewer?action=UPDATE&amp;creator=factset&amp;DOC_NAME=fat:reuters_qtrly_source_window.fat&amp;display_string=Audit&amp;DYN_ARGS=TRUE&amp;VAR:ID1=20030N10&amp;VAR:RCODE=LTCL&amp;VAR:SDATE=20081299&amp;VAR:FREQ=DAILY&amp;VAR:RELITEM=&amp;VAR:CURRENCY=&amp;VAR:CURRSOURCE=EXSHARE&amp;","VAR:NATFREQ=QUARTERLY&amp;VAR:RFIELD=FINALIZED&amp;VAR:DB_TYPE=&amp;VAR:UNITS=M&amp;window=popup&amp;width=450&amp;height=300&amp;START_MAXIMIZED=FALSE"}</definedName>
    <definedName name="_771__FDSAUDITLINK__" hidden="1">{"fdsup://IBCentral/FAT Viewer?action=UPDATE&amp;creator=factset&amp;DOC_NAME=fat:reuters_qtrly_source_window.fat&amp;display_string=Audit&amp;DYN_ARGS=TRUE&amp;VAR:ID1=20030N10&amp;VAR:RCODE=ATCA&amp;VAR:SDATE=20081299&amp;VAR:FREQ=DAILY&amp;VAR:RELITEM=&amp;VAR:CURRENCY=&amp;VAR:CURRSOURCE=EXSHARE&amp;","VAR:NATFREQ=QUARTERLY&amp;VAR:RFIELD=FINALIZED&amp;VAR:DB_TYPE=&amp;VAR:UNITS=M&amp;window=popup&amp;width=450&amp;height=300&amp;START_MAXIMIZED=FALSE"}</definedName>
    <definedName name="_772__FDSAUDITLINK__" hidden="1">{"fdsup://IBCentral/FAT Viewer?action=UPDATE&amp;creator=factset&amp;DOC_NAME=fat:reuters_qtrly_source_window.fat&amp;display_string=Audit&amp;DYN_ARGS=TRUE&amp;VAR:ID1=20030N10&amp;VAR:RCODE=ATOT&amp;VAR:SDATE=20081299&amp;VAR:FREQ=DAILY&amp;VAR:RELITEM=&amp;VAR:CURRENCY=&amp;VAR:CURRSOURCE=EXSHARE&amp;","VAR:NATFREQ=QUARTERLY&amp;VAR:RFIELD=FINALIZED&amp;VAR:DB_TYPE=&amp;VAR:UNITS=M&amp;window=popup&amp;width=450&amp;height=300&amp;START_MAXIMIZED=FALSE"}</definedName>
    <definedName name="_773__FDSAUDITLINK__" hidden="1">{"fdsup://IBCentral/FAT Viewer?action=UPDATE&amp;creator=factset&amp;DOC_NAME=fat:reuters_qtrly_source_window.fat&amp;display_string=Audit&amp;DYN_ARGS=TRUE&amp;VAR:ID1=19109810&amp;VAR:RCODE=LTLL&amp;VAR:SDATE=20081299&amp;VAR:FREQ=DAILY&amp;VAR:RELITEM=&amp;VAR:CURRENCY=&amp;VAR:CURRSOURCE=EXSHARE&amp;","VAR:NATFREQ=QUARTERLY&amp;VAR:RFIELD=FINALIZED&amp;VAR:DB_TYPE=&amp;VAR:UNITS=M&amp;window=popup&amp;width=450&amp;height=300&amp;START_MAXIMIZED=FALSE"}</definedName>
    <definedName name="_774__FDSAUDITLINK__" hidden="1">{"fdsup://IBCentral/FAT Viewer?action=UPDATE&amp;creator=factset&amp;DOC_NAME=fat:reuters_qtrly_source_window.fat&amp;display_string=Audit&amp;DYN_ARGS=TRUE&amp;VAR:ID1=19109810&amp;VAR:RCODE=LTCL&amp;VAR:SDATE=20081299&amp;VAR:FREQ=DAILY&amp;VAR:RELITEM=&amp;VAR:CURRENCY=&amp;VAR:CURRSOURCE=EXSHARE&amp;","VAR:NATFREQ=QUARTERLY&amp;VAR:RFIELD=FINALIZED&amp;VAR:DB_TYPE=&amp;VAR:UNITS=M&amp;window=popup&amp;width=450&amp;height=300&amp;START_MAXIMIZED=FALSE"}</definedName>
    <definedName name="_775__FDSAUDITLINK__" hidden="1">{"fdsup://IBCentral/FAT Viewer?action=UPDATE&amp;creator=factset&amp;DOC_NAME=fat:reuters_qtrly_source_window.fat&amp;display_string=Audit&amp;DYN_ARGS=TRUE&amp;VAR:ID1=19109810&amp;VAR:RCODE=ATCA&amp;VAR:SDATE=20081299&amp;VAR:FREQ=DAILY&amp;VAR:RELITEM=&amp;VAR:CURRENCY=&amp;VAR:CURRSOURCE=EXSHARE&amp;","VAR:NATFREQ=QUARTERLY&amp;VAR:RFIELD=FINALIZED&amp;VAR:DB_TYPE=&amp;VAR:UNITS=M&amp;window=popup&amp;width=450&amp;height=300&amp;START_MAXIMIZED=FALSE"}</definedName>
    <definedName name="_776__FDSAUDITLINK__" hidden="1">{"fdsup://IBCentral/FAT Viewer?action=UPDATE&amp;creator=factset&amp;DOC_NAME=fat:reuters_qtrly_source_window.fat&amp;display_string=Audit&amp;DYN_ARGS=TRUE&amp;VAR:ID1=19109810&amp;VAR:RCODE=ATOT&amp;VAR:SDATE=20081299&amp;VAR:FREQ=DAILY&amp;VAR:RELITEM=&amp;VAR:CURRENCY=&amp;VAR:CURRSOURCE=EXSHARE&amp;","VAR:NATFREQ=QUARTERLY&amp;VAR:RFIELD=FINALIZED&amp;VAR:DB_TYPE=&amp;VAR:UNITS=M&amp;window=popup&amp;width=450&amp;height=300&amp;START_MAXIMIZED=FALSE"}</definedName>
    <definedName name="_777__FDSAUDITLINK__" hidden="1">{"fdsup://IBCentral/FAT Viewer?action=UPDATE&amp;creator=factset&amp;DOC_NAME=fat:reuters_qtrly_source_window.fat&amp;display_string=Audit&amp;DYN_ARGS=TRUE&amp;VAR:ID1=18905410&amp;VAR:RCODE=LTLL&amp;VAR:SDATE=20081299&amp;VAR:FREQ=DAILY&amp;VAR:RELITEM=&amp;VAR:CURRENCY=&amp;VAR:CURRSOURCE=EXSHARE&amp;","VAR:NATFREQ=QUARTERLY&amp;VAR:RFIELD=FINALIZED&amp;VAR:DB_TYPE=&amp;VAR:UNITS=M&amp;window=popup&amp;width=450&amp;height=300&amp;START_MAXIMIZED=FALSE"}</definedName>
    <definedName name="_778__FDSAUDITLINK__" hidden="1">{"fdsup://IBCentral/FAT Viewer?action=UPDATE&amp;creator=factset&amp;DOC_NAME=fat:reuters_qtrly_source_window.fat&amp;display_string=Audit&amp;DYN_ARGS=TRUE&amp;VAR:ID1=18905410&amp;VAR:RCODE=LTCL&amp;VAR:SDATE=20081299&amp;VAR:FREQ=DAILY&amp;VAR:RELITEM=&amp;VAR:CURRENCY=&amp;VAR:CURRSOURCE=EXSHARE&amp;","VAR:NATFREQ=QUARTERLY&amp;VAR:RFIELD=FINALIZED&amp;VAR:DB_TYPE=&amp;VAR:UNITS=M&amp;window=popup&amp;width=450&amp;height=300&amp;START_MAXIMIZED=FALSE"}</definedName>
    <definedName name="_779__FDSAUDITLINK__" hidden="1">{"fdsup://IBCentral/FAT Viewer?action=UPDATE&amp;creator=factset&amp;DOC_NAME=fat:reuters_qtrly_source_window.fat&amp;display_string=Audit&amp;DYN_ARGS=TRUE&amp;VAR:ID1=18905410&amp;VAR:RCODE=ATCA&amp;VAR:SDATE=20081299&amp;VAR:FREQ=DAILY&amp;VAR:RELITEM=&amp;VAR:CURRENCY=&amp;VAR:CURRSOURCE=EXSHARE&amp;","VAR:NATFREQ=QUARTERLY&amp;VAR:RFIELD=FINALIZED&amp;VAR:DB_TYPE=&amp;VAR:UNITS=M&amp;window=popup&amp;width=450&amp;height=300&amp;START_MAXIMIZED=FALSE"}</definedName>
    <definedName name="_78__FDSAUDITLINK__" hidden="1">{"fdsup://Directions/FactSet Auditing Viewer?action=AUDIT_VALUE&amp;DB=129&amp;ID1=09061G10&amp;VALUEID=02999&amp;SDATE=201001&amp;PERIODTYPE=QTR_STD&amp;window=popup_no_bar&amp;width=385&amp;height=120&amp;START_MAXIMIZED=FALSE&amp;creator=factset&amp;display_string=Audit"}</definedName>
    <definedName name="_780__FDSAUDITLINK__" hidden="1">{"fdsup://IBCentral/FAT Viewer?action=UPDATE&amp;creator=factset&amp;DOC_NAME=fat:reuters_qtrly_source_window.fat&amp;display_string=Audit&amp;DYN_ARGS=TRUE&amp;VAR:ID1=18905410&amp;VAR:RCODE=ATOT&amp;VAR:SDATE=20081299&amp;VAR:FREQ=DAILY&amp;VAR:RELITEM=&amp;VAR:CURRENCY=&amp;VAR:CURRSOURCE=EXSHARE&amp;","VAR:NATFREQ=QUARTERLY&amp;VAR:RFIELD=FINALIZED&amp;VAR:DB_TYPE=&amp;VAR:UNITS=M&amp;window=popup&amp;width=450&amp;height=300&amp;START_MAXIMIZED=FALSE"}</definedName>
    <definedName name="_781__FDSAUDITLINK__" hidden="1">{"fdsup://IBCentral/FAT Viewer?action=UPDATE&amp;creator=factset&amp;DOC_NAME=fat:reuters_qtrly_source_window.fat&amp;display_string=Audit&amp;DYN_ARGS=TRUE&amp;VAR:ID1=15670010&amp;VAR:RCODE=LTLL&amp;VAR:SDATE=20081299&amp;VAR:FREQ=DAILY&amp;VAR:RELITEM=&amp;VAR:CURRENCY=&amp;VAR:CURRSOURCE=EXSHARE&amp;","VAR:NATFREQ=QUARTERLY&amp;VAR:RFIELD=FINALIZED&amp;VAR:DB_TYPE=&amp;VAR:UNITS=M&amp;window=popup&amp;width=450&amp;height=300&amp;START_MAXIMIZED=FALSE"}</definedName>
    <definedName name="_782__FDSAUDITLINK__" hidden="1">{"fdsup://IBCentral/FAT Viewer?action=UPDATE&amp;creator=factset&amp;DOC_NAME=fat:reuters_qtrly_source_window.fat&amp;display_string=Audit&amp;DYN_ARGS=TRUE&amp;VAR:ID1=15670010&amp;VAR:RCODE=LTCL&amp;VAR:SDATE=20081299&amp;VAR:FREQ=DAILY&amp;VAR:RELITEM=&amp;VAR:CURRENCY=&amp;VAR:CURRSOURCE=EXSHARE&amp;","VAR:NATFREQ=QUARTERLY&amp;VAR:RFIELD=FINALIZED&amp;VAR:DB_TYPE=&amp;VAR:UNITS=M&amp;window=popup&amp;width=450&amp;height=300&amp;START_MAXIMIZED=FALSE"}</definedName>
    <definedName name="_783__FDSAUDITLINK__" hidden="1">{"fdsup://IBCentral/FAT Viewer?action=UPDATE&amp;creator=factset&amp;DOC_NAME=fat:reuters_qtrly_source_window.fat&amp;display_string=Audit&amp;DYN_ARGS=TRUE&amp;VAR:ID1=15670010&amp;VAR:RCODE=ATCA&amp;VAR:SDATE=20081299&amp;VAR:FREQ=DAILY&amp;VAR:RELITEM=&amp;VAR:CURRENCY=&amp;VAR:CURRSOURCE=EXSHARE&amp;","VAR:NATFREQ=QUARTERLY&amp;VAR:RFIELD=FINALIZED&amp;VAR:DB_TYPE=&amp;VAR:UNITS=M&amp;window=popup&amp;width=450&amp;height=300&amp;START_MAXIMIZED=FALSE"}</definedName>
    <definedName name="_784__FDSAUDITLINK__" hidden="1">{"fdsup://IBCentral/FAT Viewer?action=UPDATE&amp;creator=factset&amp;DOC_NAME=fat:reuters_qtrly_source_window.fat&amp;display_string=Audit&amp;DYN_ARGS=TRUE&amp;VAR:ID1=15670010&amp;VAR:RCODE=ATOT&amp;VAR:SDATE=20081299&amp;VAR:FREQ=DAILY&amp;VAR:RELITEM=&amp;VAR:CURRENCY=&amp;VAR:CURRSOURCE=EXSHARE&amp;","VAR:NATFREQ=QUARTERLY&amp;VAR:RFIELD=FINALIZED&amp;VAR:DB_TYPE=&amp;VAR:UNITS=M&amp;window=popup&amp;width=450&amp;height=300&amp;START_MAXIMIZED=FALSE"}</definedName>
    <definedName name="_785__FDSAUDITLINK__" hidden="1">{"fdsup://IBCentral/FAT Viewer?action=UPDATE&amp;creator=factset&amp;DOC_NAME=fat:reuters_qtrly_source_window.fat&amp;display_string=Audit&amp;DYN_ARGS=TRUE&amp;VAR:ID1=14233910&amp;VAR:RCODE=LTLL&amp;VAR:SDATE=20081299&amp;VAR:FREQ=DAILY&amp;VAR:RELITEM=&amp;VAR:CURRENCY=&amp;VAR:CURRSOURCE=EXSHARE&amp;","VAR:NATFREQ=QUARTERLY&amp;VAR:RFIELD=FINALIZED&amp;VAR:DB_TYPE=&amp;VAR:UNITS=M&amp;window=popup&amp;width=450&amp;height=300&amp;START_MAXIMIZED=FALSE"}</definedName>
    <definedName name="_786__FDSAUDITLINK__" hidden="1">{"fdsup://IBCentral/FAT Viewer?action=UPDATE&amp;creator=factset&amp;DOC_NAME=fat:reuters_qtrly_source_window.fat&amp;display_string=Audit&amp;DYN_ARGS=TRUE&amp;VAR:ID1=14233910&amp;VAR:RCODE=LTCL&amp;VAR:SDATE=20081299&amp;VAR:FREQ=DAILY&amp;VAR:RELITEM=&amp;VAR:CURRENCY=&amp;VAR:CURRSOURCE=EXSHARE&amp;","VAR:NATFREQ=QUARTERLY&amp;VAR:RFIELD=FINALIZED&amp;VAR:DB_TYPE=&amp;VAR:UNITS=M&amp;window=popup&amp;width=450&amp;height=300&amp;START_MAXIMIZED=FALSE"}</definedName>
    <definedName name="_787__FDSAUDITLINK__" hidden="1">{"fdsup://IBCentral/FAT Viewer?action=UPDATE&amp;creator=factset&amp;DOC_NAME=fat:reuters_qtrly_source_window.fat&amp;display_string=Audit&amp;DYN_ARGS=TRUE&amp;VAR:ID1=14233910&amp;VAR:RCODE=ATCA&amp;VAR:SDATE=20081299&amp;VAR:FREQ=DAILY&amp;VAR:RELITEM=&amp;VAR:CURRENCY=&amp;VAR:CURRSOURCE=EXSHARE&amp;","VAR:NATFREQ=QUARTERLY&amp;VAR:RFIELD=FINALIZED&amp;VAR:DB_TYPE=&amp;VAR:UNITS=M&amp;window=popup&amp;width=450&amp;height=300&amp;START_MAXIMIZED=FALSE"}</definedName>
    <definedName name="_788__FDSAUDITLINK__" hidden="1">{"fdsup://IBCentral/FAT Viewer?action=UPDATE&amp;creator=factset&amp;DOC_NAME=fat:reuters_qtrly_source_window.fat&amp;display_string=Audit&amp;DYN_ARGS=TRUE&amp;VAR:ID1=14233910&amp;VAR:RCODE=ATOT&amp;VAR:SDATE=20081299&amp;VAR:FREQ=DAILY&amp;VAR:RELITEM=&amp;VAR:CURRENCY=&amp;VAR:CURRSOURCE=EXSHARE&amp;","VAR:NATFREQ=QUARTERLY&amp;VAR:RFIELD=FINALIZED&amp;VAR:DB_TYPE=&amp;VAR:UNITS=M&amp;window=popup&amp;width=450&amp;height=300&amp;START_MAXIMIZED=FALSE"}</definedName>
    <definedName name="_789__FDSAUDITLINK__" hidden="1">{"fdsup://IBCentral/FAT Viewer?action=UPDATE&amp;creator=factset&amp;DOC_NAME=fat:reuters_qtrly_source_window.fat&amp;display_string=Audit&amp;DYN_ARGS=TRUE&amp;VAR:ID1=14149Y10&amp;VAR:RCODE=LTLL&amp;VAR:SDATE=20081299&amp;VAR:FREQ=DAILY&amp;VAR:RELITEM=&amp;VAR:CURRENCY=&amp;VAR:CURRSOURCE=EXSHARE&amp;","VAR:NATFREQ=QUARTERLY&amp;VAR:RFIELD=FINALIZED&amp;VAR:DB_TYPE=&amp;VAR:UNITS=M&amp;window=popup&amp;width=450&amp;height=300&amp;START_MAXIMIZED=FALSE"}</definedName>
    <definedName name="_79__FDSAUDITLINK__" hidden="1">{"fdsup://Directions/FactSet Auditing Viewer?action=AUDIT_VALUE&amp;DB=129&amp;ID1=09193550&amp;VALUEID=02999&amp;SDATE=201001&amp;PERIODTYPE=QTR_STD&amp;window=popup_no_bar&amp;width=385&amp;height=120&amp;START_MAXIMIZED=FALSE&amp;creator=factset&amp;display_string=Audit"}</definedName>
    <definedName name="_790__FDSAUDITLINK__" hidden="1">{"fdsup://IBCentral/FAT Viewer?action=UPDATE&amp;creator=factset&amp;DOC_NAME=fat:reuters_qtrly_source_window.fat&amp;display_string=Audit&amp;DYN_ARGS=TRUE&amp;VAR:ID1=14149Y10&amp;VAR:RCODE=LTCL&amp;VAR:SDATE=20081299&amp;VAR:FREQ=DAILY&amp;VAR:RELITEM=&amp;VAR:CURRENCY=&amp;VAR:CURRSOURCE=EXSHARE&amp;","VAR:NATFREQ=QUARTERLY&amp;VAR:RFIELD=FINALIZED&amp;VAR:DB_TYPE=&amp;VAR:UNITS=M&amp;window=popup&amp;width=450&amp;height=300&amp;START_MAXIMIZED=FALSE"}</definedName>
    <definedName name="_791__FDSAUDITLINK__" hidden="1">{"fdsup://IBCentral/FAT Viewer?action=UPDATE&amp;creator=factset&amp;DOC_NAME=fat:reuters_qtrly_source_window.fat&amp;display_string=Audit&amp;DYN_ARGS=TRUE&amp;VAR:ID1=14149Y10&amp;VAR:RCODE=ATCA&amp;VAR:SDATE=20081299&amp;VAR:FREQ=DAILY&amp;VAR:RELITEM=&amp;VAR:CURRENCY=&amp;VAR:CURRSOURCE=EXSHARE&amp;","VAR:NATFREQ=QUARTERLY&amp;VAR:RFIELD=FINALIZED&amp;VAR:DB_TYPE=&amp;VAR:UNITS=M&amp;window=popup&amp;width=450&amp;height=300&amp;START_MAXIMIZED=FALSE"}</definedName>
    <definedName name="_792__FDSAUDITLINK__" hidden="1">{"fdsup://IBCentral/FAT Viewer?action=UPDATE&amp;creator=factset&amp;DOC_NAME=fat:reuters_qtrly_source_window.fat&amp;display_string=Audit&amp;DYN_ARGS=TRUE&amp;VAR:ID1=14149Y10&amp;VAR:RCODE=ATOT&amp;VAR:SDATE=20081299&amp;VAR:FREQ=DAILY&amp;VAR:RELITEM=&amp;VAR:CURRENCY=&amp;VAR:CURRSOURCE=EXSHARE&amp;","VAR:NATFREQ=QUARTERLY&amp;VAR:RFIELD=FINALIZED&amp;VAR:DB_TYPE=&amp;VAR:UNITS=M&amp;window=popup&amp;width=450&amp;height=300&amp;START_MAXIMIZED=FALSE"}</definedName>
    <definedName name="_793__FDSAUDITLINK__" hidden="1">{"fdsup://IBCentral/FAT Viewer?action=UPDATE&amp;creator=factset&amp;DOC_NAME=fat:reuters_qtrly_source_window.fat&amp;display_string=Audit&amp;DYN_ARGS=TRUE&amp;VAR:ID1=11133T10&amp;VAR:RCODE=LTLL&amp;VAR:SDATE=20081299&amp;VAR:FREQ=DAILY&amp;VAR:RELITEM=&amp;VAR:CURRENCY=&amp;VAR:CURRSOURCE=EXSHARE&amp;","VAR:NATFREQ=QUARTERLY&amp;VAR:RFIELD=FINALIZED&amp;VAR:DB_TYPE=&amp;VAR:UNITS=M&amp;window=popup&amp;width=450&amp;height=300&amp;START_MAXIMIZED=FALSE"}</definedName>
    <definedName name="_794__FDSAUDITLINK__" hidden="1">{"fdsup://IBCentral/FAT Viewer?action=UPDATE&amp;creator=factset&amp;DOC_NAME=fat:reuters_qtrly_source_window.fat&amp;display_string=Audit&amp;DYN_ARGS=TRUE&amp;VAR:ID1=11133T10&amp;VAR:RCODE=LTCL&amp;VAR:SDATE=20081299&amp;VAR:FREQ=DAILY&amp;VAR:RELITEM=&amp;VAR:CURRENCY=&amp;VAR:CURRSOURCE=EXSHARE&amp;","VAR:NATFREQ=QUARTERLY&amp;VAR:RFIELD=FINALIZED&amp;VAR:DB_TYPE=&amp;VAR:UNITS=M&amp;window=popup&amp;width=450&amp;height=300&amp;START_MAXIMIZED=FALSE"}</definedName>
    <definedName name="_795__FDSAUDITLINK__" hidden="1">{"fdsup://IBCentral/FAT Viewer?action=UPDATE&amp;creator=factset&amp;DOC_NAME=fat:reuters_qtrly_source_window.fat&amp;display_string=Audit&amp;DYN_ARGS=TRUE&amp;VAR:ID1=11133T10&amp;VAR:RCODE=ATCA&amp;VAR:SDATE=20081299&amp;VAR:FREQ=DAILY&amp;VAR:RELITEM=&amp;VAR:CURRENCY=&amp;VAR:CURRSOURCE=EXSHARE&amp;","VAR:NATFREQ=QUARTERLY&amp;VAR:RFIELD=FINALIZED&amp;VAR:DB_TYPE=&amp;VAR:UNITS=M&amp;window=popup&amp;width=450&amp;height=300&amp;START_MAXIMIZED=FALSE"}</definedName>
    <definedName name="_796__FDSAUDITLINK__" hidden="1">{"fdsup://IBCentral/FAT Viewer?action=UPDATE&amp;creator=factset&amp;DOC_NAME=fat:reuters_qtrly_source_window.fat&amp;display_string=Audit&amp;DYN_ARGS=TRUE&amp;VAR:ID1=11133T10&amp;VAR:RCODE=ATOT&amp;VAR:SDATE=20081299&amp;VAR:FREQ=DAILY&amp;VAR:RELITEM=&amp;VAR:CURRENCY=&amp;VAR:CURRSOURCE=EXSHARE&amp;","VAR:NATFREQ=QUARTERLY&amp;VAR:RFIELD=FINALIZED&amp;VAR:DB_TYPE=&amp;VAR:UNITS=M&amp;window=popup&amp;width=450&amp;height=300&amp;START_MAXIMIZED=FALSE"}</definedName>
    <definedName name="_797__FDSAUDITLINK__" hidden="1">{"fdsup://IBCentral/FAT Viewer?action=UPDATE&amp;creator=factset&amp;DOC_NAME=fat:reuters_qtrly_source_window.fat&amp;display_string=Audit&amp;DYN_ARGS=TRUE&amp;VAR:ID1=09179710&amp;VAR:RCODE=LTLL&amp;VAR:SDATE=20081299&amp;VAR:FREQ=DAILY&amp;VAR:RELITEM=&amp;VAR:CURRENCY=&amp;VAR:CURRSOURCE=EXSHARE&amp;","VAR:NATFREQ=QUARTERLY&amp;VAR:RFIELD=FINALIZED&amp;VAR:DB_TYPE=&amp;VAR:UNITS=M&amp;window=popup&amp;width=450&amp;height=300&amp;START_MAXIMIZED=FALSE"}</definedName>
    <definedName name="_798__FDSAUDITLINK__" hidden="1">{"fdsup://IBCentral/FAT Viewer?action=UPDATE&amp;creator=factset&amp;DOC_NAME=fat:reuters_qtrly_source_window.fat&amp;display_string=Audit&amp;DYN_ARGS=TRUE&amp;VAR:ID1=09179710&amp;VAR:RCODE=LTCL&amp;VAR:SDATE=20081299&amp;VAR:FREQ=DAILY&amp;VAR:RELITEM=&amp;VAR:CURRENCY=&amp;VAR:CURRSOURCE=EXSHARE&amp;","VAR:NATFREQ=QUARTERLY&amp;VAR:RFIELD=FINALIZED&amp;VAR:DB_TYPE=&amp;VAR:UNITS=M&amp;window=popup&amp;width=450&amp;height=300&amp;START_MAXIMIZED=FALSE"}</definedName>
    <definedName name="_799__FDSAUDITLINK__" hidden="1">{"fdsup://IBCentral/FAT Viewer?action=UPDATE&amp;creator=factset&amp;DOC_NAME=fat:reuters_qtrly_source_window.fat&amp;display_string=Audit&amp;DYN_ARGS=TRUE&amp;VAR:ID1=09179710&amp;VAR:RCODE=ATCA&amp;VAR:SDATE=20081299&amp;VAR:FREQ=DAILY&amp;VAR:RELITEM=&amp;VAR:CURRENCY=&amp;VAR:CURRSOURCE=EXSHARE&amp;","VAR:NATFREQ=QUARTERLY&amp;VAR:RFIELD=FINALIZED&amp;VAR:DB_TYPE=&amp;VAR:UNITS=M&amp;window=popup&amp;width=450&amp;height=300&amp;START_MAXIMIZED=FALSE"}</definedName>
    <definedName name="_7IQ_CURRENCY_GAIN_INS" hidden="1">"c238"</definedName>
    <definedName name="_8__FDSAUDITLINK__" hidden="1">{"fdsup://Directions/FactSet Auditing Viewer?action=AUDIT_VALUE&amp;DB=129&amp;ID1=23286010&amp;VALUEID=02999&amp;SDATE=200903&amp;PERIODTYPE=QTR_STD&amp;window=popup_no_bar&amp;width=385&amp;height=120&amp;START_MAXIMIZED=FALSE&amp;creator=factset&amp;display_string=Audit"}</definedName>
    <definedName name="_8_0__123Grap" hidden="1">'[1]Comp. Transaction'!#REF!</definedName>
    <definedName name="_80__FDSAUDITLINK__" hidden="1">{"fdsup://Directions/FactSet Auditing Viewer?action=AUDIT_VALUE&amp;DB=129&amp;ID1=09367910&amp;VALUEID=02999&amp;SDATE=201001&amp;PERIODTYPE=QTR_STD&amp;window=popup_no_bar&amp;width=385&amp;height=120&amp;START_MAXIMIZED=FALSE&amp;creator=factset&amp;display_string=Audit"}</definedName>
    <definedName name="_800__FDSAUDITLINK__" hidden="1">{"fdsup://IBCentral/FAT Viewer?action=UPDATE&amp;creator=factset&amp;DOC_NAME=fat:reuters_qtrly_source_window.fat&amp;display_string=Audit&amp;DYN_ARGS=TRUE&amp;VAR:ID1=09179710&amp;VAR:RCODE=ATOT&amp;VAR:SDATE=20081299&amp;VAR:FREQ=DAILY&amp;VAR:RELITEM=&amp;VAR:CURRENCY=&amp;VAR:CURRSOURCE=EXSHARE&amp;","VAR:NATFREQ=QUARTERLY&amp;VAR:RFIELD=FINALIZED&amp;VAR:DB_TYPE=&amp;VAR:UNITS=M&amp;window=popup&amp;width=450&amp;height=300&amp;START_MAXIMIZED=FALSE"}</definedName>
    <definedName name="_801__FDSAUDITLINK__" hidden="1">{"fdsup://IBCentral/FAT Viewer?action=UPDATE&amp;creator=factset&amp;DOC_NAME=fat:reuters_qtrly_source_window.fat&amp;display_string=Audit&amp;DYN_ARGS=TRUE&amp;VAR:ID1=08651610&amp;VAR:RCODE=LTLL&amp;VAR:SDATE=20081199&amp;VAR:FREQ=DAILY&amp;VAR:RELITEM=&amp;VAR:CURRENCY=&amp;VAR:CURRSOURCE=EXSHARE&amp;","VAR:NATFREQ=QUARTERLY&amp;VAR:RFIELD=FINALIZED&amp;VAR:DB_TYPE=&amp;VAR:UNITS=M&amp;window=popup&amp;width=450&amp;height=300&amp;START_MAXIMIZED=FALSE"}</definedName>
    <definedName name="_802__FDSAUDITLINK__" hidden="1">{"fdsup://IBCentral/FAT Viewer?action=UPDATE&amp;creator=factset&amp;DOC_NAME=fat:reuters_qtrly_source_window.fat&amp;display_string=Audit&amp;DYN_ARGS=TRUE&amp;VAR:ID1=08651610&amp;VAR:RCODE=LTCL&amp;VAR:SDATE=20081199&amp;VAR:FREQ=DAILY&amp;VAR:RELITEM=&amp;VAR:CURRENCY=&amp;VAR:CURRSOURCE=EXSHARE&amp;","VAR:NATFREQ=QUARTERLY&amp;VAR:RFIELD=FINALIZED&amp;VAR:DB_TYPE=&amp;VAR:UNITS=M&amp;window=popup&amp;width=450&amp;height=300&amp;START_MAXIMIZED=FALSE"}</definedName>
    <definedName name="_803__FDSAUDITLINK__" hidden="1">{"fdsup://IBCentral/FAT Viewer?action=UPDATE&amp;creator=factset&amp;DOC_NAME=fat:reuters_qtrly_source_window.fat&amp;display_string=Audit&amp;DYN_ARGS=TRUE&amp;VAR:ID1=08651610&amp;VAR:RCODE=ATCA&amp;VAR:SDATE=20081199&amp;VAR:FREQ=DAILY&amp;VAR:RELITEM=&amp;VAR:CURRENCY=&amp;VAR:CURRSOURCE=EXSHARE&amp;","VAR:NATFREQ=QUARTERLY&amp;VAR:RFIELD=FINALIZED&amp;VAR:DB_TYPE=&amp;VAR:UNITS=M&amp;window=popup&amp;width=450&amp;height=300&amp;START_MAXIMIZED=FALSE"}</definedName>
    <definedName name="_804__FDSAUDITLINK__" hidden="1">{"fdsup://IBCentral/FAT Viewer?action=UPDATE&amp;creator=factset&amp;DOC_NAME=fat:reuters_qtrly_source_window.fat&amp;display_string=Audit&amp;DYN_ARGS=TRUE&amp;VAR:ID1=08651610&amp;VAR:RCODE=ATOT&amp;VAR:SDATE=20081199&amp;VAR:FREQ=DAILY&amp;VAR:RELITEM=&amp;VAR:CURRENCY=&amp;VAR:CURRSOURCE=EXSHARE&amp;","VAR:NATFREQ=QUARTERLY&amp;VAR:RFIELD=FINALIZED&amp;VAR:DB_TYPE=&amp;VAR:UNITS=M&amp;window=popup&amp;width=450&amp;height=300&amp;START_MAXIMIZED=FALSE"}</definedName>
    <definedName name="_805__FDSAUDITLINK__" hidden="1">{"fdsup://IBCentral/FAT Viewer?action=UPDATE&amp;creator=factset&amp;DOC_NAME=fat:reuters_qtrly_source_window.fat&amp;display_string=Audit&amp;DYN_ARGS=TRUE&amp;VAR:ID1=05333210&amp;VAR:RCODE=LTLL&amp;VAR:SDATE=20081199&amp;VAR:FREQ=DAILY&amp;VAR:RELITEM=&amp;VAR:CURRENCY=&amp;VAR:CURRSOURCE=EXSHARE&amp;","VAR:NATFREQ=QUARTERLY&amp;VAR:RFIELD=FINALIZED&amp;VAR:DB_TYPE=&amp;VAR:UNITS=M&amp;window=popup&amp;width=450&amp;height=300&amp;START_MAXIMIZED=FALSE"}</definedName>
    <definedName name="_806__FDSAUDITLINK__" hidden="1">{"fdsup://IBCentral/FAT Viewer?action=UPDATE&amp;creator=factset&amp;DOC_NAME=fat:reuters_qtrly_source_window.fat&amp;display_string=Audit&amp;DYN_ARGS=TRUE&amp;VAR:ID1=05333210&amp;VAR:RCODE=LTCL&amp;VAR:SDATE=20081199&amp;VAR:FREQ=DAILY&amp;VAR:RELITEM=&amp;VAR:CURRENCY=&amp;VAR:CURRSOURCE=EXSHARE&amp;","VAR:NATFREQ=QUARTERLY&amp;VAR:RFIELD=FINALIZED&amp;VAR:DB_TYPE=&amp;VAR:UNITS=M&amp;window=popup&amp;width=450&amp;height=300&amp;START_MAXIMIZED=FALSE"}</definedName>
    <definedName name="_807__FDSAUDITLINK__" hidden="1">{"fdsup://IBCentral/FAT Viewer?action=UPDATE&amp;creator=factset&amp;DOC_NAME=fat:reuters_qtrly_source_window.fat&amp;display_string=Audit&amp;DYN_ARGS=TRUE&amp;VAR:ID1=05333210&amp;VAR:RCODE=ATCA&amp;VAR:SDATE=20081199&amp;VAR:FREQ=DAILY&amp;VAR:RELITEM=&amp;VAR:CURRENCY=&amp;VAR:CURRSOURCE=EXSHARE&amp;","VAR:NATFREQ=QUARTERLY&amp;VAR:RFIELD=FINALIZED&amp;VAR:DB_TYPE=&amp;VAR:UNITS=M&amp;window=popup&amp;width=450&amp;height=300&amp;START_MAXIMIZED=FALSE"}</definedName>
    <definedName name="_808__FDSAUDITLINK__" hidden="1">{"fdsup://IBCentral/FAT Viewer?action=UPDATE&amp;creator=factset&amp;DOC_NAME=fat:reuters_qtrly_source_window.fat&amp;display_string=Audit&amp;DYN_ARGS=TRUE&amp;VAR:ID1=05333210&amp;VAR:RCODE=ATOT&amp;VAR:SDATE=20081199&amp;VAR:FREQ=DAILY&amp;VAR:RELITEM=&amp;VAR:CURRENCY=&amp;VAR:CURRSOURCE=EXSHARE&amp;","VAR:NATFREQ=QUARTERLY&amp;VAR:RFIELD=FINALIZED&amp;VAR:DB_TYPE=&amp;VAR:UNITS=M&amp;window=popup&amp;width=450&amp;height=300&amp;START_MAXIMIZED=FALSE"}</definedName>
    <definedName name="_809__FDSAUDITLINK__" hidden="1">{"fdsup://IBCentral/FAT Viewer?action=UPDATE&amp;creator=factset&amp;DOC_NAME=fat:reuters_qtrly_source_window.fat&amp;display_string=Audit&amp;DYN_ARGS=TRUE&amp;VAR:ID1=03042010&amp;VAR:RCODE=LTLL&amp;VAR:SDATE=20081299&amp;VAR:FREQ=DAILY&amp;VAR:RELITEM=&amp;VAR:CURRENCY=&amp;VAR:CURRSOURCE=EXSHARE&amp;","VAR:NATFREQ=QUARTERLY&amp;VAR:RFIELD=FINALIZED&amp;VAR:DB_TYPE=&amp;VAR:UNITS=M&amp;window=popup&amp;width=450&amp;height=300&amp;START_MAXIMIZED=FALSE"}</definedName>
    <definedName name="_81__FDSAUDITLINK__" hidden="1">{"fdsup://Directions/FactSet Auditing Viewer?action=AUDIT_VALUE&amp;DB=129&amp;ID1=09623110&amp;VALUEID=02999&amp;SDATE=201001&amp;PERIODTYPE=QTR_STD&amp;window=popup_no_bar&amp;width=385&amp;height=120&amp;START_MAXIMIZED=FALSE&amp;creator=factset&amp;display_string=Audit"}</definedName>
    <definedName name="_810__FDSAUDITLINK__" hidden="1">{"fdsup://IBCentral/FAT Viewer?action=UPDATE&amp;creator=factset&amp;DOC_NAME=fat:reuters_qtrly_source_window.fat&amp;display_string=Audit&amp;DYN_ARGS=TRUE&amp;VAR:ID1=03042010&amp;VAR:RCODE=LTCL&amp;VAR:SDATE=20081299&amp;VAR:FREQ=DAILY&amp;VAR:RELITEM=&amp;VAR:CURRENCY=&amp;VAR:CURRSOURCE=EXSHARE&amp;","VAR:NATFREQ=QUARTERLY&amp;VAR:RFIELD=FINALIZED&amp;VAR:DB_TYPE=&amp;VAR:UNITS=M&amp;window=popup&amp;width=450&amp;height=300&amp;START_MAXIMIZED=FALSE"}</definedName>
    <definedName name="_811__FDSAUDITLINK__" hidden="1">{"fdsup://IBCentral/FAT Viewer?action=UPDATE&amp;creator=factset&amp;DOC_NAME=fat:reuters_qtrly_source_window.fat&amp;display_string=Audit&amp;DYN_ARGS=TRUE&amp;VAR:ID1=03042010&amp;VAR:RCODE=ATCA&amp;VAR:SDATE=20081299&amp;VAR:FREQ=DAILY&amp;VAR:RELITEM=&amp;VAR:CURRENCY=&amp;VAR:CURRSOURCE=EXSHARE&amp;","VAR:NATFREQ=QUARTERLY&amp;VAR:RFIELD=FINALIZED&amp;VAR:DB_TYPE=&amp;VAR:UNITS=M&amp;window=popup&amp;width=450&amp;height=300&amp;START_MAXIMIZED=FALSE"}</definedName>
    <definedName name="_812__FDSAUDITLINK__" hidden="1">{"fdsup://IBCentral/FAT Viewer?action=UPDATE&amp;creator=factset&amp;DOC_NAME=fat:reuters_qtrly_source_window.fat&amp;display_string=Audit&amp;DYN_ARGS=TRUE&amp;VAR:ID1=03042010&amp;VAR:RCODE=ATOT&amp;VAR:SDATE=20081299&amp;VAR:FREQ=DAILY&amp;VAR:RELITEM=&amp;VAR:CURRENCY=&amp;VAR:CURRSOURCE=EXSHARE&amp;","VAR:NATFREQ=QUARTERLY&amp;VAR:RFIELD=FINALIZED&amp;VAR:DB_TYPE=&amp;VAR:UNITS=M&amp;window=popup&amp;width=450&amp;height=300&amp;START_MAXIMIZED=FALSE"}</definedName>
    <definedName name="_813__FDSAUDITLINK__" hidden="1">{"fdsup://IBCentral/FAT Viewer?action=UPDATE&amp;creator=factset&amp;DOC_NAME=fat:reuters_qtrly_source_window.fat&amp;display_string=Audit&amp;DYN_ARGS=TRUE&amp;VAR:ID1=02553710&amp;VAR:RCODE=LTLL&amp;VAR:SDATE=20081299&amp;VAR:FREQ=DAILY&amp;VAR:RELITEM=&amp;VAR:CURRENCY=&amp;VAR:CURRSOURCE=EXSHARE&amp;","VAR:NATFREQ=QUARTERLY&amp;VAR:RFIELD=FINALIZED&amp;VAR:DB_TYPE=&amp;VAR:UNITS=M&amp;window=popup&amp;width=450&amp;height=300&amp;START_MAXIMIZED=FALSE"}</definedName>
    <definedName name="_814__FDSAUDITLINK__" hidden="1">{"fdsup://IBCentral/FAT Viewer?action=UPDATE&amp;creator=factset&amp;DOC_NAME=fat:reuters_qtrly_source_window.fat&amp;display_string=Audit&amp;DYN_ARGS=TRUE&amp;VAR:ID1=02553710&amp;VAR:RCODE=LTCL&amp;VAR:SDATE=20081299&amp;VAR:FREQ=DAILY&amp;VAR:RELITEM=&amp;VAR:CURRENCY=&amp;VAR:CURRSOURCE=EXSHARE&amp;","VAR:NATFREQ=QUARTERLY&amp;VAR:RFIELD=FINALIZED&amp;VAR:DB_TYPE=&amp;VAR:UNITS=M&amp;window=popup&amp;width=450&amp;height=300&amp;START_MAXIMIZED=FALSE"}</definedName>
    <definedName name="_815__FDSAUDITLINK__" hidden="1">{"fdsup://IBCentral/FAT Viewer?action=UPDATE&amp;creator=factset&amp;DOC_NAME=fat:reuters_qtrly_source_window.fat&amp;display_string=Audit&amp;DYN_ARGS=TRUE&amp;VAR:ID1=02553710&amp;VAR:RCODE=ATCA&amp;VAR:SDATE=20081299&amp;VAR:FREQ=DAILY&amp;VAR:RELITEM=&amp;VAR:CURRENCY=&amp;VAR:CURRSOURCE=EXSHARE&amp;","VAR:NATFREQ=QUARTERLY&amp;VAR:RFIELD=FINALIZED&amp;VAR:DB_TYPE=&amp;VAR:UNITS=M&amp;window=popup&amp;width=450&amp;height=300&amp;START_MAXIMIZED=FALSE"}</definedName>
    <definedName name="_816__FDSAUDITLINK__" hidden="1">{"fdsup://IBCentral/FAT Viewer?action=UPDATE&amp;creator=factset&amp;DOC_NAME=fat:reuters_qtrly_source_window.fat&amp;display_string=Audit&amp;DYN_ARGS=TRUE&amp;VAR:ID1=02553710&amp;VAR:RCODE=ATOT&amp;VAR:SDATE=20081299&amp;VAR:FREQ=DAILY&amp;VAR:RELITEM=&amp;VAR:CURRENCY=&amp;VAR:CURRSOURCE=EXSHARE&amp;","VAR:NATFREQ=QUARTERLY&amp;VAR:RFIELD=FINALIZED&amp;VAR:DB_TYPE=&amp;VAR:UNITS=M&amp;window=popup&amp;width=450&amp;height=300&amp;START_MAXIMIZED=FALSE"}</definedName>
    <definedName name="_817__FDSAUDITLINK__" hidden="1">{"fdsup://IBCentral/FAT Viewer?action=UPDATE&amp;creator=factset&amp;DOC_NAME=fat:reuters_qtrly_source_window.fat&amp;display_string=Audit&amp;DYN_ARGS=TRUE&amp;VAR:ID1=01265310&amp;VAR:RCODE=LTLL&amp;VAR:SDATE=20081299&amp;VAR:FREQ=DAILY&amp;VAR:RELITEM=&amp;VAR:CURRENCY=&amp;VAR:CURRSOURCE=EXSHARE&amp;","VAR:NATFREQ=QUARTERLY&amp;VAR:RFIELD=FINALIZED&amp;VAR:DB_TYPE=&amp;VAR:UNITS=M&amp;window=popup&amp;width=450&amp;height=300&amp;START_MAXIMIZED=FALSE"}</definedName>
    <definedName name="_818__FDSAUDITLINK__" hidden="1">{"fdsup://IBCentral/FAT Viewer?action=UPDATE&amp;creator=factset&amp;DOC_NAME=fat:reuters_qtrly_source_window.fat&amp;display_string=Audit&amp;DYN_ARGS=TRUE&amp;VAR:ID1=01265310&amp;VAR:RCODE=LTCL&amp;VAR:SDATE=20081299&amp;VAR:FREQ=DAILY&amp;VAR:RELITEM=&amp;VAR:CURRENCY=&amp;VAR:CURRSOURCE=EXSHARE&amp;","VAR:NATFREQ=QUARTERLY&amp;VAR:RFIELD=FINALIZED&amp;VAR:DB_TYPE=&amp;VAR:UNITS=M&amp;window=popup&amp;width=450&amp;height=300&amp;START_MAXIMIZED=FALSE"}</definedName>
    <definedName name="_819__FDSAUDITLINK__" hidden="1">{"fdsup://IBCentral/FAT Viewer?action=UPDATE&amp;creator=factset&amp;DOC_NAME=fat:reuters_qtrly_source_window.fat&amp;display_string=Audit&amp;DYN_ARGS=TRUE&amp;VAR:ID1=01265310&amp;VAR:RCODE=ATCA&amp;VAR:SDATE=20081299&amp;VAR:FREQ=DAILY&amp;VAR:RELITEM=&amp;VAR:CURRENCY=&amp;VAR:CURRSOURCE=EXSHARE&amp;","VAR:NATFREQ=QUARTERLY&amp;VAR:RFIELD=FINALIZED&amp;VAR:DB_TYPE=&amp;VAR:UNITS=M&amp;window=popup&amp;width=450&amp;height=300&amp;START_MAXIMIZED=FALSE"}</definedName>
    <definedName name="_82__FDSAUDITLINK__" hidden="1">{"fdsup://Directions/FactSet Auditing Viewer?action=AUDIT_VALUE&amp;DB=129&amp;ID1=09643P20&amp;VALUEID=02999&amp;SDATE=201001&amp;PERIODTYPE=QTR_STD&amp;window=popup_no_bar&amp;width=385&amp;height=120&amp;START_MAXIMIZED=FALSE&amp;creator=factset&amp;display_string=Audit"}</definedName>
    <definedName name="_820__FDSAUDITLINK__" hidden="1">{"fdsup://IBCentral/FAT Viewer?action=UPDATE&amp;creator=factset&amp;DOC_NAME=fat:reuters_qtrly_source_window.fat&amp;display_string=Audit&amp;DYN_ARGS=TRUE&amp;VAR:ID1=01265310&amp;VAR:RCODE=ATOT&amp;VAR:SDATE=20081299&amp;VAR:FREQ=DAILY&amp;VAR:RELITEM=&amp;VAR:CURRENCY=&amp;VAR:CURRSOURCE=EXSHARE&amp;","VAR:NATFREQ=QUARTERLY&amp;VAR:RFIELD=FINALIZED&amp;VAR:DB_TYPE=&amp;VAR:UNITS=M&amp;window=popup&amp;width=450&amp;height=300&amp;START_MAXIMIZED=FALSE"}</definedName>
    <definedName name="_821__FDSAUDITLINK__" hidden="1">{"fdsup://IBCentral/FAT Viewer?action=UPDATE&amp;creator=factset&amp;DOC_NAME=fat:reuters_qtrly_source_window.fat&amp;display_string=Audit&amp;DYN_ARGS=TRUE&amp;VAR:ID1=98389B10&amp;VAR:RCODE=LTLL&amp;VAR:SDATE=20081299&amp;VAR:FREQ=DAILY&amp;VAR:RELITEM=&amp;VAR:CURRENCY=&amp;VAR:CURRSOURCE=EXSHARE&amp;","VAR:NATFREQ=QUARTERLY&amp;VAR:RFIELD=FINALIZED&amp;VAR:DB_TYPE=&amp;VAR:UNITS=M&amp;window=popup&amp;width=450&amp;height=300&amp;START_MAXIMIZED=FALSE"}</definedName>
    <definedName name="_822__FDSAUDITLINK__" hidden="1">{"fdsup://IBCentral/FAT Viewer?action=UPDATE&amp;creator=factset&amp;DOC_NAME=fat:reuters_qtrly_source_window.fat&amp;display_string=Audit&amp;DYN_ARGS=TRUE&amp;VAR:ID1=98389B10&amp;VAR:RCODE=LTCL&amp;VAR:SDATE=20081299&amp;VAR:FREQ=DAILY&amp;VAR:RELITEM=&amp;VAR:CURRENCY=&amp;VAR:CURRSOURCE=EXSHARE&amp;","VAR:NATFREQ=QUARTERLY&amp;VAR:RFIELD=FINALIZED&amp;VAR:DB_TYPE=&amp;VAR:UNITS=M&amp;window=popup&amp;width=450&amp;height=300&amp;START_MAXIMIZED=FALSE"}</definedName>
    <definedName name="_823__FDSAUDITLINK__" hidden="1">{"fdsup://IBCentral/FAT Viewer?action=UPDATE&amp;creator=factset&amp;DOC_NAME=fat:reuters_qtrly_source_window.fat&amp;display_string=Audit&amp;DYN_ARGS=TRUE&amp;VAR:ID1=98389B10&amp;VAR:RCODE=ATCA&amp;VAR:SDATE=20081299&amp;VAR:FREQ=DAILY&amp;VAR:RELITEM=&amp;VAR:CURRENCY=&amp;VAR:CURRSOURCE=EXSHARE&amp;","VAR:NATFREQ=QUARTERLY&amp;VAR:RFIELD=FINALIZED&amp;VAR:DB_TYPE=&amp;VAR:UNITS=M&amp;window=popup&amp;width=450&amp;height=300&amp;START_MAXIMIZED=FALSE"}</definedName>
    <definedName name="_824__FDSAUDITLINK__" hidden="1">{"fdsup://IBCentral/FAT Viewer?action=UPDATE&amp;creator=factset&amp;DOC_NAME=fat:reuters_qtrly_source_window.fat&amp;display_string=Audit&amp;DYN_ARGS=TRUE&amp;VAR:ID1=98389B10&amp;VAR:RCODE=ATOT&amp;VAR:SDATE=20081299&amp;VAR:FREQ=DAILY&amp;VAR:RELITEM=&amp;VAR:CURRENCY=&amp;VAR:CURRSOURCE=EXSHARE&amp;","VAR:NATFREQ=QUARTERLY&amp;VAR:RFIELD=FINALIZED&amp;VAR:DB_TYPE=&amp;VAR:UNITS=M&amp;window=popup&amp;width=450&amp;height=300&amp;START_MAXIMIZED=FALSE"}</definedName>
    <definedName name="_825__FDSAUDITLINK__" hidden="1">{"fdsup://IBCentral/FAT Viewer?action=UPDATE&amp;creator=factset&amp;DOC_NAME=fat:reuters_qtrly_source_window.fat&amp;display_string=Audit&amp;DYN_ARGS=TRUE&amp;VAR:ID1=91324P10&amp;VAR:RCODE=LTLL&amp;VAR:SDATE=20081299&amp;VAR:FREQ=DAILY&amp;VAR:RELITEM=&amp;VAR:CURRENCY=&amp;VAR:CURRSOURCE=EXSHARE&amp;","VAR:NATFREQ=QUARTERLY&amp;VAR:RFIELD=FINALIZED&amp;VAR:DB_TYPE=&amp;VAR:UNITS=M&amp;window=popup&amp;width=450&amp;height=300&amp;START_MAXIMIZED=FALSE"}</definedName>
    <definedName name="_826__FDSAUDITLINK__" hidden="1">{"fdsup://IBCentral/FAT Viewer?action=UPDATE&amp;creator=factset&amp;DOC_NAME=fat:reuters_qtrly_source_window.fat&amp;display_string=Audit&amp;DYN_ARGS=TRUE&amp;VAR:ID1=91324P10&amp;VAR:RCODE=LTCL&amp;VAR:SDATE=20081299&amp;VAR:FREQ=DAILY&amp;VAR:RELITEM=&amp;VAR:CURRENCY=&amp;VAR:CURRSOURCE=EXSHARE&amp;","VAR:NATFREQ=QUARTERLY&amp;VAR:RFIELD=FINALIZED&amp;VAR:DB_TYPE=&amp;VAR:UNITS=M&amp;window=popup&amp;width=450&amp;height=300&amp;START_MAXIMIZED=FALSE"}</definedName>
    <definedName name="_827__FDSAUDITLINK__" hidden="1">{"fdsup://IBCentral/FAT Viewer?action=UPDATE&amp;creator=factset&amp;DOC_NAME=fat:reuters_qtrly_source_window.fat&amp;display_string=Audit&amp;DYN_ARGS=TRUE&amp;VAR:ID1=91324P10&amp;VAR:RCODE=ATCA&amp;VAR:SDATE=20081299&amp;VAR:FREQ=DAILY&amp;VAR:RELITEM=&amp;VAR:CURRENCY=&amp;VAR:CURRSOURCE=EXSHARE&amp;","VAR:NATFREQ=QUARTERLY&amp;VAR:RFIELD=FINALIZED&amp;VAR:DB_TYPE=&amp;VAR:UNITS=M&amp;window=popup&amp;width=450&amp;height=300&amp;START_MAXIMIZED=FALSE"}</definedName>
    <definedName name="_828__FDSAUDITLINK__" hidden="1">{"fdsup://IBCentral/FAT Viewer?action=UPDATE&amp;creator=factset&amp;DOC_NAME=fat:reuters_qtrly_source_window.fat&amp;display_string=Audit&amp;DYN_ARGS=TRUE&amp;VAR:ID1=91324P10&amp;VAR:RCODE=ATOT&amp;VAR:SDATE=20081299&amp;VAR:FREQ=DAILY&amp;VAR:RELITEM=&amp;VAR:CURRENCY=&amp;VAR:CURRSOURCE=EXSHARE&amp;","VAR:NATFREQ=QUARTERLY&amp;VAR:RFIELD=FINALIZED&amp;VAR:DB_TYPE=&amp;VAR:UNITS=M&amp;window=popup&amp;width=450&amp;height=300&amp;START_MAXIMIZED=FALSE"}</definedName>
    <definedName name="_829__FDSAUDITLINK__" hidden="1">{"fdsup://IBCentral/FAT Viewer?action=UPDATE&amp;creator=factset&amp;DOC_NAME=fat:reuters_qtrly_source_window.fat&amp;display_string=Audit&amp;DYN_ARGS=TRUE&amp;VAR:ID1=88320310&amp;VAR:RCODE=LTLL&amp;VAR:SDATE=20081299&amp;VAR:FREQ=DAILY&amp;VAR:RELITEM=&amp;VAR:CURRENCY=&amp;VAR:CURRSOURCE=EXSHARE&amp;","VAR:NATFREQ=QUARTERLY&amp;VAR:RFIELD=FINALIZED&amp;VAR:DB_TYPE=&amp;VAR:UNITS=M&amp;window=popup&amp;width=450&amp;height=300&amp;START_MAXIMIZED=FALSE"}</definedName>
    <definedName name="_83__FDSAUDITLINK__" hidden="1">{"fdsup://Directions/FactSet Auditing Viewer?action=AUDIT_VALUE&amp;DB=129&amp;ID1=09662710&amp;VALUEID=02999&amp;SDATE=201001&amp;PERIODTYPE=QTR_STD&amp;window=popup_no_bar&amp;width=385&amp;height=120&amp;START_MAXIMIZED=FALSE&amp;creator=factset&amp;display_string=Audit"}</definedName>
    <definedName name="_830__FDSAUDITLINK__" hidden="1">{"fdsup://IBCentral/FAT Viewer?action=UPDATE&amp;creator=factset&amp;DOC_NAME=fat:reuters_qtrly_source_window.fat&amp;display_string=Audit&amp;DYN_ARGS=TRUE&amp;VAR:ID1=88320310&amp;VAR:RCODE=LTCL&amp;VAR:SDATE=20081299&amp;VAR:FREQ=DAILY&amp;VAR:RELITEM=&amp;VAR:CURRENCY=&amp;VAR:CURRSOURCE=EXSHARE&amp;","VAR:NATFREQ=QUARTERLY&amp;VAR:RFIELD=FINALIZED&amp;VAR:DB_TYPE=&amp;VAR:UNITS=M&amp;window=popup&amp;width=450&amp;height=300&amp;START_MAXIMIZED=FALSE"}</definedName>
    <definedName name="_831__FDSAUDITLINK__" hidden="1">{"fdsup://IBCentral/FAT Viewer?action=UPDATE&amp;creator=factset&amp;DOC_NAME=fat:reuters_qtrly_source_window.fat&amp;display_string=Audit&amp;DYN_ARGS=TRUE&amp;VAR:ID1=88320310&amp;VAR:RCODE=ATCA&amp;VAR:SDATE=20081299&amp;VAR:FREQ=DAILY&amp;VAR:RELITEM=&amp;VAR:CURRENCY=&amp;VAR:CURRSOURCE=EXSHARE&amp;","VAR:NATFREQ=QUARTERLY&amp;VAR:RFIELD=FINALIZED&amp;VAR:DB_TYPE=&amp;VAR:UNITS=M&amp;window=popup&amp;width=450&amp;height=300&amp;START_MAXIMIZED=FALSE"}</definedName>
    <definedName name="_832__FDSAUDITLINK__" hidden="1">{"fdsup://IBCentral/FAT Viewer?action=UPDATE&amp;creator=factset&amp;DOC_NAME=fat:reuters_qtrly_source_window.fat&amp;display_string=Audit&amp;DYN_ARGS=TRUE&amp;VAR:ID1=88320310&amp;VAR:RCODE=ATOT&amp;VAR:SDATE=20081299&amp;VAR:FREQ=DAILY&amp;VAR:RELITEM=&amp;VAR:CURRENCY=&amp;VAR:CURRSOURCE=EXSHARE&amp;","VAR:NATFREQ=QUARTERLY&amp;VAR:RFIELD=FINALIZED&amp;VAR:DB_TYPE=&amp;VAR:UNITS=M&amp;window=popup&amp;width=450&amp;height=300&amp;START_MAXIMIZED=FALSE"}</definedName>
    <definedName name="_833__FDSAUDITLINK__" hidden="1">{"fdsup://IBCentral/FAT Viewer?action=UPDATE&amp;creator=factset&amp;DOC_NAME=fat:reuters_qtrly_source_window.fat&amp;display_string=Audit&amp;DYN_ARGS=TRUE&amp;VAR:ID1=84474110&amp;VAR:RCODE=LTLL&amp;VAR:SDATE=20081299&amp;VAR:FREQ=DAILY&amp;VAR:RELITEM=&amp;VAR:CURRENCY=&amp;VAR:CURRSOURCE=EXSHARE&amp;","VAR:NATFREQ=QUARTERLY&amp;VAR:RFIELD=FINALIZED&amp;VAR:DB_TYPE=&amp;VAR:UNITS=M&amp;window=popup&amp;width=450&amp;height=300&amp;START_MAXIMIZED=FALSE"}</definedName>
    <definedName name="_834__FDSAUDITLINK__" hidden="1">{"fdsup://IBCentral/FAT Viewer?action=UPDATE&amp;creator=factset&amp;DOC_NAME=fat:reuters_qtrly_source_window.fat&amp;display_string=Audit&amp;DYN_ARGS=TRUE&amp;VAR:ID1=84474110&amp;VAR:RCODE=LTCL&amp;VAR:SDATE=20081299&amp;VAR:FREQ=DAILY&amp;VAR:RELITEM=&amp;VAR:CURRENCY=&amp;VAR:CURRSOURCE=EXSHARE&amp;","VAR:NATFREQ=QUARTERLY&amp;VAR:RFIELD=FINALIZED&amp;VAR:DB_TYPE=&amp;VAR:UNITS=M&amp;window=popup&amp;width=450&amp;height=300&amp;START_MAXIMIZED=FALSE"}</definedName>
    <definedName name="_835__FDSAUDITLINK__" hidden="1">{"fdsup://IBCentral/FAT Viewer?action=UPDATE&amp;creator=factset&amp;DOC_NAME=fat:reuters_qtrly_source_window.fat&amp;display_string=Audit&amp;DYN_ARGS=TRUE&amp;VAR:ID1=84474110&amp;VAR:RCODE=ATCA&amp;VAR:SDATE=20081299&amp;VAR:FREQ=DAILY&amp;VAR:RELITEM=&amp;VAR:CURRENCY=&amp;VAR:CURRSOURCE=EXSHARE&amp;","VAR:NATFREQ=QUARTERLY&amp;VAR:RFIELD=FINALIZED&amp;VAR:DB_TYPE=&amp;VAR:UNITS=M&amp;window=popup&amp;width=450&amp;height=300&amp;START_MAXIMIZED=FALSE"}</definedName>
    <definedName name="_836__FDSAUDITLINK__" hidden="1">{"fdsup://IBCentral/FAT Viewer?action=UPDATE&amp;creator=factset&amp;DOC_NAME=fat:reuters_qtrly_source_window.fat&amp;display_string=Audit&amp;DYN_ARGS=TRUE&amp;VAR:ID1=84474110&amp;VAR:RCODE=ATOT&amp;VAR:SDATE=20081299&amp;VAR:FREQ=DAILY&amp;VAR:RELITEM=&amp;VAR:CURRENCY=&amp;VAR:CURRSOURCE=EXSHARE&amp;","VAR:NATFREQ=QUARTERLY&amp;VAR:RFIELD=FINALIZED&amp;VAR:DB_TYPE=&amp;VAR:UNITS=M&amp;window=popup&amp;width=450&amp;height=300&amp;START_MAXIMIZED=FALSE"}</definedName>
    <definedName name="_837__FDSAUDITLINK__" hidden="1">{"fdsup://IBCentral/FAT Viewer?action=UPDATE&amp;creator=factset&amp;DOC_NAME=fat:reuters_qtrly_source_window.fat&amp;display_string=Audit&amp;DYN_ARGS=TRUE&amp;VAR:ID1=83211010&amp;VAR:RCODE=LTLL&amp;VAR:SDATE=20081299&amp;VAR:FREQ=DAILY&amp;VAR:RELITEM=&amp;VAR:CURRENCY=&amp;VAR:CURRSOURCE=EXSHARE&amp;","VAR:NATFREQ=QUARTERLY&amp;VAR:RFIELD=FINALIZED&amp;VAR:DB_TYPE=&amp;VAR:UNITS=M&amp;window=popup&amp;width=450&amp;height=300&amp;START_MAXIMIZED=FALSE"}</definedName>
    <definedName name="_838__FDSAUDITLINK__" hidden="1">{"fdsup://IBCentral/FAT Viewer?action=UPDATE&amp;creator=factset&amp;DOC_NAME=fat:reuters_qtrly_source_window.fat&amp;display_string=Audit&amp;DYN_ARGS=TRUE&amp;VAR:ID1=83211010&amp;VAR:RCODE=LTCL&amp;VAR:SDATE=20081299&amp;VAR:FREQ=DAILY&amp;VAR:RELITEM=&amp;VAR:CURRENCY=&amp;VAR:CURRSOURCE=EXSHARE&amp;","VAR:NATFREQ=QUARTERLY&amp;VAR:RFIELD=FINALIZED&amp;VAR:DB_TYPE=&amp;VAR:UNITS=M&amp;window=popup&amp;width=450&amp;height=300&amp;START_MAXIMIZED=FALSE"}</definedName>
    <definedName name="_839__FDSAUDITLINK__" hidden="1">{"fdsup://IBCentral/FAT Viewer?action=UPDATE&amp;creator=factset&amp;DOC_NAME=fat:reuters_qtrly_source_window.fat&amp;display_string=Audit&amp;DYN_ARGS=TRUE&amp;VAR:ID1=83211010&amp;VAR:RCODE=ATCA&amp;VAR:SDATE=20081299&amp;VAR:FREQ=DAILY&amp;VAR:RELITEM=&amp;VAR:CURRENCY=&amp;VAR:CURRSOURCE=EXSHARE&amp;","VAR:NATFREQ=QUARTERLY&amp;VAR:RFIELD=FINALIZED&amp;VAR:DB_TYPE=&amp;VAR:UNITS=M&amp;window=popup&amp;width=450&amp;height=300&amp;START_MAXIMIZED=FALSE"}</definedName>
    <definedName name="_83IQ_CURRENCY_GAIN_INS" hidden="1">"c238"</definedName>
    <definedName name="_84__FDSAUDITLINK__" hidden="1">{"fdsup://Directions/FactSet Auditing Viewer?action=AUDIT_VALUE&amp;DB=129&amp;ID1=09702310&amp;VALUEID=02999&amp;SDATE=201001&amp;PERIODTYPE=QTR_STD&amp;window=popup_no_bar&amp;width=385&amp;height=120&amp;START_MAXIMIZED=FALSE&amp;creator=factset&amp;display_string=Audit"}</definedName>
    <definedName name="_840__FDSAUDITLINK__" hidden="1">{"fdsup://IBCentral/FAT Viewer?action=UPDATE&amp;creator=factset&amp;DOC_NAME=fat:reuters_qtrly_source_window.fat&amp;display_string=Audit&amp;DYN_ARGS=TRUE&amp;VAR:ID1=83211010&amp;VAR:RCODE=ATOT&amp;VAR:SDATE=20081299&amp;VAR:FREQ=DAILY&amp;VAR:RELITEM=&amp;VAR:CURRENCY=&amp;VAR:CURRSOURCE=EXSHARE&amp;","VAR:NATFREQ=QUARTERLY&amp;VAR:RFIELD=FINALIZED&amp;VAR:DB_TYPE=&amp;VAR:UNITS=M&amp;window=popup&amp;width=450&amp;height=300&amp;START_MAXIMIZED=FALSE"}</definedName>
    <definedName name="_841__FDSAUDITLINK__" hidden="1">{"fdsup://IBCentral/FAT Viewer?action=UPDATE&amp;creator=factset&amp;DOC_NAME=fat:reuters_qtrly_source_window.fat&amp;display_string=Audit&amp;DYN_ARGS=TRUE&amp;VAR:ID1=81685110&amp;VAR:RCODE=LTLL&amp;VAR:SDATE=20081299&amp;VAR:FREQ=DAILY&amp;VAR:RELITEM=&amp;VAR:CURRENCY=&amp;VAR:CURRSOURCE=EXSHARE&amp;","VAR:NATFREQ=QUARTERLY&amp;VAR:RFIELD=FINALIZED&amp;VAR:DB_TYPE=&amp;VAR:UNITS=M&amp;window=popup&amp;width=450&amp;height=300&amp;START_MAXIMIZED=FALSE"}</definedName>
    <definedName name="_842__FDSAUDITLINK__" hidden="1">{"fdsup://IBCentral/FAT Viewer?action=UPDATE&amp;creator=factset&amp;DOC_NAME=fat:reuters_qtrly_source_window.fat&amp;display_string=Audit&amp;DYN_ARGS=TRUE&amp;VAR:ID1=81685110&amp;VAR:RCODE=LTCL&amp;VAR:SDATE=20081299&amp;VAR:FREQ=DAILY&amp;VAR:RELITEM=&amp;VAR:CURRENCY=&amp;VAR:CURRSOURCE=EXSHARE&amp;","VAR:NATFREQ=QUARTERLY&amp;VAR:RFIELD=FINALIZED&amp;VAR:DB_TYPE=&amp;VAR:UNITS=M&amp;window=popup&amp;width=450&amp;height=300&amp;START_MAXIMIZED=FALSE"}</definedName>
    <definedName name="_843__FDSAUDITLINK__" hidden="1">{"fdsup://IBCentral/FAT Viewer?action=UPDATE&amp;creator=factset&amp;DOC_NAME=fat:reuters_qtrly_source_window.fat&amp;display_string=Audit&amp;DYN_ARGS=TRUE&amp;VAR:ID1=81685110&amp;VAR:RCODE=ATCA&amp;VAR:SDATE=20081299&amp;VAR:FREQ=DAILY&amp;VAR:RELITEM=&amp;VAR:CURRENCY=&amp;VAR:CURRSOURCE=EXSHARE&amp;","VAR:NATFREQ=QUARTERLY&amp;VAR:RFIELD=FINALIZED&amp;VAR:DB_TYPE=&amp;VAR:UNITS=M&amp;window=popup&amp;width=450&amp;height=300&amp;START_MAXIMIZED=FALSE"}</definedName>
    <definedName name="_844__FDSAUDITLINK__" hidden="1">{"fdsup://IBCentral/FAT Viewer?action=UPDATE&amp;creator=factset&amp;DOC_NAME=fat:reuters_qtrly_source_window.fat&amp;display_string=Audit&amp;DYN_ARGS=TRUE&amp;VAR:ID1=81685110&amp;VAR:RCODE=ATOT&amp;VAR:SDATE=20081299&amp;VAR:FREQ=DAILY&amp;VAR:RELITEM=&amp;VAR:CURRENCY=&amp;VAR:CURRSOURCE=EXSHARE&amp;","VAR:NATFREQ=QUARTERLY&amp;VAR:RFIELD=FINALIZED&amp;VAR:DB_TYPE=&amp;VAR:UNITS=M&amp;window=popup&amp;width=450&amp;height=300&amp;START_MAXIMIZED=FALSE"}</definedName>
    <definedName name="_845__FDSAUDITLINK__" hidden="1">{"fdsup://IBCentral/FAT Viewer?action=UPDATE&amp;creator=factset&amp;DOC_NAME=fat:reuters_qtrly_source_window.fat&amp;display_string=Audit&amp;DYN_ARGS=TRUE&amp;VAR:ID1=80660510&amp;VAR:RCODE=LTLL&amp;VAR:SDATE=20081299&amp;VAR:FREQ=DAILY&amp;VAR:RELITEM=&amp;VAR:CURRENCY=&amp;VAR:CURRSOURCE=EXSHARE&amp;","VAR:NATFREQ=QUARTERLY&amp;VAR:RFIELD=FINALIZED&amp;VAR:DB_TYPE=&amp;VAR:UNITS=M&amp;window=popup&amp;width=450&amp;height=300&amp;START_MAXIMIZED=FALSE"}</definedName>
    <definedName name="_846__FDSAUDITLINK__" hidden="1">{"fdsup://IBCentral/FAT Viewer?action=UPDATE&amp;creator=factset&amp;DOC_NAME=fat:reuters_qtrly_source_window.fat&amp;display_string=Audit&amp;DYN_ARGS=TRUE&amp;VAR:ID1=80660510&amp;VAR:RCODE=LTCL&amp;VAR:SDATE=20081299&amp;VAR:FREQ=DAILY&amp;VAR:RELITEM=&amp;VAR:CURRENCY=&amp;VAR:CURRSOURCE=EXSHARE&amp;","VAR:NATFREQ=QUARTERLY&amp;VAR:RFIELD=FINALIZED&amp;VAR:DB_TYPE=&amp;VAR:UNITS=M&amp;window=popup&amp;width=450&amp;height=300&amp;START_MAXIMIZED=FALSE"}</definedName>
    <definedName name="_847__FDSAUDITLINK__" hidden="1">{"fdsup://IBCentral/FAT Viewer?action=UPDATE&amp;creator=factset&amp;DOC_NAME=fat:reuters_qtrly_source_window.fat&amp;display_string=Audit&amp;DYN_ARGS=TRUE&amp;VAR:ID1=80660510&amp;VAR:RCODE=ATCA&amp;VAR:SDATE=20081299&amp;VAR:FREQ=DAILY&amp;VAR:RELITEM=&amp;VAR:CURRENCY=&amp;VAR:CURRSOURCE=EXSHARE&amp;","VAR:NATFREQ=QUARTERLY&amp;VAR:RFIELD=FINALIZED&amp;VAR:DB_TYPE=&amp;VAR:UNITS=M&amp;window=popup&amp;width=450&amp;height=300&amp;START_MAXIMIZED=FALSE"}</definedName>
    <definedName name="_848__FDSAUDITLINK__" hidden="1">{"fdsup://IBCentral/FAT Viewer?action=UPDATE&amp;creator=factset&amp;DOC_NAME=fat:reuters_qtrly_source_window.fat&amp;display_string=Audit&amp;DYN_ARGS=TRUE&amp;VAR:ID1=80660510&amp;VAR:RCODE=ATOT&amp;VAR:SDATE=20081299&amp;VAR:FREQ=DAILY&amp;VAR:RELITEM=&amp;VAR:CURRENCY=&amp;VAR:CURRSOURCE=EXSHARE&amp;","VAR:NATFREQ=QUARTERLY&amp;VAR:RFIELD=FINALIZED&amp;VAR:DB_TYPE=&amp;VAR:UNITS=M&amp;window=popup&amp;width=450&amp;height=300&amp;START_MAXIMIZED=FALSE"}</definedName>
    <definedName name="_849__FDSAUDITLINK__" hidden="1">{"fdsup://IBCentral/FAT Viewer?action=UPDATE&amp;creator=factset&amp;DOC_NAME=fat:reuters_qtrly_source_window.fat&amp;display_string=Audit&amp;DYN_ARGS=TRUE&amp;VAR:ID1=80589M10&amp;VAR:RCODE=LTLL&amp;VAR:SDATE=20081299&amp;VAR:FREQ=DAILY&amp;VAR:RELITEM=&amp;VAR:CURRENCY=&amp;VAR:CURRSOURCE=EXSHARE&amp;","VAR:NATFREQ=QUARTERLY&amp;VAR:RFIELD=FINALIZED&amp;VAR:DB_TYPE=&amp;VAR:UNITS=M&amp;window=popup&amp;width=450&amp;height=300&amp;START_MAXIMIZED=FALSE"}</definedName>
    <definedName name="_85__FDSAUDITLINK__" hidden="1">{"fdsup://Directions/FactSet Auditing Viewer?action=AUDIT_VALUE&amp;DB=129&amp;ID1=09746Y10&amp;VALUEID=02999&amp;SDATE=201001&amp;PERIODTYPE=QTR_STD&amp;window=popup_no_bar&amp;width=385&amp;height=120&amp;START_MAXIMIZED=FALSE&amp;creator=factset&amp;display_string=Audit"}</definedName>
    <definedName name="_850__FDSAUDITLINK__" hidden="1">{"fdsup://IBCentral/FAT Viewer?action=UPDATE&amp;creator=factset&amp;DOC_NAME=fat:reuters_qtrly_source_window.fat&amp;display_string=Audit&amp;DYN_ARGS=TRUE&amp;VAR:ID1=80589M10&amp;VAR:RCODE=LTCL&amp;VAR:SDATE=20081299&amp;VAR:FREQ=DAILY&amp;VAR:RELITEM=&amp;VAR:CURRENCY=&amp;VAR:CURRSOURCE=EXSHARE&amp;","VAR:NATFREQ=QUARTERLY&amp;VAR:RFIELD=FINALIZED&amp;VAR:DB_TYPE=&amp;VAR:UNITS=M&amp;window=popup&amp;width=450&amp;height=300&amp;START_MAXIMIZED=FALSE"}</definedName>
    <definedName name="_851__FDSAUDITLINK__" hidden="1">{"fdsup://IBCentral/FAT Viewer?action=UPDATE&amp;creator=factset&amp;DOC_NAME=fat:reuters_qtrly_source_window.fat&amp;display_string=Audit&amp;DYN_ARGS=TRUE&amp;VAR:ID1=80589M10&amp;VAR:RCODE=ATCA&amp;VAR:SDATE=20081299&amp;VAR:FREQ=DAILY&amp;VAR:RELITEM=&amp;VAR:CURRENCY=&amp;VAR:CURRSOURCE=EXSHARE&amp;","VAR:NATFREQ=QUARTERLY&amp;VAR:RFIELD=FINALIZED&amp;VAR:DB_TYPE=&amp;VAR:UNITS=M&amp;window=popup&amp;width=450&amp;height=300&amp;START_MAXIMIZED=FALSE"}</definedName>
    <definedName name="_852__FDSAUDITLINK__" hidden="1">{"fdsup://IBCentral/FAT Viewer?action=UPDATE&amp;creator=factset&amp;DOC_NAME=fat:reuters_qtrly_source_window.fat&amp;display_string=Audit&amp;DYN_ARGS=TRUE&amp;VAR:ID1=80589M10&amp;VAR:RCODE=ATOT&amp;VAR:SDATE=20081299&amp;VAR:FREQ=DAILY&amp;VAR:RELITEM=&amp;VAR:CURRENCY=&amp;VAR:CURRSOURCE=EXSHARE&amp;","VAR:NATFREQ=QUARTERLY&amp;VAR:RFIELD=FINALIZED&amp;VAR:DB_TYPE=&amp;VAR:UNITS=M&amp;window=popup&amp;width=450&amp;height=300&amp;START_MAXIMIZED=FALSE"}</definedName>
    <definedName name="_853__FDSAUDITLINK__" hidden="1">{"fdsup://IBCentral/FAT Viewer?action=UPDATE&amp;creator=factset&amp;DOC_NAME=fat:reuters_qtrly_source_window.fat&amp;display_string=Audit&amp;DYN_ARGS=TRUE&amp;VAR:ID1=80311110&amp;VAR:RCODE=LTLL&amp;VAR:SDATE=20081299&amp;VAR:FREQ=DAILY&amp;VAR:RELITEM=&amp;VAR:CURRENCY=&amp;VAR:CURRSOURCE=EXSHARE&amp;","VAR:NATFREQ=QUARTERLY&amp;VAR:RFIELD=FINALIZED&amp;VAR:DB_TYPE=&amp;VAR:UNITS=M&amp;window=popup&amp;width=450&amp;height=300&amp;START_MAXIMIZED=FALSE"}</definedName>
    <definedName name="_854__FDSAUDITLINK__" hidden="1">{"fdsup://IBCentral/FAT Viewer?action=UPDATE&amp;creator=factset&amp;DOC_NAME=fat:reuters_qtrly_source_window.fat&amp;display_string=Audit&amp;DYN_ARGS=TRUE&amp;VAR:ID1=80311110&amp;VAR:RCODE=LTCL&amp;VAR:SDATE=20081299&amp;VAR:FREQ=DAILY&amp;VAR:RELITEM=&amp;VAR:CURRENCY=&amp;VAR:CURRSOURCE=EXSHARE&amp;","VAR:NATFREQ=QUARTERLY&amp;VAR:RFIELD=FINALIZED&amp;VAR:DB_TYPE=&amp;VAR:UNITS=M&amp;window=popup&amp;width=450&amp;height=300&amp;START_MAXIMIZED=FALSE"}</definedName>
    <definedName name="_855__FDSAUDITLINK__" hidden="1">{"fdsup://IBCentral/FAT Viewer?action=UPDATE&amp;creator=factset&amp;DOC_NAME=fat:reuters_qtrly_source_window.fat&amp;display_string=Audit&amp;DYN_ARGS=TRUE&amp;VAR:ID1=80311110&amp;VAR:RCODE=ATCA&amp;VAR:SDATE=20081299&amp;VAR:FREQ=DAILY&amp;VAR:RELITEM=&amp;VAR:CURRENCY=&amp;VAR:CURRSOURCE=EXSHARE&amp;","VAR:NATFREQ=QUARTERLY&amp;VAR:RFIELD=FINALIZED&amp;VAR:DB_TYPE=&amp;VAR:UNITS=M&amp;window=popup&amp;width=450&amp;height=300&amp;START_MAXIMIZED=FALSE"}</definedName>
    <definedName name="_856__FDSAUDITLINK__" hidden="1">{"fdsup://IBCentral/FAT Viewer?action=UPDATE&amp;creator=factset&amp;DOC_NAME=fat:reuters_qtrly_source_window.fat&amp;display_string=Audit&amp;DYN_ARGS=TRUE&amp;VAR:ID1=80311110&amp;VAR:RCODE=ATOT&amp;VAR:SDATE=20081299&amp;VAR:FREQ=DAILY&amp;VAR:RELITEM=&amp;VAR:CURRENCY=&amp;VAR:CURRSOURCE=EXSHARE&amp;","VAR:NATFREQ=QUARTERLY&amp;VAR:RFIELD=FINALIZED&amp;VAR:DB_TYPE=&amp;VAR:UNITS=M&amp;window=popup&amp;width=450&amp;height=300&amp;START_MAXIMIZED=FALSE"}</definedName>
    <definedName name="_857__FDSAUDITLINK__" hidden="1">{"fdsup://IBCentral/FAT Viewer?action=UPDATE&amp;creator=factset&amp;DOC_NAME=fat:reuters_qtrly_source_window.fat&amp;display_string=Audit&amp;DYN_ARGS=TRUE&amp;VAR:ID1=78354910&amp;VAR:RCODE=LTLL&amp;VAR:SDATE=20081299&amp;VAR:FREQ=DAILY&amp;VAR:RELITEM=&amp;VAR:CURRENCY=&amp;VAR:CURRSOURCE=EXSHARE&amp;","VAR:NATFREQ=QUARTERLY&amp;VAR:RFIELD=FINALIZED&amp;VAR:DB_TYPE=&amp;VAR:UNITS=M&amp;window=popup&amp;width=450&amp;height=300&amp;START_MAXIMIZED=FALSE"}</definedName>
    <definedName name="_858__FDSAUDITLINK__" hidden="1">{"fdsup://IBCentral/FAT Viewer?action=UPDATE&amp;creator=factset&amp;DOC_NAME=fat:reuters_qtrly_source_window.fat&amp;display_string=Audit&amp;DYN_ARGS=TRUE&amp;VAR:ID1=78354910&amp;VAR:RCODE=LTCL&amp;VAR:SDATE=20081299&amp;VAR:FREQ=DAILY&amp;VAR:RELITEM=&amp;VAR:CURRENCY=&amp;VAR:CURRSOURCE=EXSHARE&amp;","VAR:NATFREQ=QUARTERLY&amp;VAR:RFIELD=FINALIZED&amp;VAR:DB_TYPE=&amp;VAR:UNITS=M&amp;window=popup&amp;width=450&amp;height=300&amp;START_MAXIMIZED=FALSE"}</definedName>
    <definedName name="_859__FDSAUDITLINK__" hidden="1">{"fdsup://IBCentral/FAT Viewer?action=UPDATE&amp;creator=factset&amp;DOC_NAME=fat:reuters_qtrly_source_window.fat&amp;display_string=Audit&amp;DYN_ARGS=TRUE&amp;VAR:ID1=78354910&amp;VAR:RCODE=ATCA&amp;VAR:SDATE=20081299&amp;VAR:FREQ=DAILY&amp;VAR:RELITEM=&amp;VAR:CURRENCY=&amp;VAR:CURRSOURCE=EXSHARE&amp;","VAR:NATFREQ=QUARTERLY&amp;VAR:RFIELD=FINALIZED&amp;VAR:DB_TYPE=&amp;VAR:UNITS=M&amp;window=popup&amp;width=450&amp;height=300&amp;START_MAXIMIZED=FALSE"}</definedName>
    <definedName name="_86__FDSAUDITLINK__" hidden="1">{"fdsup://Directions/FactSet Auditing Viewer?action=AUDIT_VALUE&amp;DB=129&amp;ID1=09776J10&amp;VALUEID=02999&amp;SDATE=201001&amp;PERIODTYPE=QTR_STD&amp;window=popup_no_bar&amp;width=385&amp;height=120&amp;START_MAXIMIZED=FALSE&amp;creator=factset&amp;display_string=Audit"}</definedName>
    <definedName name="_860__FDSAUDITLINK__" hidden="1">{"fdsup://IBCentral/FAT Viewer?action=UPDATE&amp;creator=factset&amp;DOC_NAME=fat:reuters_qtrly_source_window.fat&amp;display_string=Audit&amp;DYN_ARGS=TRUE&amp;VAR:ID1=78354910&amp;VAR:RCODE=ATOT&amp;VAR:SDATE=20081299&amp;VAR:FREQ=DAILY&amp;VAR:RELITEM=&amp;VAR:CURRENCY=&amp;VAR:CURRSOURCE=EXSHARE&amp;","VAR:NATFREQ=QUARTERLY&amp;VAR:RFIELD=FINALIZED&amp;VAR:DB_TYPE=&amp;VAR:UNITS=M&amp;window=popup&amp;width=450&amp;height=300&amp;START_MAXIMIZED=FALSE"}</definedName>
    <definedName name="_861__FDSAUDITLINK__" hidden="1">{"fdsup://IBCentral/FAT Viewer?action=UPDATE&amp;creator=factset&amp;DOC_NAME=fat:reuters_qtrly_source_window.fat&amp;display_string=Audit&amp;DYN_ARGS=TRUE&amp;VAR:ID1=77537110&amp;VAR:RCODE=LTLL&amp;VAR:SDATE=20081299&amp;VAR:FREQ=DAILY&amp;VAR:RELITEM=&amp;VAR:CURRENCY=&amp;VAR:CURRSOURCE=EXSHARE&amp;","VAR:NATFREQ=QUARTERLY&amp;VAR:RFIELD=FINALIZED&amp;VAR:DB_TYPE=&amp;VAR:UNITS=M&amp;window=popup&amp;width=450&amp;height=300&amp;START_MAXIMIZED=FALSE"}</definedName>
    <definedName name="_862__FDSAUDITLINK__" hidden="1">{"fdsup://IBCentral/FAT Viewer?action=UPDATE&amp;creator=factset&amp;DOC_NAME=fat:reuters_qtrly_source_window.fat&amp;display_string=Audit&amp;DYN_ARGS=TRUE&amp;VAR:ID1=77537110&amp;VAR:RCODE=LTCL&amp;VAR:SDATE=20081299&amp;VAR:FREQ=DAILY&amp;VAR:RELITEM=&amp;VAR:CURRENCY=&amp;VAR:CURRSOURCE=EXSHARE&amp;","VAR:NATFREQ=QUARTERLY&amp;VAR:RFIELD=FINALIZED&amp;VAR:DB_TYPE=&amp;VAR:UNITS=M&amp;window=popup&amp;width=450&amp;height=300&amp;START_MAXIMIZED=FALSE"}</definedName>
    <definedName name="_863__FDSAUDITLINK__" hidden="1">{"fdsup://IBCentral/FAT Viewer?action=UPDATE&amp;creator=factset&amp;DOC_NAME=fat:reuters_qtrly_source_window.fat&amp;display_string=Audit&amp;DYN_ARGS=TRUE&amp;VAR:ID1=77537110&amp;VAR:RCODE=ATCA&amp;VAR:SDATE=20081299&amp;VAR:FREQ=DAILY&amp;VAR:RELITEM=&amp;VAR:CURRENCY=&amp;VAR:CURRSOURCE=EXSHARE&amp;","VAR:NATFREQ=QUARTERLY&amp;VAR:RFIELD=FINALIZED&amp;VAR:DB_TYPE=&amp;VAR:UNITS=M&amp;window=popup&amp;width=450&amp;height=300&amp;START_MAXIMIZED=FALSE"}</definedName>
    <definedName name="_864__FDSAUDITLINK__" hidden="1">{"fdsup://IBCentral/FAT Viewer?action=UPDATE&amp;creator=factset&amp;DOC_NAME=fat:reuters_qtrly_source_window.fat&amp;display_string=Audit&amp;DYN_ARGS=TRUE&amp;VAR:ID1=77537110&amp;VAR:RCODE=ATOT&amp;VAR:SDATE=20081299&amp;VAR:FREQ=DAILY&amp;VAR:RELITEM=&amp;VAR:CURRENCY=&amp;VAR:CURRSOURCE=EXSHARE&amp;","VAR:NATFREQ=QUARTERLY&amp;VAR:RFIELD=FINALIZED&amp;VAR:DB_TYPE=&amp;VAR:UNITS=M&amp;window=popup&amp;width=450&amp;height=300&amp;START_MAXIMIZED=FALSE"}</definedName>
    <definedName name="_865__FDSAUDITLINK__" hidden="1">{"fdsup://IBCentral/FAT Viewer?action=UPDATE&amp;creator=factset&amp;DOC_NAME=fat:reuters_qtrly_source_window.fat&amp;display_string=Audit&amp;DYN_ARGS=TRUE&amp;VAR:ID1=75511150&amp;VAR:RCODE=LTLL&amp;VAR:SDATE=20081299&amp;VAR:FREQ=DAILY&amp;VAR:RELITEM=&amp;VAR:CURRENCY=&amp;VAR:CURRSOURCE=EXSHARE&amp;","VAR:NATFREQ=QUARTERLY&amp;VAR:RFIELD=FINALIZED&amp;VAR:DB_TYPE=&amp;VAR:UNITS=M&amp;window=popup&amp;width=450&amp;height=300&amp;START_MAXIMIZED=FALSE"}</definedName>
    <definedName name="_866__FDSAUDITLINK__" hidden="1">{"fdsup://IBCentral/FAT Viewer?action=UPDATE&amp;creator=factset&amp;DOC_NAME=fat:reuters_qtrly_source_window.fat&amp;display_string=Audit&amp;DYN_ARGS=TRUE&amp;VAR:ID1=75511150&amp;VAR:RCODE=LTCL&amp;VAR:SDATE=20081299&amp;VAR:FREQ=DAILY&amp;VAR:RELITEM=&amp;VAR:CURRENCY=&amp;VAR:CURRSOURCE=EXSHARE&amp;","VAR:NATFREQ=QUARTERLY&amp;VAR:RFIELD=FINALIZED&amp;VAR:DB_TYPE=&amp;VAR:UNITS=M&amp;window=popup&amp;width=450&amp;height=300&amp;START_MAXIMIZED=FALSE"}</definedName>
    <definedName name="_867__FDSAUDITLINK__" hidden="1">{"fdsup://IBCentral/FAT Viewer?action=UPDATE&amp;creator=factset&amp;DOC_NAME=fat:reuters_qtrly_source_window.fat&amp;display_string=Audit&amp;DYN_ARGS=TRUE&amp;VAR:ID1=75511150&amp;VAR:RCODE=ATCA&amp;VAR:SDATE=20081299&amp;VAR:FREQ=DAILY&amp;VAR:RELITEM=&amp;VAR:CURRENCY=&amp;VAR:CURRSOURCE=EXSHARE&amp;","VAR:NATFREQ=QUARTERLY&amp;VAR:RFIELD=FINALIZED&amp;VAR:DB_TYPE=&amp;VAR:UNITS=M&amp;window=popup&amp;width=450&amp;height=300&amp;START_MAXIMIZED=FALSE"}</definedName>
    <definedName name="_868__FDSAUDITLINK__" hidden="1">{"fdsup://IBCentral/FAT Viewer?action=UPDATE&amp;creator=factset&amp;DOC_NAME=fat:reuters_qtrly_source_window.fat&amp;display_string=Audit&amp;DYN_ARGS=TRUE&amp;VAR:ID1=75511150&amp;VAR:RCODE=ATOT&amp;VAR:SDATE=20081299&amp;VAR:FREQ=DAILY&amp;VAR:RELITEM=&amp;VAR:CURRENCY=&amp;VAR:CURRSOURCE=EXSHARE&amp;","VAR:NATFREQ=QUARTERLY&amp;VAR:RFIELD=FINALIZED&amp;VAR:DB_TYPE=&amp;VAR:UNITS=M&amp;window=popup&amp;width=450&amp;height=300&amp;START_MAXIMIZED=FALSE"}</definedName>
    <definedName name="_869__FDSAUDITLINK__" hidden="1">{"fdsup://IBCentral/FAT Viewer?action=UPDATE&amp;creator=factset&amp;DOC_NAME=fat:reuters_qtrly_source_window.fat&amp;display_string=Audit&amp;DYN_ARGS=TRUE&amp;VAR:ID1=74018910&amp;VAR:RCODE=LTLL&amp;VAR:SDATE=20081299&amp;VAR:FREQ=DAILY&amp;VAR:RELITEM=&amp;VAR:CURRENCY=&amp;VAR:CURRSOURCE=EXSHARE&amp;","VAR:NATFREQ=QUARTERLY&amp;VAR:RFIELD=FINALIZED&amp;VAR:DB_TYPE=&amp;VAR:UNITS=M&amp;window=popup&amp;width=450&amp;height=300&amp;START_MAXIMIZED=FALSE"}</definedName>
    <definedName name="_87__FDSAUDITLINK__" hidden="1">{"fdsup://Directions/FactSet Auditing Viewer?action=AUDIT_VALUE&amp;DB=129&amp;ID1=10113710&amp;VALUEID=02999&amp;SDATE=201001&amp;PERIODTYPE=QTR_STD&amp;window=popup_no_bar&amp;width=385&amp;height=120&amp;START_MAXIMIZED=FALSE&amp;creator=factset&amp;display_string=Audit"}</definedName>
    <definedName name="_870__FDSAUDITLINK__" hidden="1">{"fdsup://IBCentral/FAT Viewer?action=UPDATE&amp;creator=factset&amp;DOC_NAME=fat:reuters_qtrly_source_window.fat&amp;display_string=Audit&amp;DYN_ARGS=TRUE&amp;VAR:ID1=74018910&amp;VAR:RCODE=LTCL&amp;VAR:SDATE=20081299&amp;VAR:FREQ=DAILY&amp;VAR:RELITEM=&amp;VAR:CURRENCY=&amp;VAR:CURRSOURCE=EXSHARE&amp;","VAR:NATFREQ=QUARTERLY&amp;VAR:RFIELD=FINALIZED&amp;VAR:DB_TYPE=&amp;VAR:UNITS=M&amp;window=popup&amp;width=450&amp;height=300&amp;START_MAXIMIZED=FALSE"}</definedName>
    <definedName name="_871__FDSAUDITLINK__" hidden="1">{"fdsup://IBCentral/FAT Viewer?action=UPDATE&amp;creator=factset&amp;DOC_NAME=fat:reuters_qtrly_source_window.fat&amp;display_string=Audit&amp;DYN_ARGS=TRUE&amp;VAR:ID1=74018910&amp;VAR:RCODE=ATCA&amp;VAR:SDATE=20081299&amp;VAR:FREQ=DAILY&amp;VAR:RELITEM=&amp;VAR:CURRENCY=&amp;VAR:CURRSOURCE=EXSHARE&amp;","VAR:NATFREQ=QUARTERLY&amp;VAR:RFIELD=FINALIZED&amp;VAR:DB_TYPE=&amp;VAR:UNITS=M&amp;window=popup&amp;width=450&amp;height=300&amp;START_MAXIMIZED=FALSE"}</definedName>
    <definedName name="_872__FDSAUDITLINK__" hidden="1">{"fdsup://IBCentral/FAT Viewer?action=UPDATE&amp;creator=factset&amp;DOC_NAME=fat:reuters_qtrly_source_window.fat&amp;display_string=Audit&amp;DYN_ARGS=TRUE&amp;VAR:ID1=74018910&amp;VAR:RCODE=ATOT&amp;VAR:SDATE=20081299&amp;VAR:FREQ=DAILY&amp;VAR:RELITEM=&amp;VAR:CURRENCY=&amp;VAR:CURRSOURCE=EXSHARE&amp;","VAR:NATFREQ=QUARTERLY&amp;VAR:RFIELD=FINALIZED&amp;VAR:DB_TYPE=&amp;VAR:UNITS=M&amp;window=popup&amp;width=450&amp;height=300&amp;START_MAXIMIZED=FALSE"}</definedName>
    <definedName name="_873__FDSAUDITLINK__" hidden="1">{"fdsup://IBCentral/FAT Viewer?action=UPDATE&amp;creator=factset&amp;DOC_NAME=fat:reuters_qtrly_source_window.fat&amp;display_string=Audit&amp;DYN_ARGS=TRUE&amp;VAR:ID1=73157210&amp;VAR:RCODE=LTLL&amp;VAR:SDATE=20081299&amp;VAR:FREQ=DAILY&amp;VAR:RELITEM=&amp;VAR:CURRENCY=&amp;VAR:CURRSOURCE=EXSHARE&amp;","VAR:NATFREQ=QUARTERLY&amp;VAR:RFIELD=FINALIZED&amp;VAR:DB_TYPE=&amp;VAR:UNITS=M&amp;window=popup&amp;width=450&amp;height=300&amp;START_MAXIMIZED=FALSE"}</definedName>
    <definedName name="_874__FDSAUDITLINK__" hidden="1">{"fdsup://IBCentral/FAT Viewer?action=UPDATE&amp;creator=factset&amp;DOC_NAME=fat:reuters_qtrly_source_window.fat&amp;display_string=Audit&amp;DYN_ARGS=TRUE&amp;VAR:ID1=73157210&amp;VAR:RCODE=LTCL&amp;VAR:SDATE=20081299&amp;VAR:FREQ=DAILY&amp;VAR:RELITEM=&amp;VAR:CURRENCY=&amp;VAR:CURRSOURCE=EXSHARE&amp;","VAR:NATFREQ=QUARTERLY&amp;VAR:RFIELD=FINALIZED&amp;VAR:DB_TYPE=&amp;VAR:UNITS=M&amp;window=popup&amp;width=450&amp;height=300&amp;START_MAXIMIZED=FALSE"}</definedName>
    <definedName name="_875__FDSAUDITLINK__" hidden="1">{"fdsup://IBCentral/FAT Viewer?action=UPDATE&amp;creator=factset&amp;DOC_NAME=fat:reuters_qtrly_source_window.fat&amp;display_string=Audit&amp;DYN_ARGS=TRUE&amp;VAR:ID1=73157210&amp;VAR:RCODE=ATCA&amp;VAR:SDATE=20081299&amp;VAR:FREQ=DAILY&amp;VAR:RELITEM=&amp;VAR:CURRENCY=&amp;VAR:CURRSOURCE=EXSHARE&amp;","VAR:NATFREQ=QUARTERLY&amp;VAR:RFIELD=FINALIZED&amp;VAR:DB_TYPE=&amp;VAR:UNITS=M&amp;window=popup&amp;width=450&amp;height=300&amp;START_MAXIMIZED=FALSE"}</definedName>
    <definedName name="_876__FDSAUDITLINK__" hidden="1">{"fdsup://IBCentral/FAT Viewer?action=UPDATE&amp;creator=factset&amp;DOC_NAME=fat:reuters_qtrly_source_window.fat&amp;display_string=Audit&amp;DYN_ARGS=TRUE&amp;VAR:ID1=73157210&amp;VAR:RCODE=ATOT&amp;VAR:SDATE=20081299&amp;VAR:FREQ=DAILY&amp;VAR:RELITEM=&amp;VAR:CURRENCY=&amp;VAR:CURRSOURCE=EXSHARE&amp;","VAR:NATFREQ=QUARTERLY&amp;VAR:RFIELD=FINALIZED&amp;VAR:DB_TYPE=&amp;VAR:UNITS=M&amp;window=popup&amp;width=450&amp;height=300&amp;START_MAXIMIZED=FALSE"}</definedName>
    <definedName name="_877__FDSAUDITLINK__" hidden="1">{"fdsup://IBCentral/FAT Viewer?action=UPDATE&amp;creator=factset&amp;DOC_NAME=fat:reuters_qtrly_source_window.fat&amp;display_string=Audit&amp;DYN_ARGS=TRUE&amp;VAR:ID1=69331C10&amp;VAR:RCODE=LTLL&amp;VAR:SDATE=20081299&amp;VAR:FREQ=DAILY&amp;VAR:RELITEM=&amp;VAR:CURRENCY=&amp;VAR:CURRSOURCE=EXSHARE&amp;","VAR:NATFREQ=QUARTERLY&amp;VAR:RFIELD=FINALIZED&amp;VAR:DB_TYPE=&amp;VAR:UNITS=M&amp;window=popup&amp;width=450&amp;height=300&amp;START_MAXIMIZED=FALSE"}</definedName>
    <definedName name="_878__FDSAUDITLINK__" hidden="1">{"fdsup://IBCentral/FAT Viewer?action=UPDATE&amp;creator=factset&amp;DOC_NAME=fat:reuters_qtrly_source_window.fat&amp;display_string=Audit&amp;DYN_ARGS=TRUE&amp;VAR:ID1=69331C10&amp;VAR:RCODE=LTCL&amp;VAR:SDATE=20081299&amp;VAR:FREQ=DAILY&amp;VAR:RELITEM=&amp;VAR:CURRENCY=&amp;VAR:CURRSOURCE=EXSHARE&amp;","VAR:NATFREQ=QUARTERLY&amp;VAR:RFIELD=FINALIZED&amp;VAR:DB_TYPE=&amp;VAR:UNITS=M&amp;window=popup&amp;width=450&amp;height=300&amp;START_MAXIMIZED=FALSE"}</definedName>
    <definedName name="_879__FDSAUDITLINK__" hidden="1">{"fdsup://IBCentral/FAT Viewer?action=UPDATE&amp;creator=factset&amp;DOC_NAME=fat:reuters_qtrly_source_window.fat&amp;display_string=Audit&amp;DYN_ARGS=TRUE&amp;VAR:ID1=69331C10&amp;VAR:RCODE=ATCA&amp;VAR:SDATE=20081299&amp;VAR:FREQ=DAILY&amp;VAR:RELITEM=&amp;VAR:CURRENCY=&amp;VAR:CURRSOURCE=EXSHARE&amp;","VAR:NATFREQ=QUARTERLY&amp;VAR:RFIELD=FINALIZED&amp;VAR:DB_TYPE=&amp;VAR:UNITS=M&amp;window=popup&amp;width=450&amp;height=300&amp;START_MAXIMIZED=FALSE"}</definedName>
    <definedName name="_88__FDSAUDITLINK__" hidden="1">{"fdsup://Directions/FactSet Auditing Viewer?action=AUDIT_VALUE&amp;DB=129&amp;ID1=10304310&amp;VALUEID=02999&amp;SDATE=201001&amp;PERIODTYPE=QTR_STD&amp;window=popup_no_bar&amp;width=385&amp;height=120&amp;START_MAXIMIZED=FALSE&amp;creator=factset&amp;display_string=Audit"}</definedName>
    <definedName name="_880__FDSAUDITLINK__" hidden="1">{"fdsup://IBCentral/FAT Viewer?action=UPDATE&amp;creator=factset&amp;DOC_NAME=fat:reuters_qtrly_source_window.fat&amp;display_string=Audit&amp;DYN_ARGS=TRUE&amp;VAR:ID1=69331C10&amp;VAR:RCODE=ATOT&amp;VAR:SDATE=20081299&amp;VAR:FREQ=DAILY&amp;VAR:RELITEM=&amp;VAR:CURRENCY=&amp;VAR:CURRSOURCE=EXSHARE&amp;","VAR:NATFREQ=QUARTERLY&amp;VAR:RFIELD=FINALIZED&amp;VAR:DB_TYPE=&amp;VAR:UNITS=M&amp;window=popup&amp;width=450&amp;height=300&amp;START_MAXIMIZED=FALSE"}</definedName>
    <definedName name="_881__FDSAUDITLINK__" hidden="1">{"fdsup://IBCentral/FAT Viewer?action=UPDATE&amp;creator=factset&amp;DOC_NAME=fat:reuters_qtrly_source_window.fat&amp;display_string=Audit&amp;DYN_ARGS=TRUE&amp;VAR:ID1=71343P20&amp;VAR:RCODE=LTLL&amp;VAR:SDATE=20081299&amp;VAR:FREQ=DAILY&amp;VAR:RELITEM=&amp;VAR:CURRENCY=&amp;VAR:CURRSOURCE=EXSHARE&amp;","VAR:NATFREQ=QUARTERLY&amp;VAR:RFIELD=FINALIZED&amp;VAR:DB_TYPE=&amp;VAR:UNITS=M&amp;window=popup&amp;width=450&amp;height=300&amp;START_MAXIMIZED=FALSE"}</definedName>
    <definedName name="_882__FDSAUDITLINK__" hidden="1">{"fdsup://IBCentral/FAT Viewer?action=UPDATE&amp;creator=factset&amp;DOC_NAME=fat:reuters_qtrly_source_window.fat&amp;display_string=Audit&amp;DYN_ARGS=TRUE&amp;VAR:ID1=71343P20&amp;VAR:RCODE=LTCL&amp;VAR:SDATE=20081299&amp;VAR:FREQ=DAILY&amp;VAR:RELITEM=&amp;VAR:CURRENCY=&amp;VAR:CURRSOURCE=EXSHARE&amp;","VAR:NATFREQ=QUARTERLY&amp;VAR:RFIELD=FINALIZED&amp;VAR:DB_TYPE=&amp;VAR:UNITS=M&amp;window=popup&amp;width=450&amp;height=300&amp;START_MAXIMIZED=FALSE"}</definedName>
    <definedName name="_883__FDSAUDITLINK__" hidden="1">{"fdsup://IBCentral/FAT Viewer?action=UPDATE&amp;creator=factset&amp;DOC_NAME=fat:reuters_qtrly_source_window.fat&amp;display_string=Audit&amp;DYN_ARGS=TRUE&amp;VAR:ID1=71343P20&amp;VAR:RCODE=ATCA&amp;VAR:SDATE=20081299&amp;VAR:FREQ=DAILY&amp;VAR:RELITEM=&amp;VAR:CURRENCY=&amp;VAR:CURRSOURCE=EXSHARE&amp;","VAR:NATFREQ=QUARTERLY&amp;VAR:RFIELD=FINALIZED&amp;VAR:DB_TYPE=&amp;VAR:UNITS=M&amp;window=popup&amp;width=450&amp;height=300&amp;START_MAXIMIZED=FALSE"}</definedName>
    <definedName name="_884__FDSAUDITLINK__" hidden="1">{"fdsup://IBCentral/FAT Viewer?action=UPDATE&amp;creator=factset&amp;DOC_NAME=fat:reuters_qtrly_source_window.fat&amp;display_string=Audit&amp;DYN_ARGS=TRUE&amp;VAR:ID1=71343P20&amp;VAR:RCODE=ATOT&amp;VAR:SDATE=20081299&amp;VAR:FREQ=DAILY&amp;VAR:RELITEM=&amp;VAR:CURRENCY=&amp;VAR:CURRSOURCE=EXSHARE&amp;","VAR:NATFREQ=QUARTERLY&amp;VAR:RFIELD=FINALIZED&amp;VAR:DB_TYPE=&amp;VAR:UNITS=M&amp;window=popup&amp;width=450&amp;height=300&amp;START_MAXIMIZED=FALSE"}</definedName>
    <definedName name="_885__FDSAUDITLINK__" hidden="1">{"fdsup://IBCentral/FAT Viewer?action=UPDATE&amp;creator=factset&amp;DOC_NAME=fat:reuters_qtrly_source_window.fat&amp;display_string=Audit&amp;DYN_ARGS=TRUE&amp;VAR:ID1=71340910&amp;VAR:RCODE=LTLL&amp;VAR:SDATE=20081299&amp;VAR:FREQ=DAILY&amp;VAR:RELITEM=&amp;VAR:CURRENCY=&amp;VAR:CURRSOURCE=EXSHARE&amp;","VAR:NATFREQ=QUARTERLY&amp;VAR:RFIELD=FINALIZED&amp;VAR:DB_TYPE=&amp;VAR:UNITS=M&amp;window=popup&amp;width=450&amp;height=300&amp;START_MAXIMIZED=FALSE"}</definedName>
    <definedName name="_886__FDSAUDITLINK__" hidden="1">{"fdsup://IBCentral/FAT Viewer?action=UPDATE&amp;creator=factset&amp;DOC_NAME=fat:reuters_qtrly_source_window.fat&amp;display_string=Audit&amp;DYN_ARGS=TRUE&amp;VAR:ID1=71340910&amp;VAR:RCODE=LTCL&amp;VAR:SDATE=20081299&amp;VAR:FREQ=DAILY&amp;VAR:RELITEM=&amp;VAR:CURRENCY=&amp;VAR:CURRSOURCE=EXSHARE&amp;","VAR:NATFREQ=QUARTERLY&amp;VAR:RFIELD=FINALIZED&amp;VAR:DB_TYPE=&amp;VAR:UNITS=M&amp;window=popup&amp;width=450&amp;height=300&amp;START_MAXIMIZED=FALSE"}</definedName>
    <definedName name="_887__FDSAUDITLINK__" hidden="1">{"fdsup://IBCentral/FAT Viewer?action=UPDATE&amp;creator=factset&amp;DOC_NAME=fat:reuters_qtrly_source_window.fat&amp;display_string=Audit&amp;DYN_ARGS=TRUE&amp;VAR:ID1=71340910&amp;VAR:RCODE=ATCA&amp;VAR:SDATE=20081299&amp;VAR:FREQ=DAILY&amp;VAR:RELITEM=&amp;VAR:CURRENCY=&amp;VAR:CURRSOURCE=EXSHARE&amp;","VAR:NATFREQ=QUARTERLY&amp;VAR:RFIELD=FINALIZED&amp;VAR:DB_TYPE=&amp;VAR:UNITS=M&amp;window=popup&amp;width=450&amp;height=300&amp;START_MAXIMIZED=FALSE"}</definedName>
    <definedName name="_888__FDSAUDITLINK__" hidden="1">{"fdsup://IBCentral/FAT Viewer?action=UPDATE&amp;creator=factset&amp;DOC_NAME=fat:reuters_qtrly_source_window.fat&amp;display_string=Audit&amp;DYN_ARGS=TRUE&amp;VAR:ID1=71340910&amp;VAR:RCODE=ATOT&amp;VAR:SDATE=20081299&amp;VAR:FREQ=DAILY&amp;VAR:RELITEM=&amp;VAR:CURRENCY=&amp;VAR:CURRSOURCE=EXSHARE&amp;","VAR:NATFREQ=QUARTERLY&amp;VAR:RFIELD=FINALIZED&amp;VAR:DB_TYPE=&amp;VAR:UNITS=M&amp;window=popup&amp;width=450&amp;height=300&amp;START_MAXIMIZED=FALSE"}</definedName>
    <definedName name="_889__FDSAUDITLINK__" hidden="1">{"fdsup://IBCentral/FAT Viewer?action=UPDATE&amp;creator=factset&amp;DOC_NAME=fat:reuters_qtrly_source_window.fat&amp;display_string=Audit&amp;DYN_ARGS=TRUE&amp;VAR:ID1=69642930&amp;VAR:RCODE=LTLL&amp;VAR:SDATE=20081099&amp;VAR:FREQ=DAILY&amp;VAR:RELITEM=&amp;VAR:CURRENCY=&amp;VAR:CURRSOURCE=EXSHARE&amp;","VAR:NATFREQ=QUARTERLY&amp;VAR:RFIELD=FINALIZED&amp;VAR:DB_TYPE=&amp;VAR:UNITS=M&amp;window=popup&amp;width=450&amp;height=300&amp;START_MAXIMIZED=FALSE"}</definedName>
    <definedName name="_89__FDSAUDITLINK__" hidden="1">{"fdsup://Directions/FactSet Auditing Viewer?action=AUDIT_VALUE&amp;DB=129&amp;ID1=10330410&amp;VALUEID=02999&amp;SDATE=201001&amp;PERIODTYPE=QTR_STD&amp;window=popup_no_bar&amp;width=385&amp;height=120&amp;START_MAXIMIZED=FALSE&amp;creator=factset&amp;display_string=Audit"}</definedName>
    <definedName name="_890__FDSAUDITLINK__" hidden="1">{"fdsup://IBCentral/FAT Viewer?action=UPDATE&amp;creator=factset&amp;DOC_NAME=fat:reuters_qtrly_source_window.fat&amp;display_string=Audit&amp;DYN_ARGS=TRUE&amp;VAR:ID1=69642930&amp;VAR:RCODE=LTCL&amp;VAR:SDATE=20081099&amp;VAR:FREQ=DAILY&amp;VAR:RELITEM=&amp;VAR:CURRENCY=&amp;VAR:CURRSOURCE=EXSHARE&amp;","VAR:NATFREQ=QUARTERLY&amp;VAR:RFIELD=FINALIZED&amp;VAR:DB_TYPE=&amp;VAR:UNITS=M&amp;window=popup&amp;width=450&amp;height=300&amp;START_MAXIMIZED=FALSE"}</definedName>
    <definedName name="_891__FDSAUDITLINK__" hidden="1">{"fdsup://IBCentral/FAT Viewer?action=UPDATE&amp;creator=factset&amp;DOC_NAME=fat:reuters_qtrly_source_window.fat&amp;display_string=Audit&amp;DYN_ARGS=TRUE&amp;VAR:ID1=69642930&amp;VAR:RCODE=ATCA&amp;VAR:SDATE=20081099&amp;VAR:FREQ=DAILY&amp;VAR:RELITEM=&amp;VAR:CURRENCY=&amp;VAR:CURRSOURCE=EXSHARE&amp;","VAR:NATFREQ=QUARTERLY&amp;VAR:RFIELD=FINALIZED&amp;VAR:DB_TYPE=&amp;VAR:UNITS=M&amp;window=popup&amp;width=450&amp;height=300&amp;START_MAXIMIZED=FALSE"}</definedName>
    <definedName name="_892__FDSAUDITLINK__" hidden="1">{"fdsup://IBCentral/FAT Viewer?action=UPDATE&amp;creator=factset&amp;DOC_NAME=fat:reuters_qtrly_source_window.fat&amp;display_string=Audit&amp;DYN_ARGS=TRUE&amp;VAR:ID1=69642930&amp;VAR:RCODE=ATOT&amp;VAR:SDATE=20081099&amp;VAR:FREQ=DAILY&amp;VAR:RELITEM=&amp;VAR:CURRENCY=&amp;VAR:CURRSOURCE=EXSHARE&amp;","VAR:NATFREQ=QUARTERLY&amp;VAR:RFIELD=FINALIZED&amp;VAR:DB_TYPE=&amp;VAR:UNITS=M&amp;window=popup&amp;width=450&amp;height=300&amp;START_MAXIMIZED=FALSE"}</definedName>
    <definedName name="_893__FDSAUDITLINK__" hidden="1">{"fdsup://IBCentral/FAT Viewer?action=UPDATE&amp;creator=factset&amp;DOC_NAME=fat:reuters_qtrly_source_window.fat&amp;display_string=Audit&amp;DYN_ARGS=TRUE&amp;VAR:ID1=68191910&amp;VAR:RCODE=LTLL&amp;VAR:SDATE=20081299&amp;VAR:FREQ=DAILY&amp;VAR:RELITEM=&amp;VAR:CURRENCY=&amp;VAR:CURRSOURCE=EXSHARE&amp;","VAR:NATFREQ=QUARTERLY&amp;VAR:RFIELD=FINALIZED&amp;VAR:DB_TYPE=&amp;VAR:UNITS=M&amp;window=popup&amp;width=450&amp;height=300&amp;START_MAXIMIZED=FALSE"}</definedName>
    <definedName name="_894__FDSAUDITLINK__" hidden="1">{"fdsup://IBCentral/FAT Viewer?action=UPDATE&amp;creator=factset&amp;DOC_NAME=fat:reuters_qtrly_source_window.fat&amp;display_string=Audit&amp;DYN_ARGS=TRUE&amp;VAR:ID1=68191910&amp;VAR:RCODE=LTCL&amp;VAR:SDATE=20081299&amp;VAR:FREQ=DAILY&amp;VAR:RELITEM=&amp;VAR:CURRENCY=&amp;VAR:CURRSOURCE=EXSHARE&amp;","VAR:NATFREQ=QUARTERLY&amp;VAR:RFIELD=FINALIZED&amp;VAR:DB_TYPE=&amp;VAR:UNITS=M&amp;window=popup&amp;width=450&amp;height=300&amp;START_MAXIMIZED=FALSE"}</definedName>
    <definedName name="_895__FDSAUDITLINK__" hidden="1">{"fdsup://IBCentral/FAT Viewer?action=UPDATE&amp;creator=factset&amp;DOC_NAME=fat:reuters_qtrly_source_window.fat&amp;display_string=Audit&amp;DYN_ARGS=TRUE&amp;VAR:ID1=68191910&amp;VAR:RCODE=ATCA&amp;VAR:SDATE=20081299&amp;VAR:FREQ=DAILY&amp;VAR:RELITEM=&amp;VAR:CURRENCY=&amp;VAR:CURRSOURCE=EXSHARE&amp;","VAR:NATFREQ=QUARTERLY&amp;VAR:RFIELD=FINALIZED&amp;VAR:DB_TYPE=&amp;VAR:UNITS=M&amp;window=popup&amp;width=450&amp;height=300&amp;START_MAXIMIZED=FALSE"}</definedName>
    <definedName name="_896__FDSAUDITLINK__" hidden="1">{"fdsup://IBCentral/FAT Viewer?action=UPDATE&amp;creator=factset&amp;DOC_NAME=fat:reuters_qtrly_source_window.fat&amp;display_string=Audit&amp;DYN_ARGS=TRUE&amp;VAR:ID1=68191910&amp;VAR:RCODE=ATOT&amp;VAR:SDATE=20081299&amp;VAR:FREQ=DAILY&amp;VAR:RELITEM=&amp;VAR:CURRENCY=&amp;VAR:CURRSOURCE=EXSHARE&amp;","VAR:NATFREQ=QUARTERLY&amp;VAR:RFIELD=FINALIZED&amp;VAR:DB_TYPE=&amp;VAR:UNITS=M&amp;window=popup&amp;width=450&amp;height=300&amp;START_MAXIMIZED=FALSE"}</definedName>
    <definedName name="_897__FDSAUDITLINK__" hidden="1">{"fdsup://IBCentral/FAT Viewer?action=UPDATE&amp;creator=factset&amp;DOC_NAME=fat:reuters_qtrly_source_window.fat&amp;display_string=Audit&amp;DYN_ARGS=TRUE&amp;VAR:ID1=67083710&amp;VAR:RCODE=LTLL&amp;VAR:SDATE=20081299&amp;VAR:FREQ=DAILY&amp;VAR:RELITEM=&amp;VAR:CURRENCY=&amp;VAR:CURRSOURCE=EXSHARE&amp;","VAR:NATFREQ=QUARTERLY&amp;VAR:RFIELD=FINALIZED&amp;VAR:DB_TYPE=&amp;VAR:UNITS=M&amp;window=popup&amp;width=450&amp;height=300&amp;START_MAXIMIZED=FALSE"}</definedName>
    <definedName name="_898__FDSAUDITLINK__" hidden="1">{"fdsup://IBCentral/FAT Viewer?action=UPDATE&amp;creator=factset&amp;DOC_NAME=fat:reuters_qtrly_source_window.fat&amp;display_string=Audit&amp;DYN_ARGS=TRUE&amp;VAR:ID1=67083710&amp;VAR:RCODE=LTCL&amp;VAR:SDATE=20081299&amp;VAR:FREQ=DAILY&amp;VAR:RELITEM=&amp;VAR:CURRENCY=&amp;VAR:CURRSOURCE=EXSHARE&amp;","VAR:NATFREQ=QUARTERLY&amp;VAR:RFIELD=FINALIZED&amp;VAR:DB_TYPE=&amp;VAR:UNITS=M&amp;window=popup&amp;width=450&amp;height=300&amp;START_MAXIMIZED=FALSE"}</definedName>
    <definedName name="_899__FDSAUDITLINK__" hidden="1">{"fdsup://IBCentral/FAT Viewer?action=UPDATE&amp;creator=factset&amp;DOC_NAME=fat:reuters_qtrly_source_window.fat&amp;display_string=Audit&amp;DYN_ARGS=TRUE&amp;VAR:ID1=67083710&amp;VAR:RCODE=ATCA&amp;VAR:SDATE=20081299&amp;VAR:FREQ=DAILY&amp;VAR:RELITEM=&amp;VAR:CURRENCY=&amp;VAR:CURRSOURCE=EXSHARE&amp;","VAR:NATFREQ=QUARTERLY&amp;VAR:RFIELD=FINALIZED&amp;VAR:DB_TYPE=&amp;VAR:UNITS=M&amp;window=popup&amp;width=450&amp;height=300&amp;START_MAXIMIZED=FALSE"}</definedName>
    <definedName name="_8IQ_CURRENCY_GAIN_INS" hidden="1">"c238"</definedName>
    <definedName name="_9__FDSAUDITLINK__" hidden="1">{"fdsup://Directions/FactSet Auditing Viewer?action=AUDIT_VALUE&amp;DB=129&amp;ID1=46088S10&amp;VALUEID=02999&amp;SDATE=200903&amp;PERIODTYPE=QTR_STD&amp;window=popup_no_bar&amp;width=385&amp;height=120&amp;START_MAXIMIZED=FALSE&amp;creator=factset&amp;display_string=Audit"}</definedName>
    <definedName name="_90__FDSAUDITLINK__" hidden="1">{"fdsup://Directions/FactSet Auditing Viewer?action=AUDIT_VALUE&amp;DB=129&amp;ID1=10904310&amp;VALUEID=02999&amp;SDATE=201003&amp;PERIODTYPE=QTR_STD&amp;window=popup_no_bar&amp;width=385&amp;height=120&amp;START_MAXIMIZED=FALSE&amp;creator=factset&amp;display_string=Audit"}</definedName>
    <definedName name="_900__FDSAUDITLINK__" hidden="1">{"fdsup://IBCentral/FAT Viewer?action=UPDATE&amp;creator=factset&amp;DOC_NAME=fat:reuters_qtrly_source_window.fat&amp;display_string=Audit&amp;DYN_ARGS=TRUE&amp;VAR:ID1=67083710&amp;VAR:RCODE=ATOT&amp;VAR:SDATE=20081299&amp;VAR:FREQ=DAILY&amp;VAR:RELITEM=&amp;VAR:CURRENCY=&amp;VAR:CURRSOURCE=EXSHARE&amp;","VAR:NATFREQ=QUARTERLY&amp;VAR:RFIELD=FINALIZED&amp;VAR:DB_TYPE=&amp;VAR:UNITS=M&amp;window=popup&amp;width=450&amp;height=300&amp;START_MAXIMIZED=FALSE"}</definedName>
    <definedName name="_901__FDSAUDITLINK__" hidden="1">{"fdsup://IBCentral/FAT Viewer?action=UPDATE&amp;creator=factset&amp;DOC_NAME=fat:reuters_qtrly_source_window.fat&amp;display_string=Audit&amp;DYN_ARGS=TRUE&amp;VAR:ID1=66680710&amp;VAR:RCODE=LTLL&amp;VAR:SDATE=20081299&amp;VAR:FREQ=DAILY&amp;VAR:RELITEM=&amp;VAR:CURRENCY=&amp;VAR:CURRSOURCE=EXSHARE&amp;","VAR:NATFREQ=QUARTERLY&amp;VAR:RFIELD=FINALIZED&amp;VAR:DB_TYPE=&amp;VAR:UNITS=M&amp;window=popup&amp;width=450&amp;height=300&amp;START_MAXIMIZED=FALSE"}</definedName>
    <definedName name="_902__FDSAUDITLINK__" hidden="1">{"fdsup://IBCentral/FAT Viewer?action=UPDATE&amp;creator=factset&amp;DOC_NAME=fat:reuters_qtrly_source_window.fat&amp;display_string=Audit&amp;DYN_ARGS=TRUE&amp;VAR:ID1=66680710&amp;VAR:RCODE=LTCL&amp;VAR:SDATE=20081299&amp;VAR:FREQ=DAILY&amp;VAR:RELITEM=&amp;VAR:CURRENCY=&amp;VAR:CURRSOURCE=EXSHARE&amp;","VAR:NATFREQ=QUARTERLY&amp;VAR:RFIELD=FINALIZED&amp;VAR:DB_TYPE=&amp;VAR:UNITS=M&amp;window=popup&amp;width=450&amp;height=300&amp;START_MAXIMIZED=FALSE"}</definedName>
    <definedName name="_903__FDSAUDITLINK__" hidden="1">{"fdsup://IBCentral/FAT Viewer?action=UPDATE&amp;creator=factset&amp;DOC_NAME=fat:reuters_qtrly_source_window.fat&amp;display_string=Audit&amp;DYN_ARGS=TRUE&amp;VAR:ID1=66680710&amp;VAR:RCODE=ATCA&amp;VAR:SDATE=20081299&amp;VAR:FREQ=DAILY&amp;VAR:RELITEM=&amp;VAR:CURRENCY=&amp;VAR:CURRSOURCE=EXSHARE&amp;","VAR:NATFREQ=QUARTERLY&amp;VAR:RFIELD=FINALIZED&amp;VAR:DB_TYPE=&amp;VAR:UNITS=M&amp;window=popup&amp;width=450&amp;height=300&amp;START_MAXIMIZED=FALSE"}</definedName>
    <definedName name="_904__FDSAUDITLINK__" hidden="1">{"fdsup://IBCentral/FAT Viewer?action=UPDATE&amp;creator=factset&amp;DOC_NAME=fat:reuters_qtrly_source_window.fat&amp;display_string=Audit&amp;DYN_ARGS=TRUE&amp;VAR:ID1=66680710&amp;VAR:RCODE=ATOT&amp;VAR:SDATE=20081299&amp;VAR:FREQ=DAILY&amp;VAR:RELITEM=&amp;VAR:CURRENCY=&amp;VAR:CURRSOURCE=EXSHARE&amp;","VAR:NATFREQ=QUARTERLY&amp;VAR:RFIELD=FINALIZED&amp;VAR:DB_TYPE=&amp;VAR:UNITS=M&amp;window=popup&amp;width=450&amp;height=300&amp;START_MAXIMIZED=FALSE"}</definedName>
    <definedName name="_905__FDSAUDITLINK__" hidden="1">{"fdsup://IBCentral/FAT Viewer?action=UPDATE&amp;creator=factset&amp;DOC_NAME=fat:reuters_qtrly_source_window.fat&amp;display_string=Audit&amp;DYN_ARGS=TRUE&amp;VAR:ID1=65584410&amp;VAR:RCODE=LTLL&amp;VAR:SDATE=20081299&amp;VAR:FREQ=DAILY&amp;VAR:RELITEM=&amp;VAR:CURRENCY=&amp;VAR:CURRSOURCE=EXSHARE&amp;","VAR:NATFREQ=QUARTERLY&amp;VAR:RFIELD=FINALIZED&amp;VAR:DB_TYPE=&amp;VAR:UNITS=M&amp;window=popup&amp;width=450&amp;height=300&amp;START_MAXIMIZED=FALSE"}</definedName>
    <definedName name="_906__FDSAUDITLINK__" hidden="1">{"fdsup://IBCentral/FAT Viewer?action=UPDATE&amp;creator=factset&amp;DOC_NAME=fat:reuters_qtrly_source_window.fat&amp;display_string=Audit&amp;DYN_ARGS=TRUE&amp;VAR:ID1=65584410&amp;VAR:RCODE=LTCL&amp;VAR:SDATE=20081299&amp;VAR:FREQ=DAILY&amp;VAR:RELITEM=&amp;VAR:CURRENCY=&amp;VAR:CURRSOURCE=EXSHARE&amp;","VAR:NATFREQ=QUARTERLY&amp;VAR:RFIELD=FINALIZED&amp;VAR:DB_TYPE=&amp;VAR:UNITS=M&amp;window=popup&amp;width=450&amp;height=300&amp;START_MAXIMIZED=FALSE"}</definedName>
    <definedName name="_907__FDSAUDITLINK__" hidden="1">{"fdsup://IBCentral/FAT Viewer?action=UPDATE&amp;creator=factset&amp;DOC_NAME=fat:reuters_qtrly_source_window.fat&amp;display_string=Audit&amp;DYN_ARGS=TRUE&amp;VAR:ID1=65584410&amp;VAR:RCODE=ATCA&amp;VAR:SDATE=20081299&amp;VAR:FREQ=DAILY&amp;VAR:RELITEM=&amp;VAR:CURRENCY=&amp;VAR:CURRSOURCE=EXSHARE&amp;","VAR:NATFREQ=QUARTERLY&amp;VAR:RFIELD=FINALIZED&amp;VAR:DB_TYPE=&amp;VAR:UNITS=M&amp;window=popup&amp;width=450&amp;height=300&amp;START_MAXIMIZED=FALSE"}</definedName>
    <definedName name="_908__FDSAUDITLINK__" hidden="1">{"fdsup://IBCentral/FAT Viewer?action=UPDATE&amp;creator=factset&amp;DOC_NAME=fat:reuters_qtrly_source_window.fat&amp;display_string=Audit&amp;DYN_ARGS=TRUE&amp;VAR:ID1=65584410&amp;VAR:RCODE=ATOT&amp;VAR:SDATE=20081299&amp;VAR:FREQ=DAILY&amp;VAR:RELITEM=&amp;VAR:CURRENCY=&amp;VAR:CURRSOURCE=EXSHARE&amp;","VAR:NATFREQ=QUARTERLY&amp;VAR:RFIELD=FINALIZED&amp;VAR:DB_TYPE=&amp;VAR:UNITS=M&amp;window=popup&amp;width=450&amp;height=300&amp;START_MAXIMIZED=FALSE"}</definedName>
    <definedName name="_909__FDSAUDITLINK__" hidden="1">{"fdsup://IBCentral/FAT Viewer?action=UPDATE&amp;creator=factset&amp;DOC_NAME=fat:reuters_qtrly_source_window.fat&amp;display_string=Audit&amp;DYN_ARGS=TRUE&amp;VAR:ID1=65566410&amp;VAR:RCODE=LTLL&amp;VAR:SDATE=20081099&amp;VAR:FREQ=DAILY&amp;VAR:RELITEM=&amp;VAR:CURRENCY=&amp;VAR:CURRSOURCE=EXSHARE&amp;","VAR:NATFREQ=QUARTERLY&amp;VAR:RFIELD=FINALIZED&amp;VAR:DB_TYPE=&amp;VAR:UNITS=M&amp;window=popup&amp;width=450&amp;height=300&amp;START_MAXIMIZED=FALSE"}</definedName>
    <definedName name="_91__FDSAUDITLINK__" hidden="1">{"fdsup://Directions/FactSet Auditing Viewer?action=AUDIT_VALUE&amp;DB=129&amp;ID1=10964110&amp;VALUEID=02999&amp;SDATE=201003&amp;PERIODTYPE=QTR_STD&amp;window=popup_no_bar&amp;width=385&amp;height=120&amp;START_MAXIMIZED=FALSE&amp;creator=factset&amp;display_string=Audit"}</definedName>
    <definedName name="_910__FDSAUDITLINK__" hidden="1">{"fdsup://IBCentral/FAT Viewer?action=UPDATE&amp;creator=factset&amp;DOC_NAME=fat:reuters_qtrly_source_window.fat&amp;display_string=Audit&amp;DYN_ARGS=TRUE&amp;VAR:ID1=65566410&amp;VAR:RCODE=LTCL&amp;VAR:SDATE=20081099&amp;VAR:FREQ=DAILY&amp;VAR:RELITEM=&amp;VAR:CURRENCY=&amp;VAR:CURRSOURCE=EXSHARE&amp;","VAR:NATFREQ=QUARTERLY&amp;VAR:RFIELD=FINALIZED&amp;VAR:DB_TYPE=&amp;VAR:UNITS=M&amp;window=popup&amp;width=450&amp;height=300&amp;START_MAXIMIZED=FALSE"}</definedName>
    <definedName name="_911__FDSAUDITLINK__" hidden="1">{"fdsup://IBCentral/FAT Viewer?action=UPDATE&amp;creator=factset&amp;DOC_NAME=fat:reuters_qtrly_source_window.fat&amp;display_string=Audit&amp;DYN_ARGS=TRUE&amp;VAR:ID1=65566410&amp;VAR:RCODE=ATCA&amp;VAR:SDATE=20081099&amp;VAR:FREQ=DAILY&amp;VAR:RELITEM=&amp;VAR:CURRENCY=&amp;VAR:CURRSOURCE=EXSHARE&amp;","VAR:NATFREQ=QUARTERLY&amp;VAR:RFIELD=FINALIZED&amp;VAR:DB_TYPE=&amp;VAR:UNITS=M&amp;window=popup&amp;width=450&amp;height=300&amp;START_MAXIMIZED=FALSE"}</definedName>
    <definedName name="_912__FDSAUDITLINK__" hidden="1">{"fdsup://IBCentral/FAT Viewer?action=UPDATE&amp;creator=factset&amp;DOC_NAME=fat:reuters_qtrly_source_window.fat&amp;display_string=Audit&amp;DYN_ARGS=TRUE&amp;VAR:ID1=65566410&amp;VAR:RCODE=ATOT&amp;VAR:SDATE=20081099&amp;VAR:FREQ=DAILY&amp;VAR:RELITEM=&amp;VAR:CURRENCY=&amp;VAR:CURRSOURCE=EXSHARE&amp;","VAR:NATFREQ=QUARTERLY&amp;VAR:RFIELD=FINALIZED&amp;VAR:DB_TYPE=&amp;VAR:UNITS=M&amp;window=popup&amp;width=450&amp;height=300&amp;START_MAXIMIZED=FALSE"}</definedName>
    <definedName name="_913__FDSAUDITLINK__" hidden="1">{"fdsup://IBCentral/FAT Viewer?action=UPDATE&amp;creator=factset&amp;DOC_NAME=fat:reuters_qtrly_source_window.fat&amp;display_string=Audit&amp;DYN_ARGS=TRUE&amp;VAR:ID1=H5833N10&amp;VAR:RCODE=LTLL&amp;VAR:SDATE=20081299&amp;VAR:FREQ=DAILY&amp;VAR:RELITEM=&amp;VAR:CURRENCY=&amp;VAR:CURRSOURCE=EXSHARE&amp;","VAR:NATFREQ=QUARTERLY&amp;VAR:RFIELD=FINALIZED&amp;VAR:DB_TYPE=&amp;VAR:UNITS=M&amp;window=popup&amp;width=450&amp;height=300&amp;START_MAXIMIZED=FALSE"}</definedName>
    <definedName name="_914__FDSAUDITLINK__" hidden="1">{"fdsup://IBCentral/FAT Viewer?action=UPDATE&amp;creator=factset&amp;DOC_NAME=fat:reuters_qtrly_source_window.fat&amp;display_string=Audit&amp;DYN_ARGS=TRUE&amp;VAR:ID1=H5833N10&amp;VAR:RCODE=LTCL&amp;VAR:SDATE=20081299&amp;VAR:FREQ=DAILY&amp;VAR:RELITEM=&amp;VAR:CURRENCY=&amp;VAR:CURRSOURCE=EXSHARE&amp;","VAR:NATFREQ=QUARTERLY&amp;VAR:RFIELD=FINALIZED&amp;VAR:DB_TYPE=&amp;VAR:UNITS=M&amp;window=popup&amp;width=450&amp;height=300&amp;START_MAXIMIZED=FALSE"}</definedName>
    <definedName name="_915__FDSAUDITLINK__" hidden="1">{"fdsup://IBCentral/FAT Viewer?action=UPDATE&amp;creator=factset&amp;DOC_NAME=fat:reuters_qtrly_source_window.fat&amp;display_string=Audit&amp;DYN_ARGS=TRUE&amp;VAR:ID1=H5833N10&amp;VAR:RCODE=ATCA&amp;VAR:SDATE=20081299&amp;VAR:FREQ=DAILY&amp;VAR:RELITEM=&amp;VAR:CURRENCY=&amp;VAR:CURRSOURCE=EXSHARE&amp;","VAR:NATFREQ=QUARTERLY&amp;VAR:RFIELD=FINALIZED&amp;VAR:DB_TYPE=&amp;VAR:UNITS=M&amp;window=popup&amp;width=450&amp;height=300&amp;START_MAXIMIZED=FALSE"}</definedName>
    <definedName name="_916__FDSAUDITLINK__" hidden="1">{"fdsup://IBCentral/FAT Viewer?action=UPDATE&amp;creator=factset&amp;DOC_NAME=fat:reuters_qtrly_source_window.fat&amp;display_string=Audit&amp;DYN_ARGS=TRUE&amp;VAR:ID1=H5833N10&amp;VAR:RCODE=ATOT&amp;VAR:SDATE=20081299&amp;VAR:FREQ=DAILY&amp;VAR:RELITEM=&amp;VAR:CURRENCY=&amp;VAR:CURRSOURCE=EXSHARE&amp;","VAR:NATFREQ=QUARTERLY&amp;VAR:RFIELD=FINALIZED&amp;VAR:DB_TYPE=&amp;VAR:UNITS=M&amp;window=popup&amp;width=450&amp;height=300&amp;START_MAXIMIZED=FALSE"}</definedName>
    <definedName name="_917__FDSAUDITLINK__" hidden="1">{"fdsup://IBCentral/FAT Viewer?action=UPDATE&amp;creator=factset&amp;DOC_NAME=fat:reuters_qtrly_source_window.fat&amp;display_string=Audit&amp;DYN_ARGS=TRUE&amp;VAR:ID1=63764010&amp;VAR:RCODE=LTLL&amp;VAR:SDATE=20081199&amp;VAR:FREQ=DAILY&amp;VAR:RELITEM=&amp;VAR:CURRENCY=&amp;VAR:CURRSOURCE=EXSHARE&amp;","VAR:NATFREQ=QUARTERLY&amp;VAR:RFIELD=FINALIZED&amp;VAR:DB_TYPE=&amp;VAR:UNITS=M&amp;window=popup&amp;width=450&amp;height=300&amp;START_MAXIMIZED=FALSE"}</definedName>
    <definedName name="_918__FDSAUDITLINK__" hidden="1">{"fdsup://IBCentral/FAT Viewer?action=UPDATE&amp;creator=factset&amp;DOC_NAME=fat:reuters_qtrly_source_window.fat&amp;display_string=Audit&amp;DYN_ARGS=TRUE&amp;VAR:ID1=63764010&amp;VAR:RCODE=LTCL&amp;VAR:SDATE=20081199&amp;VAR:FREQ=DAILY&amp;VAR:RELITEM=&amp;VAR:CURRENCY=&amp;VAR:CURRSOURCE=EXSHARE&amp;","VAR:NATFREQ=QUARTERLY&amp;VAR:RFIELD=FINALIZED&amp;VAR:DB_TYPE=&amp;VAR:UNITS=M&amp;window=popup&amp;width=450&amp;height=300&amp;START_MAXIMIZED=FALSE"}</definedName>
    <definedName name="_919__FDSAUDITLINK__" hidden="1">{"fdsup://IBCentral/FAT Viewer?action=UPDATE&amp;creator=factset&amp;DOC_NAME=fat:reuters_qtrly_source_window.fat&amp;display_string=Audit&amp;DYN_ARGS=TRUE&amp;VAR:ID1=63764010&amp;VAR:RCODE=ATCA&amp;VAR:SDATE=20081199&amp;VAR:FREQ=DAILY&amp;VAR:RELITEM=&amp;VAR:CURRENCY=&amp;VAR:CURRSOURCE=EXSHARE&amp;","VAR:NATFREQ=QUARTERLY&amp;VAR:RFIELD=FINALIZED&amp;VAR:DB_TYPE=&amp;VAR:UNITS=M&amp;window=popup&amp;width=450&amp;height=300&amp;START_MAXIMIZED=FALSE"}</definedName>
    <definedName name="_92__FDSAUDITLINK__" hidden="1">{"fdsup://Directions/FactSet Auditing Viewer?action=AUDIT_VALUE&amp;DB=129&amp;ID1=11012210&amp;VALUEID=02999&amp;SDATE=201001&amp;PERIODTYPE=QTR_STD&amp;window=popup_no_bar&amp;width=385&amp;height=120&amp;START_MAXIMIZED=FALSE&amp;creator=factset&amp;display_string=Audit"}</definedName>
    <definedName name="_920__FDSAUDITLINK__" hidden="1">{"fdsup://IBCentral/FAT Viewer?action=UPDATE&amp;creator=factset&amp;DOC_NAME=fat:reuters_qtrly_source_window.fat&amp;display_string=Audit&amp;DYN_ARGS=TRUE&amp;VAR:ID1=63764010&amp;VAR:RCODE=ATOT&amp;VAR:SDATE=20081199&amp;VAR:FREQ=DAILY&amp;VAR:RELITEM=&amp;VAR:CURRENCY=&amp;VAR:CURRSOURCE=EXSHARE&amp;","VAR:NATFREQ=QUARTERLY&amp;VAR:RFIELD=FINALIZED&amp;VAR:DB_TYPE=&amp;VAR:UNITS=M&amp;window=popup&amp;width=450&amp;height=300&amp;START_MAXIMIZED=FALSE"}</definedName>
    <definedName name="_921__FDSAUDITLINK__" hidden="1">{"fdsup://IBCentral/FAT Viewer?action=UPDATE&amp;creator=factset&amp;DOC_NAME=fat:reuters_qtrly_source_window.fat&amp;display_string=Audit&amp;DYN_ARGS=TRUE&amp;VAR:ID1=63618010&amp;VAR:RCODE=LTLL&amp;VAR:SDATE=20081299&amp;VAR:FREQ=DAILY&amp;VAR:RELITEM=&amp;VAR:CURRENCY=&amp;VAR:CURRSOURCE=EXSHARE&amp;","VAR:NATFREQ=QUARTERLY&amp;VAR:RFIELD=FINALIZED&amp;VAR:DB_TYPE=&amp;VAR:UNITS=M&amp;window=popup&amp;width=450&amp;height=300&amp;START_MAXIMIZED=FALSE"}</definedName>
    <definedName name="_922__FDSAUDITLINK__" hidden="1">{"fdsup://IBCentral/FAT Viewer?action=UPDATE&amp;creator=factset&amp;DOC_NAME=fat:reuters_qtrly_source_window.fat&amp;display_string=Audit&amp;DYN_ARGS=TRUE&amp;VAR:ID1=63618010&amp;VAR:RCODE=LTCL&amp;VAR:SDATE=20081299&amp;VAR:FREQ=DAILY&amp;VAR:RELITEM=&amp;VAR:CURRENCY=&amp;VAR:CURRSOURCE=EXSHARE&amp;","VAR:NATFREQ=QUARTERLY&amp;VAR:RFIELD=FINALIZED&amp;VAR:DB_TYPE=&amp;VAR:UNITS=M&amp;window=popup&amp;width=450&amp;height=300&amp;START_MAXIMIZED=FALSE"}</definedName>
    <definedName name="_923__FDSAUDITLINK__" hidden="1">{"fdsup://IBCentral/FAT Viewer?action=UPDATE&amp;creator=factset&amp;DOC_NAME=fat:reuters_qtrly_source_window.fat&amp;display_string=Audit&amp;DYN_ARGS=TRUE&amp;VAR:ID1=63618010&amp;VAR:RCODE=ATCA&amp;VAR:SDATE=20081299&amp;VAR:FREQ=DAILY&amp;VAR:RELITEM=&amp;VAR:CURRENCY=&amp;VAR:CURRSOURCE=EXSHARE&amp;","VAR:NATFREQ=QUARTERLY&amp;VAR:RFIELD=FINALIZED&amp;VAR:DB_TYPE=&amp;VAR:UNITS=M&amp;window=popup&amp;width=450&amp;height=300&amp;START_MAXIMIZED=FALSE"}</definedName>
    <definedName name="_924__FDSAUDITLINK__" hidden="1">{"fdsup://IBCentral/FAT Viewer?action=UPDATE&amp;creator=factset&amp;DOC_NAME=fat:reuters_qtrly_source_window.fat&amp;display_string=Audit&amp;DYN_ARGS=TRUE&amp;VAR:ID1=63618010&amp;VAR:RCODE=ATOT&amp;VAR:SDATE=20081299&amp;VAR:FREQ=DAILY&amp;VAR:RELITEM=&amp;VAR:CURRENCY=&amp;VAR:CURRSOURCE=EXSHARE&amp;","VAR:NATFREQ=QUARTERLY&amp;VAR:RFIELD=FINALIZED&amp;VAR:DB_TYPE=&amp;VAR:UNITS=M&amp;window=popup&amp;width=450&amp;height=300&amp;START_MAXIMIZED=FALSE"}</definedName>
    <definedName name="_925__FDSAUDITLINK__" hidden="1">{"fdsup://IBCentral/FAT Viewer?action=UPDATE&amp;creator=factset&amp;DOC_NAME=fat:reuters_qtrly_source_window.fat&amp;display_string=Audit&amp;DYN_ARGS=TRUE&amp;VAR:ID1=56584910&amp;VAR:RCODE=LTLL&amp;VAR:SDATE=20081299&amp;VAR:FREQ=DAILY&amp;VAR:RELITEM=&amp;VAR:CURRENCY=&amp;VAR:CURRSOURCE=EXSHARE&amp;","VAR:NATFREQ=QUARTERLY&amp;VAR:RFIELD=FINALIZED&amp;VAR:DB_TYPE=&amp;VAR:UNITS=M&amp;window=popup&amp;width=450&amp;height=300&amp;START_MAXIMIZED=FALSE"}</definedName>
    <definedName name="_926__FDSAUDITLINK__" hidden="1">{"fdsup://IBCentral/FAT Viewer?action=UPDATE&amp;creator=factset&amp;DOC_NAME=fat:reuters_qtrly_source_window.fat&amp;display_string=Audit&amp;DYN_ARGS=TRUE&amp;VAR:ID1=56584910&amp;VAR:RCODE=LTCL&amp;VAR:SDATE=20081299&amp;VAR:FREQ=DAILY&amp;VAR:RELITEM=&amp;VAR:CURRENCY=&amp;VAR:CURRSOURCE=EXSHARE&amp;","VAR:NATFREQ=QUARTERLY&amp;VAR:RFIELD=FINALIZED&amp;VAR:DB_TYPE=&amp;VAR:UNITS=M&amp;window=popup&amp;width=450&amp;height=300&amp;START_MAXIMIZED=FALSE"}</definedName>
    <definedName name="_927__FDSAUDITLINK__" hidden="1">{"fdsup://IBCentral/FAT Viewer?action=UPDATE&amp;creator=factset&amp;DOC_NAME=fat:reuters_qtrly_source_window.fat&amp;display_string=Audit&amp;DYN_ARGS=TRUE&amp;VAR:ID1=56584910&amp;VAR:RCODE=ATCA&amp;VAR:SDATE=20081299&amp;VAR:FREQ=DAILY&amp;VAR:RELITEM=&amp;VAR:CURRENCY=&amp;VAR:CURRSOURCE=EXSHARE&amp;","VAR:NATFREQ=QUARTERLY&amp;VAR:RFIELD=FINALIZED&amp;VAR:DB_TYPE=&amp;VAR:UNITS=M&amp;window=popup&amp;width=450&amp;height=300&amp;START_MAXIMIZED=FALSE"}</definedName>
    <definedName name="_928__FDSAUDITLINK__" hidden="1">{"fdsup://IBCentral/FAT Viewer?action=UPDATE&amp;creator=factset&amp;DOC_NAME=fat:reuters_qtrly_source_window.fat&amp;display_string=Audit&amp;DYN_ARGS=TRUE&amp;VAR:ID1=56584910&amp;VAR:RCODE=ATOT&amp;VAR:SDATE=20081299&amp;VAR:FREQ=DAILY&amp;VAR:RELITEM=&amp;VAR:CURRENCY=&amp;VAR:CURRSOURCE=EXSHARE&amp;","VAR:NATFREQ=QUARTERLY&amp;VAR:RFIELD=FINALIZED&amp;VAR:DB_TYPE=&amp;VAR:UNITS=M&amp;window=popup&amp;width=450&amp;height=300&amp;START_MAXIMIZED=FALSE"}</definedName>
    <definedName name="_929__FDSAUDITLINK__" hidden="1">{"fdsup://IBCentral/FAT Viewer?action=UPDATE&amp;creator=factset&amp;DOC_NAME=fat:reuters_qtrly_source_window.fat&amp;display_string=Audit&amp;DYN_ARGS=TRUE&amp;VAR:ID1=53983010&amp;VAR:RCODE=LTLL&amp;VAR:SDATE=20081299&amp;VAR:FREQ=DAILY&amp;VAR:RELITEM=&amp;VAR:CURRENCY=&amp;VAR:CURRSOURCE=EXSHARE&amp;","VAR:NATFREQ=QUARTERLY&amp;VAR:RFIELD=FINALIZED&amp;VAR:DB_TYPE=&amp;VAR:UNITS=M&amp;window=popup&amp;width=450&amp;height=300&amp;START_MAXIMIZED=FALSE"}</definedName>
    <definedName name="_93__FDSAUDITLINK__" hidden="1">{"fdsup://Directions/FactSet Auditing Viewer?action=AUDIT_VALUE&amp;DB=129&amp;ID1=11133T10&amp;VALUEID=02999&amp;SDATE=201003&amp;PERIODTYPE=QTR_STD&amp;window=popup_no_bar&amp;width=385&amp;height=120&amp;START_MAXIMIZED=FALSE&amp;creator=factset&amp;display_string=Audit"}</definedName>
    <definedName name="_930__FDSAUDITLINK__" hidden="1">{"fdsup://IBCentral/FAT Viewer?action=UPDATE&amp;creator=factset&amp;DOC_NAME=fat:reuters_qtrly_source_window.fat&amp;display_string=Audit&amp;DYN_ARGS=TRUE&amp;VAR:ID1=53983010&amp;VAR:RCODE=LTCL&amp;VAR:SDATE=20081299&amp;VAR:FREQ=DAILY&amp;VAR:RELITEM=&amp;VAR:CURRENCY=&amp;VAR:CURRSOURCE=EXSHARE&amp;","VAR:NATFREQ=QUARTERLY&amp;VAR:RFIELD=FINALIZED&amp;VAR:DB_TYPE=&amp;VAR:UNITS=M&amp;window=popup&amp;width=450&amp;height=300&amp;START_MAXIMIZED=FALSE"}</definedName>
    <definedName name="_931__FDSAUDITLINK__" hidden="1">{"fdsup://IBCentral/FAT Viewer?action=UPDATE&amp;creator=factset&amp;DOC_NAME=fat:reuters_qtrly_source_window.fat&amp;display_string=Audit&amp;DYN_ARGS=TRUE&amp;VAR:ID1=53983010&amp;VAR:RCODE=ATCA&amp;VAR:SDATE=20081299&amp;VAR:FREQ=DAILY&amp;VAR:RELITEM=&amp;VAR:CURRENCY=&amp;VAR:CURRSOURCE=EXSHARE&amp;","VAR:NATFREQ=QUARTERLY&amp;VAR:RFIELD=FINALIZED&amp;VAR:DB_TYPE=&amp;VAR:UNITS=M&amp;window=popup&amp;width=450&amp;height=300&amp;START_MAXIMIZED=FALSE"}</definedName>
    <definedName name="_932__FDSAUDITLINK__" hidden="1">{"fdsup://IBCentral/FAT Viewer?action=UPDATE&amp;creator=factset&amp;DOC_NAME=fat:reuters_qtrly_source_window.fat&amp;display_string=Audit&amp;DYN_ARGS=TRUE&amp;VAR:ID1=53983010&amp;VAR:RCODE=ATOT&amp;VAR:SDATE=20081299&amp;VAR:FREQ=DAILY&amp;VAR:RELITEM=&amp;VAR:CURRENCY=&amp;VAR:CURRSOURCE=EXSHARE&amp;","VAR:NATFREQ=QUARTERLY&amp;VAR:RFIELD=FINALIZED&amp;VAR:DB_TYPE=&amp;VAR:UNITS=M&amp;window=popup&amp;width=450&amp;height=300&amp;START_MAXIMIZED=FALSE"}</definedName>
    <definedName name="_933__FDSAUDITLINK__" hidden="1">{"fdsup://IBCentral/FAT Viewer?action=UPDATE&amp;creator=factset&amp;DOC_NAME=fat:reuters_qtrly_source_window.fat&amp;display_string=Audit&amp;DYN_ARGS=TRUE&amp;VAR:ID1=50025510&amp;VAR:RCODE=LTLL&amp;VAR:SDATE=20081099&amp;VAR:FREQ=DAILY&amp;VAR:RELITEM=&amp;VAR:CURRENCY=&amp;VAR:CURRSOURCE=EXSHARE&amp;","VAR:NATFREQ=QUARTERLY&amp;VAR:RFIELD=FINALIZED&amp;VAR:DB_TYPE=&amp;VAR:UNITS=M&amp;window=popup&amp;width=450&amp;height=300&amp;START_MAXIMIZED=FALSE"}</definedName>
    <definedName name="_934__FDSAUDITLINK__" hidden="1">{"fdsup://IBCentral/FAT Viewer?action=UPDATE&amp;creator=factset&amp;DOC_NAME=fat:reuters_qtrly_source_window.fat&amp;display_string=Audit&amp;DYN_ARGS=TRUE&amp;VAR:ID1=50025510&amp;VAR:RCODE=LTCL&amp;VAR:SDATE=20081099&amp;VAR:FREQ=DAILY&amp;VAR:RELITEM=&amp;VAR:CURRENCY=&amp;VAR:CURRSOURCE=EXSHARE&amp;","VAR:NATFREQ=QUARTERLY&amp;VAR:RFIELD=FINALIZED&amp;VAR:DB_TYPE=&amp;VAR:UNITS=M&amp;window=popup&amp;width=450&amp;height=300&amp;START_MAXIMIZED=FALSE"}</definedName>
    <definedName name="_935__FDSAUDITLINK__" hidden="1">{"fdsup://IBCentral/FAT Viewer?action=UPDATE&amp;creator=factset&amp;DOC_NAME=fat:reuters_qtrly_source_window.fat&amp;display_string=Audit&amp;DYN_ARGS=TRUE&amp;VAR:ID1=50025510&amp;VAR:RCODE=ATCA&amp;VAR:SDATE=20081099&amp;VAR:FREQ=DAILY&amp;VAR:RELITEM=&amp;VAR:CURRENCY=&amp;VAR:CURRSOURCE=EXSHARE&amp;","VAR:NATFREQ=QUARTERLY&amp;VAR:RFIELD=FINALIZED&amp;VAR:DB_TYPE=&amp;VAR:UNITS=M&amp;window=popup&amp;width=450&amp;height=300&amp;START_MAXIMIZED=FALSE"}</definedName>
    <definedName name="_936__FDSAUDITLINK__" hidden="1">{"fdsup://IBCentral/FAT Viewer?action=UPDATE&amp;creator=factset&amp;DOC_NAME=fat:reuters_qtrly_source_window.fat&amp;display_string=Audit&amp;DYN_ARGS=TRUE&amp;VAR:ID1=50025510&amp;VAR:RCODE=ATOT&amp;VAR:SDATE=20081099&amp;VAR:FREQ=DAILY&amp;VAR:RELITEM=&amp;VAR:CURRENCY=&amp;VAR:CURRSOURCE=EXSHARE&amp;","VAR:NATFREQ=QUARTERLY&amp;VAR:RFIELD=FINALIZED&amp;VAR:DB_TYPE=&amp;VAR:UNITS=M&amp;window=popup&amp;width=450&amp;height=300&amp;START_MAXIMIZED=FALSE"}</definedName>
    <definedName name="_937__FDSAUDITLINK__" hidden="1">{"fdsup://IBCentral/FAT Viewer?action=UPDATE&amp;creator=factset&amp;DOC_NAME=fat:reuters_qtrly_source_window.fat&amp;display_string=Audit&amp;DYN_ARGS=TRUE&amp;VAR:ID1=48248010&amp;VAR:RCODE=LTLL&amp;VAR:SDATE=20081299&amp;VAR:FREQ=DAILY&amp;VAR:RELITEM=&amp;VAR:CURRENCY=&amp;VAR:CURRSOURCE=EXSHARE&amp;","VAR:NATFREQ=QUARTERLY&amp;VAR:RFIELD=FINALIZED&amp;VAR:DB_TYPE=&amp;VAR:UNITS=M&amp;window=popup&amp;width=450&amp;height=300&amp;START_MAXIMIZED=FALSE"}</definedName>
    <definedName name="_938__FDSAUDITLINK__" hidden="1">{"fdsup://IBCentral/FAT Viewer?action=UPDATE&amp;creator=factset&amp;DOC_NAME=fat:reuters_qtrly_source_window.fat&amp;display_string=Audit&amp;DYN_ARGS=TRUE&amp;VAR:ID1=48248010&amp;VAR:RCODE=LTCL&amp;VAR:SDATE=20081299&amp;VAR:FREQ=DAILY&amp;VAR:RELITEM=&amp;VAR:CURRENCY=&amp;VAR:CURRSOURCE=EXSHARE&amp;","VAR:NATFREQ=QUARTERLY&amp;VAR:RFIELD=FINALIZED&amp;VAR:DB_TYPE=&amp;VAR:UNITS=M&amp;window=popup&amp;width=450&amp;height=300&amp;START_MAXIMIZED=FALSE"}</definedName>
    <definedName name="_939__FDSAUDITLINK__" hidden="1">{"fdsup://IBCentral/FAT Viewer?action=UPDATE&amp;creator=factset&amp;DOC_NAME=fat:reuters_qtrly_source_window.fat&amp;display_string=Audit&amp;DYN_ARGS=TRUE&amp;VAR:ID1=48248010&amp;VAR:RCODE=ATCA&amp;VAR:SDATE=20081299&amp;VAR:FREQ=DAILY&amp;VAR:RELITEM=&amp;VAR:CURRENCY=&amp;VAR:CURRSOURCE=EXSHARE&amp;","VAR:NATFREQ=QUARTERLY&amp;VAR:RFIELD=FINALIZED&amp;VAR:DB_TYPE=&amp;VAR:UNITS=M&amp;window=popup&amp;width=450&amp;height=300&amp;START_MAXIMIZED=FALSE"}</definedName>
    <definedName name="_94__FDSAUDITLINK__" hidden="1">{"fdsup://Directions/FactSet Auditing Viewer?action=AUDIT_VALUE&amp;DB=129&amp;ID1=11138410&amp;VALUEID=02999&amp;SDATE=201001&amp;PERIODTYPE=QTR_STD&amp;window=popup_no_bar&amp;width=385&amp;height=120&amp;START_MAXIMIZED=FALSE&amp;creator=factset&amp;display_string=Audit"}</definedName>
    <definedName name="_940__FDSAUDITLINK__" hidden="1">{"fdsup://IBCentral/FAT Viewer?action=UPDATE&amp;creator=factset&amp;DOC_NAME=fat:reuters_qtrly_source_window.fat&amp;display_string=Audit&amp;DYN_ARGS=TRUE&amp;VAR:ID1=48248010&amp;VAR:RCODE=ATOT&amp;VAR:SDATE=20081299&amp;VAR:FREQ=DAILY&amp;VAR:RELITEM=&amp;VAR:CURRENCY=&amp;VAR:CURRSOURCE=EXSHARE&amp;","VAR:NATFREQ=QUARTERLY&amp;VAR:RFIELD=FINALIZED&amp;VAR:DB_TYPE=&amp;VAR:UNITS=M&amp;window=popup&amp;width=450&amp;height=300&amp;START_MAXIMIZED=FALSE"}</definedName>
    <definedName name="_941__FDSAUDITLINK__" hidden="1">{"fdsup://IBCentral/FAT Viewer?action=UPDATE&amp;creator=factset&amp;DOC_NAME=fat:reuters_qtrly_source_window.fat&amp;display_string=Audit&amp;DYN_ARGS=TRUE&amp;VAR:ID1=45091110&amp;VAR:RCODE=LTLL&amp;VAR:SDATE=20081299&amp;VAR:FREQ=DAILY&amp;VAR:RELITEM=&amp;VAR:CURRENCY=&amp;VAR:CURRSOURCE=EXSHARE&amp;","VAR:NATFREQ=QUARTERLY&amp;VAR:RFIELD=FINALIZED&amp;VAR:DB_TYPE=&amp;VAR:UNITS=M&amp;window=popup&amp;width=450&amp;height=300&amp;START_MAXIMIZED=FALSE"}</definedName>
    <definedName name="_942__FDSAUDITLINK__" hidden="1">{"fdsup://IBCentral/FAT Viewer?action=UPDATE&amp;creator=factset&amp;DOC_NAME=fat:reuters_qtrly_source_window.fat&amp;display_string=Audit&amp;DYN_ARGS=TRUE&amp;VAR:ID1=45091110&amp;VAR:RCODE=LTCL&amp;VAR:SDATE=20081299&amp;VAR:FREQ=DAILY&amp;VAR:RELITEM=&amp;VAR:CURRENCY=&amp;VAR:CURRSOURCE=EXSHARE&amp;","VAR:NATFREQ=QUARTERLY&amp;VAR:RFIELD=FINALIZED&amp;VAR:DB_TYPE=&amp;VAR:UNITS=M&amp;window=popup&amp;width=450&amp;height=300&amp;START_MAXIMIZED=FALSE"}</definedName>
    <definedName name="_943__FDSAUDITLINK__" hidden="1">{"fdsup://IBCentral/FAT Viewer?action=UPDATE&amp;creator=factset&amp;DOC_NAME=fat:reuters_qtrly_source_window.fat&amp;display_string=Audit&amp;DYN_ARGS=TRUE&amp;VAR:ID1=45091110&amp;VAR:RCODE=ATCA&amp;VAR:SDATE=20081299&amp;VAR:FREQ=DAILY&amp;VAR:RELITEM=&amp;VAR:CURRENCY=&amp;VAR:CURRSOURCE=EXSHARE&amp;","VAR:NATFREQ=QUARTERLY&amp;VAR:RFIELD=FINALIZED&amp;VAR:DB_TYPE=&amp;VAR:UNITS=M&amp;window=popup&amp;width=450&amp;height=300&amp;START_MAXIMIZED=FALSE"}</definedName>
    <definedName name="_944__FDSAUDITLINK__" hidden="1">{"fdsup://IBCentral/FAT Viewer?action=UPDATE&amp;creator=factset&amp;DOC_NAME=fat:reuters_qtrly_source_window.fat&amp;display_string=Audit&amp;DYN_ARGS=TRUE&amp;VAR:ID1=45091110&amp;VAR:RCODE=ATOT&amp;VAR:SDATE=20081299&amp;VAR:FREQ=DAILY&amp;VAR:RELITEM=&amp;VAR:CURRENCY=&amp;VAR:CURRSOURCE=EXSHARE&amp;","VAR:NATFREQ=QUARTERLY&amp;VAR:RFIELD=FINALIZED&amp;VAR:DB_TYPE=&amp;VAR:UNITS=M&amp;window=popup&amp;width=450&amp;height=300&amp;START_MAXIMIZED=FALSE"}</definedName>
    <definedName name="_945__FDSAUDITLINK__" hidden="1">{"fdsup://IBCentral/FAT Viewer?action=UPDATE&amp;creator=factset&amp;DOC_NAME=fat:reuters_qtrly_source_window.fat&amp;display_string=Audit&amp;DYN_ARGS=TRUE&amp;VAR:ID1=G4776G10&amp;VAR:RCODE=LTLL&amp;VAR:SDATE=20081299&amp;VAR:FREQ=DAILY&amp;VAR:RELITEM=&amp;VAR:CURRENCY=&amp;VAR:CURRSOURCE=EXSHARE&amp;","VAR:NATFREQ=QUARTERLY&amp;VAR:RFIELD=FINALIZED&amp;VAR:DB_TYPE=&amp;VAR:UNITS=M&amp;window=popup&amp;width=450&amp;height=300&amp;START_MAXIMIZED=FALSE"}</definedName>
    <definedName name="_946__FDSAUDITLINK__" hidden="1">{"fdsup://IBCentral/FAT Viewer?action=UPDATE&amp;creator=factset&amp;DOC_NAME=fat:reuters_qtrly_source_window.fat&amp;display_string=Audit&amp;DYN_ARGS=TRUE&amp;VAR:ID1=G4776G10&amp;VAR:RCODE=LTCL&amp;VAR:SDATE=20081299&amp;VAR:FREQ=DAILY&amp;VAR:RELITEM=&amp;VAR:CURRENCY=&amp;VAR:CURRSOURCE=EXSHARE&amp;","VAR:NATFREQ=QUARTERLY&amp;VAR:RFIELD=FINALIZED&amp;VAR:DB_TYPE=&amp;VAR:UNITS=M&amp;window=popup&amp;width=450&amp;height=300&amp;START_MAXIMIZED=FALSE"}</definedName>
    <definedName name="_947__FDSAUDITLINK__" hidden="1">{"fdsup://IBCentral/FAT Viewer?action=UPDATE&amp;creator=factset&amp;DOC_NAME=fat:reuters_qtrly_source_window.fat&amp;display_string=Audit&amp;DYN_ARGS=TRUE&amp;VAR:ID1=G4776G10&amp;VAR:RCODE=ATCA&amp;VAR:SDATE=20081299&amp;VAR:FREQ=DAILY&amp;VAR:RELITEM=&amp;VAR:CURRENCY=&amp;VAR:CURRSOURCE=EXSHARE&amp;","VAR:NATFREQ=QUARTERLY&amp;VAR:RFIELD=FINALIZED&amp;VAR:DB_TYPE=&amp;VAR:UNITS=M&amp;window=popup&amp;width=450&amp;height=300&amp;START_MAXIMIZED=FALSE"}</definedName>
    <definedName name="_948__FDSAUDITLINK__" hidden="1">{"fdsup://IBCentral/FAT Viewer?action=UPDATE&amp;creator=factset&amp;DOC_NAME=fat:reuters_qtrly_source_window.fat&amp;display_string=Audit&amp;DYN_ARGS=TRUE&amp;VAR:ID1=G4776G10&amp;VAR:RCODE=ATOT&amp;VAR:SDATE=20081299&amp;VAR:FREQ=DAILY&amp;VAR:RELITEM=&amp;VAR:CURRENCY=&amp;VAR:CURRSOURCE=EXSHARE&amp;","VAR:NATFREQ=QUARTERLY&amp;VAR:RFIELD=FINALIZED&amp;VAR:DB_TYPE=&amp;VAR:UNITS=M&amp;window=popup&amp;width=450&amp;height=300&amp;START_MAXIMIZED=FALSE"}</definedName>
    <definedName name="_949__FDSAUDITLINK__" hidden="1">{"fdsup://IBCentral/FAT Viewer?action=UPDATE&amp;creator=factset&amp;DOC_NAME=fat:reuters_qtrly_source_window.fat&amp;display_string=Audit&amp;DYN_ARGS=TRUE&amp;VAR:ID1=43707610&amp;VAR:RCODE=LTLL&amp;VAR:SDATE=20081099&amp;VAR:FREQ=DAILY&amp;VAR:RELITEM=&amp;VAR:CURRENCY=&amp;VAR:CURRSOURCE=EXSHARE&amp;","VAR:NATFREQ=QUARTERLY&amp;VAR:RFIELD=FINALIZED&amp;VAR:DB_TYPE=&amp;VAR:UNITS=M&amp;window=popup&amp;width=450&amp;height=300&amp;START_MAXIMIZED=FALSE"}</definedName>
    <definedName name="_95__FDSAUDITLINK__" hidden="1">{"fdsup://Directions/FactSet Auditing Viewer?action=AUDIT_VALUE&amp;DB=129&amp;ID1=11162130&amp;VALUEID=02999&amp;SDATE=201002&amp;PERIODTYPE=QTR_STD&amp;window=popup_no_bar&amp;width=385&amp;height=120&amp;START_MAXIMIZED=FALSE&amp;creator=factset&amp;display_string=Audit"}</definedName>
    <definedName name="_950__FDSAUDITLINK__" hidden="1">{"fdsup://IBCentral/FAT Viewer?action=UPDATE&amp;creator=factset&amp;DOC_NAME=fat:reuters_qtrly_source_window.fat&amp;display_string=Audit&amp;DYN_ARGS=TRUE&amp;VAR:ID1=43707610&amp;VAR:RCODE=LTCL&amp;VAR:SDATE=20081099&amp;VAR:FREQ=DAILY&amp;VAR:RELITEM=&amp;VAR:CURRENCY=&amp;VAR:CURRSOURCE=EXSHARE&amp;","VAR:NATFREQ=QUARTERLY&amp;VAR:RFIELD=FINALIZED&amp;VAR:DB_TYPE=&amp;VAR:UNITS=M&amp;window=popup&amp;width=450&amp;height=300&amp;START_MAXIMIZED=FALSE"}</definedName>
    <definedName name="_951__FDSAUDITLINK__" hidden="1">{"fdsup://IBCentral/FAT Viewer?action=UPDATE&amp;creator=factset&amp;DOC_NAME=fat:reuters_qtrly_source_window.fat&amp;display_string=Audit&amp;DYN_ARGS=TRUE&amp;VAR:ID1=43707610&amp;VAR:RCODE=ATCA&amp;VAR:SDATE=20081099&amp;VAR:FREQ=DAILY&amp;VAR:RELITEM=&amp;VAR:CURRENCY=&amp;VAR:CURRSOURCE=EXSHARE&amp;","VAR:NATFREQ=QUARTERLY&amp;VAR:RFIELD=FINALIZED&amp;VAR:DB_TYPE=&amp;VAR:UNITS=M&amp;window=popup&amp;width=450&amp;height=300&amp;START_MAXIMIZED=FALSE"}</definedName>
    <definedName name="_952__FDSAUDITLINK__" hidden="1">{"fdsup://IBCentral/FAT Viewer?action=UPDATE&amp;creator=factset&amp;DOC_NAME=fat:reuters_qtrly_source_window.fat&amp;display_string=Audit&amp;DYN_ARGS=TRUE&amp;VAR:ID1=43707610&amp;VAR:RCODE=ATOT&amp;VAR:SDATE=20081099&amp;VAR:FREQ=DAILY&amp;VAR:RELITEM=&amp;VAR:CURRENCY=&amp;VAR:CURRSOURCE=EXSHARE&amp;","VAR:NATFREQ=QUARTERLY&amp;VAR:RFIELD=FINALIZED&amp;VAR:DB_TYPE=&amp;VAR:UNITS=M&amp;window=popup&amp;width=450&amp;height=300&amp;START_MAXIMIZED=FALSE"}</definedName>
    <definedName name="_953__FDSAUDITLINK__" hidden="1">{"fdsup://IBCentral/FAT Viewer?action=UPDATE&amp;creator=factset&amp;DOC_NAME=fat:reuters_qtrly_source_window.fat&amp;display_string=Audit&amp;DYN_ARGS=TRUE&amp;VAR:ID1=41387510&amp;VAR:RCODE=LTLL&amp;VAR:SDATE=20081299&amp;VAR:FREQ=DAILY&amp;VAR:RELITEM=&amp;VAR:CURRENCY=&amp;VAR:CURRSOURCE=EXSHARE&amp;","VAR:NATFREQ=QUARTERLY&amp;VAR:RFIELD=FINALIZED&amp;VAR:DB_TYPE=&amp;VAR:UNITS=M&amp;window=popup&amp;width=450&amp;height=300&amp;START_MAXIMIZED=FALSE"}</definedName>
    <definedName name="_954__FDSAUDITLINK__" hidden="1">{"fdsup://IBCentral/FAT Viewer?action=UPDATE&amp;creator=factset&amp;DOC_NAME=fat:reuters_qtrly_source_window.fat&amp;display_string=Audit&amp;DYN_ARGS=TRUE&amp;VAR:ID1=41387510&amp;VAR:RCODE=LTCL&amp;VAR:SDATE=20081299&amp;VAR:FREQ=DAILY&amp;VAR:RELITEM=&amp;VAR:CURRENCY=&amp;VAR:CURRSOURCE=EXSHARE&amp;","VAR:NATFREQ=QUARTERLY&amp;VAR:RFIELD=FINALIZED&amp;VAR:DB_TYPE=&amp;VAR:UNITS=M&amp;window=popup&amp;width=450&amp;height=300&amp;START_MAXIMIZED=FALSE"}</definedName>
    <definedName name="_955__FDSAUDITLINK__" hidden="1">{"fdsup://IBCentral/FAT Viewer?action=UPDATE&amp;creator=factset&amp;DOC_NAME=fat:reuters_qtrly_source_window.fat&amp;display_string=Audit&amp;DYN_ARGS=TRUE&amp;VAR:ID1=41387510&amp;VAR:RCODE=ATCA&amp;VAR:SDATE=20081299&amp;VAR:FREQ=DAILY&amp;VAR:RELITEM=&amp;VAR:CURRENCY=&amp;VAR:CURRSOURCE=EXSHARE&amp;","VAR:NATFREQ=QUARTERLY&amp;VAR:RFIELD=FINALIZED&amp;VAR:DB_TYPE=&amp;VAR:UNITS=M&amp;window=popup&amp;width=450&amp;height=300&amp;START_MAXIMIZED=FALSE"}</definedName>
    <definedName name="_956__FDSAUDITLINK__" hidden="1">{"fdsup://IBCentral/FAT Viewer?action=UPDATE&amp;creator=factset&amp;DOC_NAME=fat:reuters_qtrly_source_window.fat&amp;display_string=Audit&amp;DYN_ARGS=TRUE&amp;VAR:ID1=41387510&amp;VAR:RCODE=ATOT&amp;VAR:SDATE=20081299&amp;VAR:FREQ=DAILY&amp;VAR:RELITEM=&amp;VAR:CURRENCY=&amp;VAR:CURRSOURCE=EXSHARE&amp;","VAR:NATFREQ=QUARTERLY&amp;VAR:RFIELD=FINALIZED&amp;VAR:DB_TYPE=&amp;VAR:UNITS=M&amp;window=popup&amp;width=450&amp;height=300&amp;START_MAXIMIZED=FALSE"}</definedName>
    <definedName name="_957__FDSAUDITLINK__" hidden="1">{"fdsup://IBCentral/FAT Viewer?action=UPDATE&amp;creator=factset&amp;DOC_NAME=fat:reuters_qtrly_source_window.fat&amp;display_string=Audit&amp;DYN_ARGS=TRUE&amp;VAR:ID1=37033410&amp;VAR:RCODE=LTLL&amp;VAR:SDATE=20081199&amp;VAR:FREQ=DAILY&amp;VAR:RELITEM=&amp;VAR:CURRENCY=&amp;VAR:CURRSOURCE=EXSHARE&amp;","VAR:NATFREQ=QUARTERLY&amp;VAR:RFIELD=FINALIZED&amp;VAR:DB_TYPE=&amp;VAR:UNITS=M&amp;window=popup&amp;width=450&amp;height=300&amp;START_MAXIMIZED=FALSE"}</definedName>
    <definedName name="_958__FDSAUDITLINK__" hidden="1">{"fdsup://IBCentral/FAT Viewer?action=UPDATE&amp;creator=factset&amp;DOC_NAME=fat:reuters_qtrly_source_window.fat&amp;display_string=Audit&amp;DYN_ARGS=TRUE&amp;VAR:ID1=37033410&amp;VAR:RCODE=LTCL&amp;VAR:SDATE=20081199&amp;VAR:FREQ=DAILY&amp;VAR:RELITEM=&amp;VAR:CURRENCY=&amp;VAR:CURRSOURCE=EXSHARE&amp;","VAR:NATFREQ=QUARTERLY&amp;VAR:RFIELD=FINALIZED&amp;VAR:DB_TYPE=&amp;VAR:UNITS=M&amp;window=popup&amp;width=450&amp;height=300&amp;START_MAXIMIZED=FALSE"}</definedName>
    <definedName name="_959__FDSAUDITLINK__" hidden="1">{"fdsup://IBCentral/FAT Viewer?action=UPDATE&amp;creator=factset&amp;DOC_NAME=fat:reuters_qtrly_source_window.fat&amp;display_string=Audit&amp;DYN_ARGS=TRUE&amp;VAR:ID1=37033410&amp;VAR:RCODE=ATCA&amp;VAR:SDATE=20081199&amp;VAR:FREQ=DAILY&amp;VAR:RELITEM=&amp;VAR:CURRENCY=&amp;VAR:CURRSOURCE=EXSHARE&amp;","VAR:NATFREQ=QUARTERLY&amp;VAR:RFIELD=FINALIZED&amp;VAR:DB_TYPE=&amp;VAR:UNITS=M&amp;window=popup&amp;width=450&amp;height=300&amp;START_MAXIMIZED=FALSE"}</definedName>
    <definedName name="_96__FDSAUDITLINK__" hidden="1">{"fdsup://Directions/FactSet Auditing Viewer?action=AUDIT_VALUE&amp;DB=129&amp;ID1=11573610&amp;VALUEID=02999&amp;SDATE=201001&amp;PERIODTYPE=QTR_STD&amp;window=popup_no_bar&amp;width=385&amp;height=120&amp;START_MAXIMIZED=FALSE&amp;creator=factset&amp;display_string=Audit"}</definedName>
    <definedName name="_960__FDSAUDITLINK__" hidden="1">{"fdsup://IBCentral/FAT Viewer?action=UPDATE&amp;creator=factset&amp;DOC_NAME=fat:reuters_qtrly_source_window.fat&amp;display_string=Audit&amp;DYN_ARGS=TRUE&amp;VAR:ID1=37033410&amp;VAR:RCODE=ATOT&amp;VAR:SDATE=20081199&amp;VAR:FREQ=DAILY&amp;VAR:RELITEM=&amp;VAR:CURRENCY=&amp;VAR:CURRSOURCE=EXSHARE&amp;","VAR:NATFREQ=QUARTERLY&amp;VAR:RFIELD=FINALIZED&amp;VAR:DB_TYPE=&amp;VAR:UNITS=M&amp;window=popup&amp;width=450&amp;height=300&amp;START_MAXIMIZED=FALSE"}</definedName>
    <definedName name="_961__FDSAUDITLINK__" hidden="1">{"fdsup://IBCentral/FAT Viewer?action=UPDATE&amp;creator=factset&amp;DOC_NAME=fat:reuters_qtrly_source_window.fat&amp;display_string=Audit&amp;DYN_ARGS=TRUE&amp;VAR:ID1=30161N10&amp;VAR:RCODE=LTLL&amp;VAR:SDATE=20081299&amp;VAR:FREQ=DAILY&amp;VAR:RELITEM=&amp;VAR:CURRENCY=&amp;VAR:CURRSOURCE=EXSHARE&amp;","VAR:NATFREQ=QUARTERLY&amp;VAR:RFIELD=FINALIZED&amp;VAR:DB_TYPE=&amp;VAR:UNITS=M&amp;window=popup&amp;width=450&amp;height=300&amp;START_MAXIMIZED=FALSE"}</definedName>
    <definedName name="_962__FDSAUDITLINK__" hidden="1">{"fdsup://IBCentral/FAT Viewer?action=UPDATE&amp;creator=factset&amp;DOC_NAME=fat:reuters_qtrly_source_window.fat&amp;display_string=Audit&amp;DYN_ARGS=TRUE&amp;VAR:ID1=30161N10&amp;VAR:RCODE=LTCL&amp;VAR:SDATE=20081299&amp;VAR:FREQ=DAILY&amp;VAR:RELITEM=&amp;VAR:CURRENCY=&amp;VAR:CURRSOURCE=EXSHARE&amp;","VAR:NATFREQ=QUARTERLY&amp;VAR:RFIELD=FINALIZED&amp;VAR:DB_TYPE=&amp;VAR:UNITS=M&amp;window=popup&amp;width=450&amp;height=300&amp;START_MAXIMIZED=FALSE"}</definedName>
    <definedName name="_963__FDSAUDITLINK__" hidden="1">{"fdsup://IBCentral/FAT Viewer?action=UPDATE&amp;creator=factset&amp;DOC_NAME=fat:reuters_qtrly_source_window.fat&amp;display_string=Audit&amp;DYN_ARGS=TRUE&amp;VAR:ID1=30161N10&amp;VAR:RCODE=ATCA&amp;VAR:SDATE=20081299&amp;VAR:FREQ=DAILY&amp;VAR:RELITEM=&amp;VAR:CURRENCY=&amp;VAR:CURRSOURCE=EXSHARE&amp;","VAR:NATFREQ=QUARTERLY&amp;VAR:RFIELD=FINALIZED&amp;VAR:DB_TYPE=&amp;VAR:UNITS=M&amp;window=popup&amp;width=450&amp;height=300&amp;START_MAXIMIZED=FALSE"}</definedName>
    <definedName name="_964__FDSAUDITLINK__" hidden="1">{"fdsup://IBCentral/FAT Viewer?action=UPDATE&amp;creator=factset&amp;DOC_NAME=fat:reuters_qtrly_source_window.fat&amp;display_string=Audit&amp;DYN_ARGS=TRUE&amp;VAR:ID1=30161N10&amp;VAR:RCODE=ATOT&amp;VAR:SDATE=20081299&amp;VAR:FREQ=DAILY&amp;VAR:RELITEM=&amp;VAR:CURRENCY=&amp;VAR:CURRSOURCE=EXSHARE&amp;","VAR:NATFREQ=QUARTERLY&amp;VAR:RFIELD=FINALIZED&amp;VAR:DB_TYPE=&amp;VAR:UNITS=M&amp;window=popup&amp;width=450&amp;height=300&amp;START_MAXIMIZED=FALSE"}</definedName>
    <definedName name="_965__FDSAUDITLINK__" hidden="1">{"fdsup://IBCentral/FAT Viewer?action=UPDATE&amp;creator=factset&amp;DOC_NAME=fat:reuters_qtrly_source_window.fat&amp;display_string=Audit&amp;DYN_ARGS=TRUE&amp;VAR:ID1=29442910&amp;VAR:RCODE=LTLL&amp;VAR:SDATE=20081299&amp;VAR:FREQ=DAILY&amp;VAR:RELITEM=&amp;VAR:CURRENCY=&amp;VAR:CURRSOURCE=EXSHARE&amp;","VAR:NATFREQ=QUARTERLY&amp;VAR:RFIELD=FINALIZED&amp;VAR:DB_TYPE=&amp;VAR:UNITS=M&amp;window=popup&amp;width=450&amp;height=300&amp;START_MAXIMIZED=FALSE"}</definedName>
    <definedName name="_966__FDSAUDITLINK__" hidden="1">{"fdsup://IBCentral/FAT Viewer?action=UPDATE&amp;creator=factset&amp;DOC_NAME=fat:reuters_qtrly_source_window.fat&amp;display_string=Audit&amp;DYN_ARGS=TRUE&amp;VAR:ID1=29442910&amp;VAR:RCODE=LTCL&amp;VAR:SDATE=20081299&amp;VAR:FREQ=DAILY&amp;VAR:RELITEM=&amp;VAR:CURRENCY=&amp;VAR:CURRSOURCE=EXSHARE&amp;","VAR:NATFREQ=QUARTERLY&amp;VAR:RFIELD=FINALIZED&amp;VAR:DB_TYPE=&amp;VAR:UNITS=M&amp;window=popup&amp;width=450&amp;height=300&amp;START_MAXIMIZED=FALSE"}</definedName>
    <definedName name="_967__FDSAUDITLINK__" hidden="1">{"fdsup://IBCentral/FAT Viewer?action=UPDATE&amp;creator=factset&amp;DOC_NAME=fat:reuters_qtrly_source_window.fat&amp;display_string=Audit&amp;DYN_ARGS=TRUE&amp;VAR:ID1=29442910&amp;VAR:RCODE=ATCA&amp;VAR:SDATE=20081299&amp;VAR:FREQ=DAILY&amp;VAR:RELITEM=&amp;VAR:CURRENCY=&amp;VAR:CURRSOURCE=EXSHARE&amp;","VAR:NATFREQ=QUARTERLY&amp;VAR:RFIELD=FINALIZED&amp;VAR:DB_TYPE=&amp;VAR:UNITS=M&amp;window=popup&amp;width=450&amp;height=300&amp;START_MAXIMIZED=FALSE"}</definedName>
    <definedName name="_968__FDSAUDITLINK__" hidden="1">{"fdsup://IBCentral/FAT Viewer?action=UPDATE&amp;creator=factset&amp;DOC_NAME=fat:reuters_qtrly_source_window.fat&amp;display_string=Audit&amp;DYN_ARGS=TRUE&amp;VAR:ID1=29442910&amp;VAR:RCODE=ATOT&amp;VAR:SDATE=20081299&amp;VAR:FREQ=DAILY&amp;VAR:RELITEM=&amp;VAR:CURRENCY=&amp;VAR:CURRSOURCE=EXSHARE&amp;","VAR:NATFREQ=QUARTERLY&amp;VAR:RFIELD=FINALIZED&amp;VAR:DB_TYPE=&amp;VAR:UNITS=M&amp;window=popup&amp;width=450&amp;height=300&amp;START_MAXIMIZED=FALSE"}</definedName>
    <definedName name="_969__FDSAUDITLINK__" hidden="1">{"fdsup://IBCentral/FAT Viewer?action=UPDATE&amp;creator=factset&amp;DOC_NAME=fat:reuters_qtrly_source_window.fat&amp;display_string=Audit&amp;DYN_ARGS=TRUE&amp;VAR:ID1=26884L10&amp;VAR:RCODE=LTLL&amp;VAR:SDATE=20081299&amp;VAR:FREQ=DAILY&amp;VAR:RELITEM=&amp;VAR:CURRENCY=&amp;VAR:CURRSOURCE=EXSHARE&amp;","VAR:NATFREQ=QUARTERLY&amp;VAR:RFIELD=FINALIZED&amp;VAR:DB_TYPE=&amp;VAR:UNITS=M&amp;window=popup&amp;width=450&amp;height=300&amp;START_MAXIMIZED=FALSE"}</definedName>
    <definedName name="_97__FDSAUDITLINK__" hidden="1">{"fdsup://Directions/FactSet Auditing Viewer?action=AUDIT_VALUE&amp;DB=129&amp;ID1=11704310&amp;VALUEID=02999&amp;SDATE=201001&amp;PERIODTYPE=QTR_STD&amp;window=popup_no_bar&amp;width=385&amp;height=120&amp;START_MAXIMIZED=FALSE&amp;creator=factset&amp;display_string=Audit"}</definedName>
    <definedName name="_970__FDSAUDITLINK__" hidden="1">{"fdsup://IBCentral/FAT Viewer?action=UPDATE&amp;creator=factset&amp;DOC_NAME=fat:reuters_qtrly_source_window.fat&amp;display_string=Audit&amp;DYN_ARGS=TRUE&amp;VAR:ID1=26884L10&amp;VAR:RCODE=LTCL&amp;VAR:SDATE=20081299&amp;VAR:FREQ=DAILY&amp;VAR:RELITEM=&amp;VAR:CURRENCY=&amp;VAR:CURRSOURCE=EXSHARE&amp;","VAR:NATFREQ=QUARTERLY&amp;VAR:RFIELD=FINALIZED&amp;VAR:DB_TYPE=&amp;VAR:UNITS=M&amp;window=popup&amp;width=450&amp;height=300&amp;START_MAXIMIZED=FALSE"}</definedName>
    <definedName name="_971__FDSAUDITLINK__" hidden="1">{"fdsup://IBCentral/FAT Viewer?action=UPDATE&amp;creator=factset&amp;DOC_NAME=fat:reuters_qtrly_source_window.fat&amp;display_string=Audit&amp;DYN_ARGS=TRUE&amp;VAR:ID1=26884L10&amp;VAR:RCODE=ATCA&amp;VAR:SDATE=20081299&amp;VAR:FREQ=DAILY&amp;VAR:RELITEM=&amp;VAR:CURRENCY=&amp;VAR:CURRSOURCE=EXSHARE&amp;","VAR:NATFREQ=QUARTERLY&amp;VAR:RFIELD=FINALIZED&amp;VAR:DB_TYPE=&amp;VAR:UNITS=M&amp;window=popup&amp;width=450&amp;height=300&amp;START_MAXIMIZED=FALSE"}</definedName>
    <definedName name="_972__FDSAUDITLINK__" hidden="1">{"fdsup://IBCentral/FAT Viewer?action=UPDATE&amp;creator=factset&amp;DOC_NAME=fat:reuters_qtrly_source_window.fat&amp;display_string=Audit&amp;DYN_ARGS=TRUE&amp;VAR:ID1=26884L10&amp;VAR:RCODE=ATOT&amp;VAR:SDATE=20081299&amp;VAR:FREQ=DAILY&amp;VAR:RELITEM=&amp;VAR:CURRENCY=&amp;VAR:CURRSOURCE=EXSHARE&amp;","VAR:NATFREQ=QUARTERLY&amp;VAR:RFIELD=FINALIZED&amp;VAR:DB_TYPE=&amp;VAR:UNITS=M&amp;window=popup&amp;width=450&amp;height=300&amp;START_MAXIMIZED=FALSE"}</definedName>
    <definedName name="_973__FDSAUDITLINK__" hidden="1">{"fdsup://IBCentral/FAT Viewer?action=UPDATE&amp;creator=factset&amp;DOC_NAME=fat:reuters_qtrly_source_window.fat&amp;display_string=Audit&amp;DYN_ARGS=TRUE&amp;VAR:ID1=26874Q10&amp;VAR:RCODE=LTLL&amp;VAR:SDATE=20081299&amp;VAR:FREQ=DAILY&amp;VAR:RELITEM=&amp;VAR:CURRENCY=&amp;VAR:CURRSOURCE=EXSHARE&amp;","VAR:NATFREQ=QUARTERLY&amp;VAR:RFIELD=FINALIZED&amp;VAR:DB_TYPE=&amp;VAR:UNITS=M&amp;window=popup&amp;width=450&amp;height=300&amp;START_MAXIMIZED=FALSE"}</definedName>
    <definedName name="_974__FDSAUDITLINK__" hidden="1">{"fdsup://IBCentral/FAT Viewer?action=UPDATE&amp;creator=factset&amp;DOC_NAME=fat:reuters_qtrly_source_window.fat&amp;display_string=Audit&amp;DYN_ARGS=TRUE&amp;VAR:ID1=26874Q10&amp;VAR:RCODE=LTCL&amp;VAR:SDATE=20081299&amp;VAR:FREQ=DAILY&amp;VAR:RELITEM=&amp;VAR:CURRENCY=&amp;VAR:CURRSOURCE=EXSHARE&amp;","VAR:NATFREQ=QUARTERLY&amp;VAR:RFIELD=FINALIZED&amp;VAR:DB_TYPE=&amp;VAR:UNITS=M&amp;window=popup&amp;width=450&amp;height=300&amp;START_MAXIMIZED=FALSE"}</definedName>
    <definedName name="_975__FDSAUDITLINK__" hidden="1">{"fdsup://IBCentral/FAT Viewer?action=UPDATE&amp;creator=factset&amp;DOC_NAME=fat:reuters_qtrly_source_window.fat&amp;display_string=Audit&amp;DYN_ARGS=TRUE&amp;VAR:ID1=26874Q10&amp;VAR:RCODE=ATCA&amp;VAR:SDATE=20081299&amp;VAR:FREQ=DAILY&amp;VAR:RELITEM=&amp;VAR:CURRENCY=&amp;VAR:CURRSOURCE=EXSHARE&amp;","VAR:NATFREQ=QUARTERLY&amp;VAR:RFIELD=FINALIZED&amp;VAR:DB_TYPE=&amp;VAR:UNITS=M&amp;window=popup&amp;width=450&amp;height=300&amp;START_MAXIMIZED=FALSE"}</definedName>
    <definedName name="_976__FDSAUDITLINK__" hidden="1">{"fdsup://IBCentral/FAT Viewer?action=UPDATE&amp;creator=factset&amp;DOC_NAME=fat:reuters_qtrly_source_window.fat&amp;display_string=Audit&amp;DYN_ARGS=TRUE&amp;VAR:ID1=26874Q10&amp;VAR:RCODE=ATOT&amp;VAR:SDATE=20081299&amp;VAR:FREQ=DAILY&amp;VAR:RELITEM=&amp;VAR:CURRENCY=&amp;VAR:CURRSOURCE=EXSHARE&amp;","VAR:NATFREQ=QUARTERLY&amp;VAR:RFIELD=FINALIZED&amp;VAR:DB_TYPE=&amp;VAR:UNITS=M&amp;window=popup&amp;width=450&amp;height=300&amp;START_MAXIMIZED=FALSE"}</definedName>
    <definedName name="_977__FDSAUDITLINK__" hidden="1">{"fdsup://IBCentral/FAT Viewer?action=UPDATE&amp;creator=factset&amp;DOC_NAME=fat:reuters_qtrly_source_window.fat&amp;display_string=Audit&amp;DYN_ARGS=TRUE&amp;VAR:ID1=26054310&amp;VAR:RCODE=LTLL&amp;VAR:SDATE=20081299&amp;VAR:FREQ=DAILY&amp;VAR:RELITEM=&amp;VAR:CURRENCY=&amp;VAR:CURRSOURCE=EXSHARE&amp;","VAR:NATFREQ=QUARTERLY&amp;VAR:RFIELD=FINALIZED&amp;VAR:DB_TYPE=&amp;VAR:UNITS=M&amp;window=popup&amp;width=450&amp;height=300&amp;START_MAXIMIZED=FALSE"}</definedName>
    <definedName name="_978__FDSAUDITLINK__" hidden="1">{"fdsup://IBCentral/FAT Viewer?action=UPDATE&amp;creator=factset&amp;DOC_NAME=fat:reuters_qtrly_source_window.fat&amp;display_string=Audit&amp;DYN_ARGS=TRUE&amp;VAR:ID1=26054310&amp;VAR:RCODE=LTCL&amp;VAR:SDATE=20081299&amp;VAR:FREQ=DAILY&amp;VAR:RELITEM=&amp;VAR:CURRENCY=&amp;VAR:CURRSOURCE=EXSHARE&amp;","VAR:NATFREQ=QUARTERLY&amp;VAR:RFIELD=FINALIZED&amp;VAR:DB_TYPE=&amp;VAR:UNITS=M&amp;window=popup&amp;width=450&amp;height=300&amp;START_MAXIMIZED=FALSE"}</definedName>
    <definedName name="_979__FDSAUDITLINK__" hidden="1">{"fdsup://IBCentral/FAT Viewer?action=UPDATE&amp;creator=factset&amp;DOC_NAME=fat:reuters_qtrly_source_window.fat&amp;display_string=Audit&amp;DYN_ARGS=TRUE&amp;VAR:ID1=26054310&amp;VAR:RCODE=ATCA&amp;VAR:SDATE=20081299&amp;VAR:FREQ=DAILY&amp;VAR:RELITEM=&amp;VAR:CURRENCY=&amp;VAR:CURRSOURCE=EXSHARE&amp;","VAR:NATFREQ=QUARTERLY&amp;VAR:RFIELD=FINALIZED&amp;VAR:DB_TYPE=&amp;VAR:UNITS=M&amp;window=popup&amp;width=450&amp;height=300&amp;START_MAXIMIZED=FALSE"}</definedName>
    <definedName name="_98__FDSAUDITLINK__" hidden="1">{"fdsup://Directions/FactSet Auditing Viewer?action=AUDIT_VALUE&amp;DB=129&amp;ID1=11825510&amp;VALUEID=02999&amp;SDATE=201003&amp;PERIODTYPE=QTR_STD&amp;window=popup_no_bar&amp;width=385&amp;height=120&amp;START_MAXIMIZED=FALSE&amp;creator=factset&amp;display_string=Audit"}</definedName>
    <definedName name="_980__FDSAUDITLINK__" hidden="1">{"fdsup://IBCentral/FAT Viewer?action=UPDATE&amp;creator=factset&amp;DOC_NAME=fat:reuters_qtrly_source_window.fat&amp;display_string=Audit&amp;DYN_ARGS=TRUE&amp;VAR:ID1=26054310&amp;VAR:RCODE=ATOT&amp;VAR:SDATE=20081299&amp;VAR:FREQ=DAILY&amp;VAR:RELITEM=&amp;VAR:CURRENCY=&amp;VAR:CURRSOURCE=EXSHARE&amp;","VAR:NATFREQ=QUARTERLY&amp;VAR:RFIELD=FINALIZED&amp;VAR:DB_TYPE=&amp;VAR:UNITS=M&amp;window=popup&amp;width=450&amp;height=300&amp;START_MAXIMIZED=FALSE"}</definedName>
    <definedName name="_981__FDSAUDITLINK__" hidden="1">{"fdsup://IBCentral/FAT Viewer?action=UPDATE&amp;creator=factset&amp;DOC_NAME=fat:reuters_qtrly_source_window.fat&amp;display_string=Audit&amp;DYN_ARGS=TRUE&amp;VAR:ID1=25271C10&amp;VAR:RCODE=LTLL&amp;VAR:SDATE=20081299&amp;VAR:FREQ=DAILY&amp;VAR:RELITEM=&amp;VAR:CURRENCY=&amp;VAR:CURRSOURCE=EXSHARE&amp;","VAR:NATFREQ=QUARTERLY&amp;VAR:RFIELD=FINALIZED&amp;VAR:DB_TYPE=&amp;VAR:UNITS=M&amp;window=popup&amp;width=450&amp;height=300&amp;START_MAXIMIZED=FALSE"}</definedName>
    <definedName name="_982__FDSAUDITLINK__" hidden="1">{"fdsup://IBCentral/FAT Viewer?action=UPDATE&amp;creator=factset&amp;DOC_NAME=fat:reuters_qtrly_source_window.fat&amp;display_string=Audit&amp;DYN_ARGS=TRUE&amp;VAR:ID1=25271C10&amp;VAR:RCODE=LTCL&amp;VAR:SDATE=20081299&amp;VAR:FREQ=DAILY&amp;VAR:RELITEM=&amp;VAR:CURRENCY=&amp;VAR:CURRSOURCE=EXSHARE&amp;","VAR:NATFREQ=QUARTERLY&amp;VAR:RFIELD=FINALIZED&amp;VAR:DB_TYPE=&amp;VAR:UNITS=M&amp;window=popup&amp;width=450&amp;height=300&amp;START_MAXIMIZED=FALSE"}</definedName>
    <definedName name="_983__FDSAUDITLINK__" hidden="1">{"fdsup://IBCentral/FAT Viewer?action=UPDATE&amp;creator=factset&amp;DOC_NAME=fat:reuters_qtrly_source_window.fat&amp;display_string=Audit&amp;DYN_ARGS=TRUE&amp;VAR:ID1=25271C10&amp;VAR:RCODE=ATCA&amp;VAR:SDATE=20081299&amp;VAR:FREQ=DAILY&amp;VAR:RELITEM=&amp;VAR:CURRENCY=&amp;VAR:CURRSOURCE=EXSHARE&amp;","VAR:NATFREQ=QUARTERLY&amp;VAR:RFIELD=FINALIZED&amp;VAR:DB_TYPE=&amp;VAR:UNITS=M&amp;window=popup&amp;width=450&amp;height=300&amp;START_MAXIMIZED=FALSE"}</definedName>
    <definedName name="_984__FDSAUDITLINK__" hidden="1">{"fdsup://IBCentral/FAT Viewer?action=UPDATE&amp;creator=factset&amp;DOC_NAME=fat:reuters_qtrly_source_window.fat&amp;display_string=Audit&amp;DYN_ARGS=TRUE&amp;VAR:ID1=25271C10&amp;VAR:RCODE=ATOT&amp;VAR:SDATE=20081299&amp;VAR:FREQ=DAILY&amp;VAR:RELITEM=&amp;VAR:CURRENCY=&amp;VAR:CURRSOURCE=EXSHARE&amp;","VAR:NATFREQ=QUARTERLY&amp;VAR:RFIELD=FINALIZED&amp;VAR:DB_TYPE=&amp;VAR:UNITS=M&amp;window=popup&amp;width=450&amp;height=300&amp;START_MAXIMIZED=FALSE"}</definedName>
    <definedName name="_985__FDSAUDITLINK__" hidden="1">{"fdsup://IBCentral/FAT Viewer?action=UPDATE&amp;creator=factset&amp;DOC_NAME=fat:reuters_qtrly_source_window.fat&amp;display_string=Audit&amp;DYN_ARGS=TRUE&amp;VAR:ID1=25179M10&amp;VAR:RCODE=LTLL&amp;VAR:SDATE=20081299&amp;VAR:FREQ=DAILY&amp;VAR:RELITEM=&amp;VAR:CURRENCY=&amp;VAR:CURRSOURCE=EXSHARE&amp;","VAR:NATFREQ=QUARTERLY&amp;VAR:RFIELD=FINALIZED&amp;VAR:DB_TYPE=&amp;VAR:UNITS=M&amp;window=popup&amp;width=450&amp;height=300&amp;START_MAXIMIZED=FALSE"}</definedName>
    <definedName name="_986__FDSAUDITLINK__" hidden="1">{"fdsup://IBCentral/FAT Viewer?action=UPDATE&amp;creator=factset&amp;DOC_NAME=fat:reuters_qtrly_source_window.fat&amp;display_string=Audit&amp;DYN_ARGS=TRUE&amp;VAR:ID1=25179M10&amp;VAR:RCODE=LTCL&amp;VAR:SDATE=20081299&amp;VAR:FREQ=DAILY&amp;VAR:RELITEM=&amp;VAR:CURRENCY=&amp;VAR:CURRSOURCE=EXSHARE&amp;","VAR:NATFREQ=QUARTERLY&amp;VAR:RFIELD=FINALIZED&amp;VAR:DB_TYPE=&amp;VAR:UNITS=M&amp;window=popup&amp;width=450&amp;height=300&amp;START_MAXIMIZED=FALSE"}</definedName>
    <definedName name="_987__FDSAUDITLINK__" hidden="1">{"fdsup://IBCentral/FAT Viewer?action=UPDATE&amp;creator=factset&amp;DOC_NAME=fat:reuters_qtrly_source_window.fat&amp;display_string=Audit&amp;DYN_ARGS=TRUE&amp;VAR:ID1=25179M10&amp;VAR:RCODE=ATCA&amp;VAR:SDATE=20081299&amp;VAR:FREQ=DAILY&amp;VAR:RELITEM=&amp;VAR:CURRENCY=&amp;VAR:CURRSOURCE=EXSHARE&amp;","VAR:NATFREQ=QUARTERLY&amp;VAR:RFIELD=FINALIZED&amp;VAR:DB_TYPE=&amp;VAR:UNITS=M&amp;window=popup&amp;width=450&amp;height=300&amp;START_MAXIMIZED=FALSE"}</definedName>
    <definedName name="_988__FDSAUDITLINK__" hidden="1">{"fdsup://IBCentral/FAT Viewer?action=UPDATE&amp;creator=factset&amp;DOC_NAME=fat:reuters_qtrly_source_window.fat&amp;display_string=Audit&amp;DYN_ARGS=TRUE&amp;VAR:ID1=25179M10&amp;VAR:RCODE=ATOT&amp;VAR:SDATE=20081299&amp;VAR:FREQ=DAILY&amp;VAR:RELITEM=&amp;VAR:CURRENCY=&amp;VAR:CURRSOURCE=EXSHARE&amp;","VAR:NATFREQ=QUARTERLY&amp;VAR:RFIELD=FINALIZED&amp;VAR:DB_TYPE=&amp;VAR:UNITS=M&amp;window=popup&amp;width=450&amp;height=300&amp;START_MAXIMIZED=FALSE"}</definedName>
    <definedName name="_989__FDSAUDITLINK__" hidden="1">{"fdsup://IBCentral/FAT Viewer?action=UPDATE&amp;creator=factset&amp;DOC_NAME=fat:reuters_qtrly_source_window.fat&amp;display_string=Audit&amp;DYN_ARGS=TRUE&amp;VAR:ID1=21935010&amp;VAR:RCODE=LTLL&amp;VAR:SDATE=20081299&amp;VAR:FREQ=DAILY&amp;VAR:RELITEM=&amp;VAR:CURRENCY=&amp;VAR:CURRSOURCE=EXSHARE&amp;","VAR:NATFREQ=QUARTERLY&amp;VAR:RFIELD=FINALIZED&amp;VAR:DB_TYPE=&amp;VAR:UNITS=M&amp;window=popup&amp;width=450&amp;height=300&amp;START_MAXIMIZED=FALSE"}</definedName>
    <definedName name="_99__FDSAUDITLINK__" hidden="1">{"fdsup://Directions/FactSet Auditing Viewer?action=AUDIT_VALUE&amp;DB=129&amp;ID1=11875910&amp;VALUEID=02999&amp;SDATE=201001&amp;PERIODTYPE=QTR_STD&amp;window=popup_no_bar&amp;width=385&amp;height=120&amp;START_MAXIMIZED=FALSE&amp;creator=factset&amp;display_string=Audit"}</definedName>
    <definedName name="_990__FDSAUDITLINK__" hidden="1">{"fdsup://IBCentral/FAT Viewer?action=UPDATE&amp;creator=factset&amp;DOC_NAME=fat:reuters_qtrly_source_window.fat&amp;display_string=Audit&amp;DYN_ARGS=TRUE&amp;VAR:ID1=21935010&amp;VAR:RCODE=LTCL&amp;VAR:SDATE=20081299&amp;VAR:FREQ=DAILY&amp;VAR:RELITEM=&amp;VAR:CURRENCY=&amp;VAR:CURRSOURCE=EXSHARE&amp;","VAR:NATFREQ=QUARTERLY&amp;VAR:RFIELD=FINALIZED&amp;VAR:DB_TYPE=&amp;VAR:UNITS=M&amp;window=popup&amp;width=450&amp;height=300&amp;START_MAXIMIZED=FALSE"}</definedName>
    <definedName name="_991__FDSAUDITLINK__" hidden="1">{"fdsup://IBCentral/FAT Viewer?action=UPDATE&amp;creator=factset&amp;DOC_NAME=fat:reuters_qtrly_source_window.fat&amp;display_string=Audit&amp;DYN_ARGS=TRUE&amp;VAR:ID1=21935010&amp;VAR:RCODE=ATCA&amp;VAR:SDATE=20081299&amp;VAR:FREQ=DAILY&amp;VAR:RELITEM=&amp;VAR:CURRENCY=&amp;VAR:CURRSOURCE=EXSHARE&amp;","VAR:NATFREQ=QUARTERLY&amp;VAR:RFIELD=FINALIZED&amp;VAR:DB_TYPE=&amp;VAR:UNITS=M&amp;window=popup&amp;width=450&amp;height=300&amp;START_MAXIMIZED=FALSE"}</definedName>
    <definedName name="_992__FDSAUDITLINK__" hidden="1">{"fdsup://IBCentral/FAT Viewer?action=UPDATE&amp;creator=factset&amp;DOC_NAME=fat:reuters_qtrly_source_window.fat&amp;display_string=Audit&amp;DYN_ARGS=TRUE&amp;VAR:ID1=21935010&amp;VAR:RCODE=ATOT&amp;VAR:SDATE=20081299&amp;VAR:FREQ=DAILY&amp;VAR:RELITEM=&amp;VAR:CURRENCY=&amp;VAR:CURRSOURCE=EXSHARE&amp;","VAR:NATFREQ=QUARTERLY&amp;VAR:RFIELD=FINALIZED&amp;VAR:DB_TYPE=&amp;VAR:UNITS=M&amp;window=popup&amp;width=450&amp;height=300&amp;START_MAXIMIZED=FALSE"}</definedName>
    <definedName name="_993__FDSAUDITLINK__" hidden="1">{"fdsup://IBCentral/FAT Viewer?action=UPDATE&amp;creator=factset&amp;DOC_NAME=fat:reuters_qtrly_source_window.fat&amp;display_string=Audit&amp;DYN_ARGS=TRUE&amp;VAR:ID1=13342B10&amp;VAR:RCODE=LTLL&amp;VAR:SDATE=20081299&amp;VAR:FREQ=DAILY&amp;VAR:RELITEM=&amp;VAR:CURRENCY=&amp;VAR:CURRSOURCE=EXSHARE&amp;","VAR:NATFREQ=QUARTERLY&amp;VAR:RFIELD=FINALIZED&amp;VAR:DB_TYPE=&amp;VAR:UNITS=M&amp;window=popup&amp;width=450&amp;height=300&amp;START_MAXIMIZED=FALSE"}</definedName>
    <definedName name="_994__FDSAUDITLINK__" hidden="1">{"fdsup://IBCentral/FAT Viewer?action=UPDATE&amp;creator=factset&amp;DOC_NAME=fat:reuters_qtrly_source_window.fat&amp;display_string=Audit&amp;DYN_ARGS=TRUE&amp;VAR:ID1=13342B10&amp;VAR:RCODE=LTCL&amp;VAR:SDATE=20081299&amp;VAR:FREQ=DAILY&amp;VAR:RELITEM=&amp;VAR:CURRENCY=&amp;VAR:CURRSOURCE=EXSHARE&amp;","VAR:NATFREQ=QUARTERLY&amp;VAR:RFIELD=FINALIZED&amp;VAR:DB_TYPE=&amp;VAR:UNITS=M&amp;window=popup&amp;width=450&amp;height=300&amp;START_MAXIMIZED=FALSE"}</definedName>
    <definedName name="_995__FDSAUDITLINK__" hidden="1">{"fdsup://IBCentral/FAT Viewer?action=UPDATE&amp;creator=factset&amp;DOC_NAME=fat:reuters_qtrly_source_window.fat&amp;display_string=Audit&amp;DYN_ARGS=TRUE&amp;VAR:ID1=13342B10&amp;VAR:RCODE=ATCA&amp;VAR:SDATE=20081299&amp;VAR:FREQ=DAILY&amp;VAR:RELITEM=&amp;VAR:CURRENCY=&amp;VAR:CURRSOURCE=EXSHARE&amp;","VAR:NATFREQ=QUARTERLY&amp;VAR:RFIELD=FINALIZED&amp;VAR:DB_TYPE=&amp;VAR:UNITS=M&amp;window=popup&amp;width=450&amp;height=300&amp;START_MAXIMIZED=FALSE"}</definedName>
    <definedName name="_996__FDSAUDITLINK__" hidden="1">{"fdsup://IBCentral/FAT Viewer?action=UPDATE&amp;creator=factset&amp;DOC_NAME=fat:reuters_qtrly_source_window.fat&amp;display_string=Audit&amp;DYN_ARGS=TRUE&amp;VAR:ID1=13342B10&amp;VAR:RCODE=ATOT&amp;VAR:SDATE=20081299&amp;VAR:FREQ=DAILY&amp;VAR:RELITEM=&amp;VAR:CURRENCY=&amp;VAR:CURRSOURCE=EXSHARE&amp;","VAR:NATFREQ=QUARTERLY&amp;VAR:RFIELD=FINALIZED&amp;VAR:DB_TYPE=&amp;VAR:UNITS=M&amp;window=popup&amp;width=450&amp;height=300&amp;START_MAXIMIZED=FALSE"}</definedName>
    <definedName name="_997__FDSAUDITLINK__" hidden="1">{"fdsup://IBCentral/FAT Viewer?action=UPDATE&amp;creator=factset&amp;DOC_NAME=fat:reuters_qtrly_source_window.fat&amp;display_string=Audit&amp;DYN_ARGS=TRUE&amp;VAR:ID1=12705510&amp;VAR:RCODE=LTLL&amp;VAR:SDATE=20081299&amp;VAR:FREQ=DAILY&amp;VAR:RELITEM=&amp;VAR:CURRENCY=&amp;VAR:CURRSOURCE=EXSHARE&amp;","VAR:NATFREQ=QUARTERLY&amp;VAR:RFIELD=FINALIZED&amp;VAR:DB_TYPE=&amp;VAR:UNITS=M&amp;window=popup&amp;width=450&amp;height=300&amp;START_MAXIMIZED=FALSE"}</definedName>
    <definedName name="_998__FDSAUDITLINK__" hidden="1">{"fdsup://IBCentral/FAT Viewer?action=UPDATE&amp;creator=factset&amp;DOC_NAME=fat:reuters_qtrly_source_window.fat&amp;display_string=Audit&amp;DYN_ARGS=TRUE&amp;VAR:ID1=12705510&amp;VAR:RCODE=LTCL&amp;VAR:SDATE=20081299&amp;VAR:FREQ=DAILY&amp;VAR:RELITEM=&amp;VAR:CURRENCY=&amp;VAR:CURRSOURCE=EXSHARE&amp;","VAR:NATFREQ=QUARTERLY&amp;VAR:RFIELD=FINALIZED&amp;VAR:DB_TYPE=&amp;VAR:UNITS=M&amp;window=popup&amp;width=450&amp;height=300&amp;START_MAXIMIZED=FALSE"}</definedName>
    <definedName name="_999__FDSAUDITLINK__" hidden="1">{"fdsup://IBCentral/FAT Viewer?action=UPDATE&amp;creator=factset&amp;DOC_NAME=fat:reuters_qtrly_source_window.fat&amp;display_string=Audit&amp;DYN_ARGS=TRUE&amp;VAR:ID1=12705510&amp;VAR:RCODE=ATCA&amp;VAR:SDATE=20081299&amp;VAR:FREQ=DAILY&amp;VAR:RELITEM=&amp;VAR:CURRENCY=&amp;VAR:CURRSOURCE=EXSHARE&amp;","VAR:NATFREQ=QUARTERLY&amp;VAR:RFIELD=FINALIZED&amp;VAR:DB_TYPE=&amp;VAR:UNITS=M&amp;window=popup&amp;width=450&amp;height=300&amp;START_MAXIMIZED=FALSE"}</definedName>
    <definedName name="_9IQ_CURRENCY_GAIN_INS" hidden="1">"c238"</definedName>
    <definedName name="_Actual_Dmaname_00" hidden="1">[10]pcQueryData!$A$3</definedName>
    <definedName name="_Actual_Total_208_209_210_Act_v_Budget_00" hidden="1">[11]pcQueryData!$A$3</definedName>
    <definedName name="_bdm.AC0C77780ADA4035AB1D959CF682070D.edm" hidden="1">#REF!</definedName>
    <definedName name="_bdm.EB80731B27DD4E18AFA311A2B21438CE.edm" hidden="1">#REF!</definedName>
    <definedName name="_Bud210_Level7member_Name_00" hidden="1">[12]pcQueryData!$A$4</definedName>
    <definedName name="_DCF" hidden="1">{"fdsup://Directions/FactSet Auditing Viewer?action=AUDIT_VALUE&amp;DB=129&amp;ID1=13442910&amp;VALUEID=02999&amp;SDATE=201003&amp;PERIODTYPE=QTR_STD&amp;window=popup_no_bar&amp;width=385&amp;height=120&amp;START_MAXIMIZED=FALSE&amp;creator=factset&amp;display_string=Audit"}</definedName>
    <definedName name="_DCF_New" hidden="1">{"fdsup://Directions/FactSet Auditing Viewer?action=AUDIT_VALUE&amp;DB=129&amp;ID1=14428510&amp;VALUEID=02999&amp;SDATE=201003&amp;PERIODTYPE=QTR_STD&amp;window=popup_no_bar&amp;width=385&amp;height=120&amp;START_MAXIMIZED=FALSE&amp;creator=factset&amp;display_string=Audit"}</definedName>
    <definedName name="_Fill" hidden="1">'[13]JNI 3RD &amp; 4TH QTR'!#REF!</definedName>
    <definedName name="_Key1" hidden="1">[2]Original!#REF!</definedName>
    <definedName name="_Key2" hidden="1">'[14]1806'!#REF!</definedName>
    <definedName name="_mfg2" hidden="1">{"PAGE 1",#N/A,FALSE,"WEST_OT"}</definedName>
    <definedName name="_mfg3" hidden="1">{"PAGE 1",#N/A,FALSE,"WEST_OT"}</definedName>
    <definedName name="_mfg4" hidden="1">{"PAGE 1",#N/A,FALSE,"WEST_OT"}</definedName>
    <definedName name="_mfg5" hidden="1">{"PAGE 1",#N/A,FALSE,"WEST_OT"}</definedName>
    <definedName name="_MRG2" hidden="1">{"INCOME",#N/A,FALSE,"ProNet";"VALUE",#N/A,FALSE,"ProNet"}</definedName>
    <definedName name="_Order1" hidden="1">255</definedName>
    <definedName name="_Order2" hidden="1">255</definedName>
    <definedName name="_pcSlicerSheet_Slicer1" hidden="1">#REF!</definedName>
    <definedName name="_PRN2" hidden="1">{"adj95mult",#N/A,FALSE,"COMPCO";"adj95est",#N/A,FALSE,"COMPCO"}</definedName>
    <definedName name="_Regression_Int" hidden="1">1</definedName>
    <definedName name="_Sort" hidden="1">#REF!</definedName>
    <definedName name="_Table1_In1" hidden="1">#REF!</definedName>
    <definedName name="_Table1_Out" hidden="1">#REF!</definedName>
    <definedName name="_Table2_In1" hidden="1">#REF!</definedName>
    <definedName name="_Table2_In2" hidden="1">#REF!</definedName>
    <definedName name="_Table2_Out" hidden="1">#REF!</definedName>
    <definedName name="_Total_208_209_210_for_Mobile_Level6member_Name_00" hidden="1">[15]pcQueryData!$A$23</definedName>
    <definedName name="_Total_208_209_210_Level6member_Name_by_Fiscal_00" hidden="1">[16]pcQueryData!$A$9</definedName>
    <definedName name="_Total_208_209_210_Level7member_Name_00" hidden="1">[12]pcQueryData!$A$3</definedName>
    <definedName name="aaa" hidden="1">{"adj95mult",#N/A,FALSE,"COMPCO";"adj95est",#N/A,FALSE,"COMPCO"}</definedName>
    <definedName name="aaaa" hidden="1">{#N/A,#N/A,FALSE,"PL";"no values",#N/A,FALSE,"value";#N/A,#N/A,FALSE,"PL%";#N/A,#N/A,FALSE,"R";#N/A,#N/A,FALSE,"MD";#N/A,#N/A,FALSE,"OpEx";#N/A,#N/A,FALSE,"CapEx";#N/A,#N/A,FALSE,"Stats"}</definedName>
    <definedName name="aab" hidden="1">{"CSN M Detail",#N/A,FALSE,"Sch M Detail"}</definedName>
    <definedName name="ABC" hidden="1">{"CHART",#N/A,FALSE,"Arch Communications"}</definedName>
    <definedName name="abcd" hidden="1">#REF!</definedName>
    <definedName name="abcde" hidden="1">#REF!</definedName>
    <definedName name="ABCDEF" hidden="1">#REF!</definedName>
    <definedName name="adf" hidden="1">{"cap_structure",#N/A,FALSE,"Graph-Mkt Cap";"price",#N/A,FALSE,"Graph-Price";"ebit",#N/A,FALSE,"Graph-EBITDA";"ebitda",#N/A,FALSE,"Graph-EBITDA"}</definedName>
    <definedName name="adfdsaf" hidden="1">{"AQUIRORDCF",#N/A,FALSE,"Merger consequences";"Acquirorassns",#N/A,FALSE,"Merger consequences"}</definedName>
    <definedName name="adfg" hidden="1">{#N/A,#N/A,TRUE,"Monthly BCG";#N/A,#N/A,TRUE,"Monthly w|o Wireless";#N/A,#N/A,TRUE,"Monthly Wireless"}</definedName>
    <definedName name="adfqewr" hidden="1">{#N/A,#N/A,FALSE,"Aging Summary";#N/A,#N/A,FALSE,"Ratio Analysis";#N/A,#N/A,FALSE,"Test 120 Day Accts";#N/A,#N/A,FALSE,"Tickmarks"}</definedName>
    <definedName name="all" hidden="1">{#N/A,#N/A,FALSE,"Summary";#N/A,#N/A,FALSE,"1995";#N/A,#N/A,FALSE,"1996";#N/A,#N/A,FALSE,"1997";#N/A,#N/A,FALSE,"1998";#N/A,#N/A,FALSE,"1999";#N/A,#N/A,FALSE,"2000"}</definedName>
    <definedName name="anscount" hidden="1">1</definedName>
    <definedName name="as" hidden="1">{#N/A,#N/A,FALSE,"Qrt Fcst";#N/A,#N/A,FALSE,"Qrt Fcst vs Plan &amp; PY";#N/A,#N/A,FALSE,"FY Fcst vs Plan &amp; PY";#N/A,#N/A,FALSE,"EVA CAP";#N/A,#N/A,FALSE,"EVA NOPAT"}</definedName>
    <definedName name="AS2DocOpenMode" hidden="1">"AS2DocumentEdit"</definedName>
    <definedName name="AS2NamedRange" hidden="1">2</definedName>
    <definedName name="AS2ReportLS" hidden="1">1</definedName>
    <definedName name="AS2StaticLS" hidden="1">#REF!</definedName>
    <definedName name="AS2SyncStepLS" hidden="1">0</definedName>
    <definedName name="AS2T" hidden="1">#REF!</definedName>
    <definedName name="AS2TickmarkLS" hidden="1">#REF!</definedName>
    <definedName name="AS2VersionLS" hidden="1">300</definedName>
    <definedName name="asd" hidden="1">{#N/A,#N/A,TRUE,"4Q BCG";#N/A,#N/A,TRUE,"4Q w|o Wireless";#N/A,#N/A,TRUE,"4Q Wireless"}</definedName>
    <definedName name="asdf" hidden="1">{#N/A,#N/A,FALSE,"Qrt Fcst";#N/A,#N/A,FALSE,"Qrt Fcst vs Plan &amp; PY";#N/A,#N/A,FALSE,"FY Fcst vs Plan &amp; PY";#N/A,#N/A,FALSE,"EVA CAP";#N/A,#N/A,FALSE,"EVA NOPAT"}</definedName>
    <definedName name="asdfqewrzxcv" hidden="1">{"ReportTop",#N/A,FALSE,"report top"}</definedName>
    <definedName name="asf" hidden="1">{#N/A,#N/A,TRUE,"Monthly BCG";#N/A,#N/A,TRUE,"Qrt BCG";#N/A,#N/A,TRUE,"FY BCG";#N/A,#N/A,TRUE,"1Q BCG";#N/A,#N/A,TRUE,"2Q BCG";#N/A,#N/A,TRUE,"3Q BCG";#N/A,#N/A,TRUE,"4Q BCG"}</definedName>
    <definedName name="assets1"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aw" hidden="1">{"Admin.",#N/A,FALSE,"ccs";"Alloc.",#N/A,FALSE,"ccs";"BS Inactive",#N/A,FALSE,"ccs";"CU Eng.",#N/A,FALSE,"ccs";"CU Mfg.",#N/A,FALSE,"ccs";"CU Mfg.",#N/A,FALSE,"ccs";"CU Mktg.",#N/A,FALSE,"ccs";"CU PM",#N/A,FALSE,"ccs";"Eng.",#N/A,FALSE,"ccs";"FBR Admin",#N/A,FALSE,"ccs";"FBR China",#N/A,FALSE,"ccs";"FBR Eng.",#N/A,FALSE,"ccs";"FBR Mktg.",#N/A,FALSE,"ccs";"FBR PM",#N/A,FALSE,"ccs";"FRBMfg",#N/A,FALSE,"ccs";"Mfg.",#N/A,FALSE,"ccs";"Mktg.",#N/A,FALSE,"ccs";"Non Op.",#N/A,FALSE,"ccs";"Sales",#N/A,FALSE,"ccs";"WLS Admin.",#N/A,FALSE,"ccs";"WLS Eng.",#N/A,FALSE,"ccs";"WLS Mfg.",#N/A,FALSE,"ccs";"WLS Mktg.",#N/A,FALSE,"ccs";"WLS PM",#N/A,FALSE,"ccs"}</definedName>
    <definedName name="b" hidden="1">{"PAGE 1",#N/A,FALSE,"WEST_OT"}</definedName>
    <definedName name="basf" hidden="1">{"bs",#N/A,FALSE,"SCF"}</definedName>
    <definedName name="bbb" hidden="1">{"CSN M Detail",#N/A,FALSE,"Sch M Detail"}</definedName>
    <definedName name="BG_Del" hidden="1">15</definedName>
    <definedName name="BG_Ins" hidden="1">4</definedName>
    <definedName name="BG_Mod" hidden="1">6</definedName>
    <definedName name="bill" hidden="1">{"PAGE 1",#N/A,FALSE,"WEST_OT"}</definedName>
    <definedName name="bill1" hidden="1">{"PAGE 1",#N/A,FALSE,"WEST_OT"}</definedName>
    <definedName name="bill2" hidden="1">{"PAGE 1",#N/A,FALSE,"WEST_OT"}</definedName>
    <definedName name="bill3" hidden="1">{"PAGE 1",#N/A,FALSE,"WEST_OT"}</definedName>
    <definedName name="billrev2" hidden="1">{"PAGE 1",#N/A,FALSE,"WEST_OT"}</definedName>
    <definedName name="Blah" hidden="1">#REF!</definedName>
    <definedName name="BLPH1" hidden="1">#REF!</definedName>
    <definedName name="BLPH10" hidden="1">[17]Data!$C$10</definedName>
    <definedName name="BLPH100" hidden="1">[18]Input!$F$46</definedName>
    <definedName name="BLPH1000000001" hidden="1">#REF!</definedName>
    <definedName name="BLPH1000000002" hidden="1">#REF!</definedName>
    <definedName name="BLPH101" hidden="1">[18]Input!$F$47</definedName>
    <definedName name="BLPH102" hidden="1">[18]Input!$F$48</definedName>
    <definedName name="BLPH103" hidden="1">[18]Input!$F$49</definedName>
    <definedName name="BLPH104" hidden="1">[18]Input!$F$50</definedName>
    <definedName name="BLPH105" hidden="1">[18]Input!$F$51</definedName>
    <definedName name="BLPH106" hidden="1">[18]Input!$F$52</definedName>
    <definedName name="BLPH107" hidden="1">[18]Input!$F$53</definedName>
    <definedName name="BLPH108" hidden="1">[18]Input!$F$54</definedName>
    <definedName name="BLPH109" hidden="1">[18]Input!$F$55</definedName>
    <definedName name="BLPH11" hidden="1">[17]Data!$R$10</definedName>
    <definedName name="BLPH110" hidden="1">[18]Input!$F$56</definedName>
    <definedName name="BLPH111" hidden="1">[18]Input!$F$57</definedName>
    <definedName name="BLPH112" hidden="1">[18]Input!$F$58</definedName>
    <definedName name="BLPH113" hidden="1">[18]Input!$F$59</definedName>
    <definedName name="BLPH114" hidden="1">[18]Input!$F$60</definedName>
    <definedName name="BLPH115" hidden="1">[18]Input!$F$61</definedName>
    <definedName name="BLPH116" hidden="1">[18]Input!$F$62</definedName>
    <definedName name="BLPH117" hidden="1">[18]Input!$F$63</definedName>
    <definedName name="BLPH118" hidden="1">[18]Input!$G$8</definedName>
    <definedName name="BLPH119" hidden="1">[18]Input!$G$9</definedName>
    <definedName name="BLPH12" hidden="1">[17]Data!$S$10</definedName>
    <definedName name="BLPH120" hidden="1">[18]Input!$G$10</definedName>
    <definedName name="BLPH121" hidden="1">[18]Input!$G$11</definedName>
    <definedName name="BLPH122" hidden="1">[18]Input!$G$12</definedName>
    <definedName name="BLPH123" hidden="1">[18]Input!$G$13</definedName>
    <definedName name="BLPH124" hidden="1">[18]Input!$G$14</definedName>
    <definedName name="BLPH125" hidden="1">[18]Input!$G$15</definedName>
    <definedName name="BLPH126" hidden="1">[18]Input!$G$16</definedName>
    <definedName name="BLPH127" hidden="1">[18]Input!$G$17</definedName>
    <definedName name="BLPH128" hidden="1">[18]Input!$G$18</definedName>
    <definedName name="BLPH129" hidden="1">[18]Input!$G$19</definedName>
    <definedName name="BLPH13" hidden="1">[17]Data!$T$10</definedName>
    <definedName name="BLPH130" hidden="1">[18]Input!$G$20</definedName>
    <definedName name="BLPH131" hidden="1">[18]Input!$G$21</definedName>
    <definedName name="BLPH132" hidden="1">[18]Input!$G$22</definedName>
    <definedName name="BLPH133" hidden="1">[18]Input!$G$23</definedName>
    <definedName name="BLPH134" hidden="1">[18]Input!$G$24</definedName>
    <definedName name="BLPH135" hidden="1">[18]Input!$G$25</definedName>
    <definedName name="BLPH136" hidden="1">[18]Input!$G$26</definedName>
    <definedName name="BLPH137" hidden="1">[18]Input!$G$27</definedName>
    <definedName name="BLPH138" hidden="1">[18]Input!$G$28</definedName>
    <definedName name="BLPH139" hidden="1">[18]Input!$G$29</definedName>
    <definedName name="BLPH14" hidden="1">[17]Data!$V$12</definedName>
    <definedName name="BLPH140" hidden="1">[18]Input!$G$30</definedName>
    <definedName name="BLPH141" hidden="1">[18]Input!$G$31</definedName>
    <definedName name="BLPH142" hidden="1">[18]Input!$G$32</definedName>
    <definedName name="BLPH143" hidden="1">[18]Input!$G$33</definedName>
    <definedName name="BLPH144" hidden="1">[18]Input!$G$34</definedName>
    <definedName name="BLPH145" hidden="1">[18]Input!$G$35</definedName>
    <definedName name="BLPH146" hidden="1">[18]Input!$G$36</definedName>
    <definedName name="BLPH147" hidden="1">[18]Input!$G$37</definedName>
    <definedName name="BLPH148" hidden="1">[18]Input!$G$38</definedName>
    <definedName name="BLPH149" hidden="1">[18]Input!$G$39</definedName>
    <definedName name="BLPH15" hidden="1">[17]Data!$V$10</definedName>
    <definedName name="BLPH150" hidden="1">[18]Input!$G$40</definedName>
    <definedName name="BLPH151" hidden="1">[18]Input!$G$41</definedName>
    <definedName name="BLPH152" hidden="1">[18]Input!$G$42</definedName>
    <definedName name="BLPH153" hidden="1">[18]Input!$G$43</definedName>
    <definedName name="BLPH154" hidden="1">[18]Input!$G$44</definedName>
    <definedName name="BLPH155" hidden="1">[18]Input!$G$45</definedName>
    <definedName name="BLPH156" hidden="1">[18]Input!$G$46</definedName>
    <definedName name="BLPH157" hidden="1">[18]Input!$G$47</definedName>
    <definedName name="BLPH158" hidden="1">[18]Input!$G$48</definedName>
    <definedName name="BLPH159" hidden="1">[18]Input!$G$49</definedName>
    <definedName name="BLPH16" hidden="1">[17]Data!$W$10</definedName>
    <definedName name="BLPH160" hidden="1">[18]Input!$G$50</definedName>
    <definedName name="BLPH161" hidden="1">[18]Input!$G$51</definedName>
    <definedName name="BLPH162" hidden="1">[18]Input!$G$52</definedName>
    <definedName name="BLPH163" hidden="1">[18]Input!$G$53</definedName>
    <definedName name="BLPH164" hidden="1">[18]Input!$G$54</definedName>
    <definedName name="BLPH165" hidden="1">[18]Input!$G$55</definedName>
    <definedName name="BLPH166" hidden="1">[18]Input!$G$56</definedName>
    <definedName name="BLPH167" hidden="1">[18]Input!$G$57</definedName>
    <definedName name="BLPH168" hidden="1">[18]Input!$G$58</definedName>
    <definedName name="BLPH169" hidden="1">[18]Input!$G$59</definedName>
    <definedName name="blph17" hidden="1">[19]Data!$W$10</definedName>
    <definedName name="BLPH170" hidden="1">[18]Input!$G$60</definedName>
    <definedName name="BLPH171" hidden="1">[18]Input!$G$61</definedName>
    <definedName name="BLPH172" hidden="1">[18]Input!$G$62</definedName>
    <definedName name="BLPH173" hidden="1">[18]Input!$G$63</definedName>
    <definedName name="BLPH174" hidden="1">[18]Input!$H$8</definedName>
    <definedName name="BLPH175" hidden="1">[18]Input!$H$9</definedName>
    <definedName name="BLPH176" hidden="1">[18]Input!$H$10</definedName>
    <definedName name="BLPH177" hidden="1">[18]Input!$H$11</definedName>
    <definedName name="BLPH178" hidden="1">[18]Input!$H$12</definedName>
    <definedName name="BLPH179" hidden="1">[18]Input!$H$13</definedName>
    <definedName name="BLPH18" hidden="1">[18]Input!$E$20</definedName>
    <definedName name="BLPH180" hidden="1">[18]Input!$H$14</definedName>
    <definedName name="BLPH181" hidden="1">[18]Input!$H$15</definedName>
    <definedName name="BLPH182" hidden="1">[18]Input!$H$16</definedName>
    <definedName name="BLPH183" hidden="1">[18]Input!$H$17</definedName>
    <definedName name="BLPH184" hidden="1">[18]Input!$H$18</definedName>
    <definedName name="BLPH185" hidden="1">[18]Input!$H$19</definedName>
    <definedName name="BLPH186" hidden="1">[18]Input!$H$20</definedName>
    <definedName name="BLPH187" hidden="1">[18]Input!$H$21</definedName>
    <definedName name="BLPH188" hidden="1">[18]Input!$H$22</definedName>
    <definedName name="BLPH189" hidden="1">[18]Input!$H$23</definedName>
    <definedName name="BLPH19" hidden="1">[18]Input!$E$21</definedName>
    <definedName name="BLPH190" hidden="1">[18]Input!$H$24</definedName>
    <definedName name="BLPH191" hidden="1">[18]Input!$H$25</definedName>
    <definedName name="BLPH192" hidden="1">[18]Input!$H$26</definedName>
    <definedName name="BLPH193" hidden="1">[18]Input!$H$27</definedName>
    <definedName name="BLPH194" hidden="1">[18]Input!$H$28</definedName>
    <definedName name="BLPH195" hidden="1">[18]Input!$H$29</definedName>
    <definedName name="BLPH196" hidden="1">[18]Input!$H$30</definedName>
    <definedName name="BLPH197" hidden="1">[18]Input!$H$31</definedName>
    <definedName name="BLPH198" hidden="1">[18]Input!$H$32</definedName>
    <definedName name="BLPH199" hidden="1">[18]Input!$H$33</definedName>
    <definedName name="BLPH2" hidden="1">#REF!</definedName>
    <definedName name="BLPH20" hidden="1">[18]Input!$E$22</definedName>
    <definedName name="BLPH200" hidden="1">[18]Input!$H$34</definedName>
    <definedName name="BLPH2000000001" hidden="1">#REF!</definedName>
    <definedName name="BLPH2000000002" hidden="1">#REF!</definedName>
    <definedName name="BLPH2000000003" hidden="1">#REF!</definedName>
    <definedName name="BLPH2000000004" hidden="1">#REF!</definedName>
    <definedName name="BLPH2000000005" hidden="1">#REF!</definedName>
    <definedName name="BLPH2000000006" hidden="1">#REF!</definedName>
    <definedName name="BLPH2000000007" hidden="1">#REF!</definedName>
    <definedName name="BLPH2000000008" hidden="1">#REF!</definedName>
    <definedName name="BLPH2000000009" hidden="1">#REF!</definedName>
    <definedName name="BLPH2000000010" hidden="1">#REF!</definedName>
    <definedName name="BLPH2000000011" hidden="1">#REF!</definedName>
    <definedName name="BLPH2000000012" hidden="1">#REF!</definedName>
    <definedName name="BLPH2000000013" hidden="1">#REF!</definedName>
    <definedName name="BLPH2000000014" hidden="1">#REF!</definedName>
    <definedName name="BLPH2000000015" hidden="1">#REF!</definedName>
    <definedName name="BLPH2000000016" hidden="1">#REF!</definedName>
    <definedName name="BLPH2000000017" hidden="1">#REF!</definedName>
    <definedName name="BLPH2000000018" hidden="1">#REF!</definedName>
    <definedName name="BLPH2000000019" hidden="1">#REF!</definedName>
    <definedName name="BLPH2000000020" hidden="1">#REF!</definedName>
    <definedName name="BLPH201" hidden="1">[18]Input!$H$35</definedName>
    <definedName name="BLPH202" hidden="1">[18]Input!$H$36</definedName>
    <definedName name="BLPH203" hidden="1">[18]Input!$H$37</definedName>
    <definedName name="BLPH204" hidden="1">[18]Input!$H$38</definedName>
    <definedName name="BLPH205" hidden="1">[18]Input!$H$39</definedName>
    <definedName name="BLPH206" hidden="1">[18]Input!$H$40</definedName>
    <definedName name="BLPH207" hidden="1">[18]Input!$H$41</definedName>
    <definedName name="BLPH208" hidden="1">[18]Input!$H$42</definedName>
    <definedName name="BLPH209" hidden="1">[18]Input!$H$43</definedName>
    <definedName name="BLPH21" hidden="1">[17]Data!$Y$29</definedName>
    <definedName name="BLPH210" hidden="1">[18]Input!$H$44</definedName>
    <definedName name="BLPH211" hidden="1">[18]Input!$H$45</definedName>
    <definedName name="BLPH212" hidden="1">[18]Input!$H$46</definedName>
    <definedName name="BLPH213" hidden="1">[18]Input!$H$47</definedName>
    <definedName name="BLPH214" hidden="1">[18]Input!$H$48</definedName>
    <definedName name="BLPH215" hidden="1">[18]Input!$H$49</definedName>
    <definedName name="BLPH216" hidden="1">[18]Input!$H$50</definedName>
    <definedName name="BLPH217" hidden="1">[18]Input!$H$51</definedName>
    <definedName name="BLPH218" hidden="1">[18]Input!$H$52</definedName>
    <definedName name="BLPH219" hidden="1">[18]Input!$H$53</definedName>
    <definedName name="BLPH22" hidden="1">[17]Data!$AB$29</definedName>
    <definedName name="BLPH220" hidden="1">[18]Input!$H$54</definedName>
    <definedName name="BLPH221" hidden="1">[18]Input!$H$55</definedName>
    <definedName name="BLPH222" hidden="1">[18]Input!$H$56</definedName>
    <definedName name="BLPH223" hidden="1">[18]Input!$H$57</definedName>
    <definedName name="BLPH224" hidden="1">[18]Input!$H$58</definedName>
    <definedName name="BLPH225" hidden="1">[18]Input!$H$59</definedName>
    <definedName name="BLPH226" hidden="1">[18]Input!$H$60</definedName>
    <definedName name="BLPH227" hidden="1">[18]Input!$H$61</definedName>
    <definedName name="BLPH228" hidden="1">[18]Input!$H$62</definedName>
    <definedName name="BLPH229" hidden="1">[18]Input!$H$63</definedName>
    <definedName name="BLPH23" hidden="1">[17]Data!$AF$29</definedName>
    <definedName name="BLPH230" hidden="1">[18]Input!$I$8</definedName>
    <definedName name="BLPH231" hidden="1">[18]Input!$I$9</definedName>
    <definedName name="BLPH232" hidden="1">[18]Input!$I$10</definedName>
    <definedName name="BLPH233" hidden="1">[18]Input!$I$11</definedName>
    <definedName name="BLPH234" hidden="1">[18]Input!$I$12</definedName>
    <definedName name="BLPH235" hidden="1">[18]Input!$I$13</definedName>
    <definedName name="BLPH236" hidden="1">[18]Input!$I$14</definedName>
    <definedName name="BLPH237" hidden="1">[18]Input!$I$15</definedName>
    <definedName name="BLPH238" hidden="1">[18]Input!$I$16</definedName>
    <definedName name="BLPH239" hidden="1">[18]Input!$I$17</definedName>
    <definedName name="BLPH24" hidden="1">[17]Data!$AI$29</definedName>
    <definedName name="BLPH240" hidden="1">[18]Input!$I$18</definedName>
    <definedName name="BLPH241" hidden="1">[18]Input!$I$19</definedName>
    <definedName name="BLPH242" hidden="1">[18]Input!$I$20</definedName>
    <definedName name="BLPH243" hidden="1">[18]Input!$I$21</definedName>
    <definedName name="BLPH244" hidden="1">[18]Input!$I$22</definedName>
    <definedName name="BLPH245" hidden="1">[18]Input!$I$23</definedName>
    <definedName name="BLPH246" hidden="1">[18]Input!$I$24</definedName>
    <definedName name="BLPH247" hidden="1">[18]Input!$I$25</definedName>
    <definedName name="BLPH248" hidden="1">[18]Input!$I$26</definedName>
    <definedName name="BLPH249" hidden="1">[18]Input!$I$27</definedName>
    <definedName name="BLPH25" hidden="1">[17]Data!$AL$29</definedName>
    <definedName name="BLPH250" hidden="1">[18]Input!$I$28</definedName>
    <definedName name="BLPH251" hidden="1">[18]Input!$I$29</definedName>
    <definedName name="BLPH252" hidden="1">[18]Input!$I$30</definedName>
    <definedName name="BLPH253" hidden="1">[18]Input!$I$31</definedName>
    <definedName name="BLPH254" hidden="1">[18]Input!$I$32</definedName>
    <definedName name="BLPH255" hidden="1">[18]Input!$I$33</definedName>
    <definedName name="BLPH256" hidden="1">[18]Input!$I$34</definedName>
    <definedName name="BLPH257" hidden="1">[18]Input!$I$35</definedName>
    <definedName name="BLPH258" hidden="1">[18]Input!$I$36</definedName>
    <definedName name="BLPH259" hidden="1">[18]Input!$I$37</definedName>
    <definedName name="BLPH26" hidden="1">[17]Data!$AO$29</definedName>
    <definedName name="BLPH260" hidden="1">[18]Input!$I$38</definedName>
    <definedName name="BLPH261" hidden="1">[18]Input!$I$39</definedName>
    <definedName name="BLPH262" hidden="1">[18]Input!$I$40</definedName>
    <definedName name="BLPH263" hidden="1">[18]Input!$I$41</definedName>
    <definedName name="BLPH264" hidden="1">[18]Input!$I$42</definedName>
    <definedName name="BLPH265" hidden="1">[18]Input!$I$43</definedName>
    <definedName name="BLPH266" hidden="1">[18]Input!$I$44</definedName>
    <definedName name="BLPH267" hidden="1">[18]Input!$I$45</definedName>
    <definedName name="BLPH268" hidden="1">[18]Input!$I$46</definedName>
    <definedName name="BLPH269" hidden="1">[18]Input!$I$47</definedName>
    <definedName name="BLPH27" hidden="1">[17]Data!$J$10</definedName>
    <definedName name="BLPH270" hidden="1">[18]Input!$I$48</definedName>
    <definedName name="BLPH271" hidden="1">[18]Input!$I$49</definedName>
    <definedName name="BLPH272" hidden="1">[18]Input!$I$50</definedName>
    <definedName name="BLPH273" hidden="1">[18]Input!$I$51</definedName>
    <definedName name="BLPH274" hidden="1">[18]Input!$I$52</definedName>
    <definedName name="BLPH275" hidden="1">[18]Input!$I$53</definedName>
    <definedName name="BLPH276" hidden="1">[18]Input!$I$54</definedName>
    <definedName name="BLPH277" hidden="1">[18]Input!$I$55</definedName>
    <definedName name="BLPH278" hidden="1">[18]Input!$I$56</definedName>
    <definedName name="BLPH279" hidden="1">[18]Input!$I$57</definedName>
    <definedName name="BLPH28" hidden="1">[17]Data!$K$10</definedName>
    <definedName name="BLPH280" hidden="1">[18]Input!$I$58</definedName>
    <definedName name="BLPH281" hidden="1">[18]Input!$I$59</definedName>
    <definedName name="BLPH282" hidden="1">[18]Input!$I$60</definedName>
    <definedName name="BLPH283" hidden="1">[18]Input!$I$61</definedName>
    <definedName name="BLPH284" hidden="1">[18]Input!$I$62</definedName>
    <definedName name="BLPH285" hidden="1">[18]Input!$I$63</definedName>
    <definedName name="BLPH286" hidden="1">[18]Input!$E$64</definedName>
    <definedName name="BLPH287" hidden="1">[18]Input!$E$65</definedName>
    <definedName name="BLPH288" hidden="1">[18]Input!$E$66</definedName>
    <definedName name="BLPH289" hidden="1">[18]Input!$E$67</definedName>
    <definedName name="BLPH29" hidden="1">[17]Data!$L$10</definedName>
    <definedName name="BLPH290" hidden="1">[18]Input!$E$68</definedName>
    <definedName name="BLPH291" hidden="1">[18]Input!$E$69</definedName>
    <definedName name="BLPH292" hidden="1">[18]Input!$E$70</definedName>
    <definedName name="BLPH293" hidden="1">[18]Input!$E$71</definedName>
    <definedName name="BLPH294" hidden="1">[18]Input!$E$72</definedName>
    <definedName name="BLPH295" hidden="1">[18]Input!$E$73</definedName>
    <definedName name="BLPH296" hidden="1">[18]Input!$E$74</definedName>
    <definedName name="BLPH297" hidden="1">[18]Input!$E$75</definedName>
    <definedName name="BLPH298" hidden="1">[18]Input!$E$76</definedName>
    <definedName name="BLPH299" hidden="1">[18]Input!$E$77</definedName>
    <definedName name="BLPH3" hidden="1">#REF!</definedName>
    <definedName name="BLPH30" hidden="1">[17]Data!$M$10</definedName>
    <definedName name="BLPH300" hidden="1">[18]Input!$E$78</definedName>
    <definedName name="BLPH301" hidden="1">[18]Input!$E$79</definedName>
    <definedName name="BLPH302" hidden="1">[18]Input!$E$80</definedName>
    <definedName name="BLPH303" hidden="1">[18]Input!$E$81</definedName>
    <definedName name="BLPH304" hidden="1">[18]Input!$E$82</definedName>
    <definedName name="BLPH305" hidden="1">[18]Input!$E$83</definedName>
    <definedName name="BLPH306" hidden="1">[18]Input!$E$84</definedName>
    <definedName name="BLPH307" hidden="1">[18]Input!$E$85</definedName>
    <definedName name="BLPH308" hidden="1">[18]Input!$E$86</definedName>
    <definedName name="BLPH309" hidden="1">[18]Input!$E$87</definedName>
    <definedName name="BLPH31" hidden="1">[17]Data!$Y$12</definedName>
    <definedName name="BLPH310" hidden="1">[18]Input!$E$88</definedName>
    <definedName name="BLPH311" hidden="1">[18]Input!$E$89</definedName>
    <definedName name="BLPH312" hidden="1">[18]Input!$E$90</definedName>
    <definedName name="BLPH313" hidden="1">[18]Input!$E$91</definedName>
    <definedName name="BLPH314" hidden="1">[18]Input!$E$92</definedName>
    <definedName name="BLPH315" hidden="1">[18]Input!$E$93</definedName>
    <definedName name="BLPH316" hidden="1">[18]Input!$E$94</definedName>
    <definedName name="BLPH317" hidden="1">[18]Input!$E$95</definedName>
    <definedName name="BLPH318" hidden="1">[18]Input!$E$96</definedName>
    <definedName name="BLPH319" hidden="1">[18]Input!$E$97</definedName>
    <definedName name="BLPH32" hidden="1">[17]Data!$AB$12</definedName>
    <definedName name="BLPH320" hidden="1">[18]Input!$E$98</definedName>
    <definedName name="BLPH321" hidden="1">[18]Input!$E$99</definedName>
    <definedName name="BLPH322" hidden="1">[18]Input!$E$100</definedName>
    <definedName name="BLPH323" hidden="1">[18]Input!$E$101</definedName>
    <definedName name="BLPH324" hidden="1">[18]Input!$E$102</definedName>
    <definedName name="BLPH325" hidden="1">[18]Input!$E$103</definedName>
    <definedName name="BLPH326" hidden="1">[18]Input!$E$104</definedName>
    <definedName name="BLPH327" hidden="1">[18]Input!$E$105</definedName>
    <definedName name="BLPH328" hidden="1">[18]Input!$E$106</definedName>
    <definedName name="BLPH329" hidden="1">[18]Input!$E$107</definedName>
    <definedName name="BLPH33" hidden="1">[17]Data!$AF$12</definedName>
    <definedName name="BLPH330" hidden="1">[18]Input!$E$108</definedName>
    <definedName name="BLPH331" hidden="1">[18]Input!$E$109</definedName>
    <definedName name="BLPH332" hidden="1">[18]Input!$F$64</definedName>
    <definedName name="BLPH333" hidden="1">[18]Input!$F$65</definedName>
    <definedName name="BLPH334" hidden="1">[18]Input!$F$66</definedName>
    <definedName name="BLPH335" hidden="1">[18]Input!$F$67</definedName>
    <definedName name="BLPH336" hidden="1">[18]Input!$F$68</definedName>
    <definedName name="BLPH337" hidden="1">[18]Input!$F$69</definedName>
    <definedName name="BLPH338" hidden="1">[18]Input!$F$70</definedName>
    <definedName name="BLPH339" hidden="1">[18]Input!$F$71</definedName>
    <definedName name="BLPH34" hidden="1">[17]Data!$AI$12</definedName>
    <definedName name="BLPH340" hidden="1">[18]Input!$F$72</definedName>
    <definedName name="BLPH341" hidden="1">[18]Input!$F$73</definedName>
    <definedName name="BLPH342" hidden="1">[18]Input!$F$74</definedName>
    <definedName name="BLPH343" hidden="1">[18]Input!$F$75</definedName>
    <definedName name="BLPH344" hidden="1">[18]Input!$F$76</definedName>
    <definedName name="BLPH345" hidden="1">[18]Input!$F$77</definedName>
    <definedName name="BLPH346" hidden="1">[18]Input!$F$78</definedName>
    <definedName name="BLPH347" hidden="1">[18]Input!$F$79</definedName>
    <definedName name="BLPH348" hidden="1">[18]Input!$F$80</definedName>
    <definedName name="BLPH349" hidden="1">[18]Input!$F$81</definedName>
    <definedName name="BLPH35" hidden="1">[17]Data!$AL$12</definedName>
    <definedName name="BLPH350" hidden="1">[18]Input!$F$82</definedName>
    <definedName name="BLPH351" hidden="1">[18]Input!$F$83</definedName>
    <definedName name="BLPH352" hidden="1">[18]Input!$F$84</definedName>
    <definedName name="BLPH353" hidden="1">[18]Input!$F$85</definedName>
    <definedName name="BLPH354" hidden="1">[18]Input!$F$86</definedName>
    <definedName name="BLPH355" hidden="1">[18]Input!$F$87</definedName>
    <definedName name="BLPH356" hidden="1">[18]Input!$F$88</definedName>
    <definedName name="BLPH357" hidden="1">[18]Input!$F$89</definedName>
    <definedName name="BLPH358" hidden="1">[18]Input!$F$90</definedName>
    <definedName name="BLPH359" hidden="1">[18]Input!$F$91</definedName>
    <definedName name="BLPH36" hidden="1">[17]Data!$Z$10</definedName>
    <definedName name="BLPH360" hidden="1">[18]Input!$F$92</definedName>
    <definedName name="BLPH361" hidden="1">[18]Input!$F$93</definedName>
    <definedName name="BLPH362" hidden="1">[18]Input!$F$94</definedName>
    <definedName name="BLPH363" hidden="1">[18]Input!$F$95</definedName>
    <definedName name="BLPH364" hidden="1">[18]Input!$F$96</definedName>
    <definedName name="BLPH365" hidden="1">[18]Input!$F$97</definedName>
    <definedName name="BLPH366" hidden="1">[18]Input!$F$98</definedName>
    <definedName name="BLPH367" hidden="1">[18]Input!$F$99</definedName>
    <definedName name="BLPH368" hidden="1">[18]Input!$F$100</definedName>
    <definedName name="BLPH369" hidden="1">[18]Input!$F$101</definedName>
    <definedName name="BLPH37" hidden="1">[17]Data!$O$10</definedName>
    <definedName name="BLPH370" hidden="1">[18]Input!$F$102</definedName>
    <definedName name="BLPH371" hidden="1">[18]Input!$F$103</definedName>
    <definedName name="BLPH372" hidden="1">[18]Input!$F$104</definedName>
    <definedName name="BLPH373" hidden="1">[18]Input!$F$105</definedName>
    <definedName name="BLPH374" hidden="1">[18]Input!$F$106</definedName>
    <definedName name="BLPH375" hidden="1">[18]Input!$F$107</definedName>
    <definedName name="BLPH376" hidden="1">[18]Input!$F$108</definedName>
    <definedName name="BLPH377" hidden="1">[18]Input!$F$109</definedName>
    <definedName name="BLPH378" hidden="1">[18]Input!$G$64</definedName>
    <definedName name="BLPH379" hidden="1">[18]Input!$G$65</definedName>
    <definedName name="BLPH38" hidden="1">[17]Data!$P$10</definedName>
    <definedName name="BLPH380" hidden="1">[18]Input!$G$66</definedName>
    <definedName name="BLPH381" hidden="1">[18]Input!$G$67</definedName>
    <definedName name="BLPH382" hidden="1">[18]Input!$G$68</definedName>
    <definedName name="BLPH383" hidden="1">[18]Input!$G$69</definedName>
    <definedName name="BLPH384" hidden="1">[18]Input!$G$70</definedName>
    <definedName name="BLPH385" hidden="1">[18]Input!$G$71</definedName>
    <definedName name="BLPH386" hidden="1">[18]Input!$G$72</definedName>
    <definedName name="BLPH387" hidden="1">[18]Input!$G$73</definedName>
    <definedName name="BLPH388" hidden="1">[18]Input!$G$74</definedName>
    <definedName name="BLPH389" hidden="1">[18]Input!$G$75</definedName>
    <definedName name="BLPH39" hidden="1">[17]Data!$R$77</definedName>
    <definedName name="BLPH390" hidden="1">[18]Input!$G$76</definedName>
    <definedName name="BLPH391" hidden="1">[18]Input!$G$77</definedName>
    <definedName name="BLPH392" hidden="1">[18]Input!$G$78</definedName>
    <definedName name="BLPH393" hidden="1">[18]Input!$G$79</definedName>
    <definedName name="BLPH394" hidden="1">[18]Input!$G$80</definedName>
    <definedName name="BLPH395" hidden="1">[18]Input!$G$81</definedName>
    <definedName name="BLPH396" hidden="1">[18]Input!$G$82</definedName>
    <definedName name="BLPH397" hidden="1">[18]Input!$G$83</definedName>
    <definedName name="BLPH398" hidden="1">[18]Input!$G$84</definedName>
    <definedName name="BLPH399" hidden="1">[18]Input!$G$85</definedName>
    <definedName name="BLPH4" hidden="1">#REF!</definedName>
    <definedName name="BLPH40" hidden="1">[17]Data!$R$71</definedName>
    <definedName name="BLPH400" hidden="1">[18]Input!$G$86</definedName>
    <definedName name="BLPH401" hidden="1">[18]Input!$G$87</definedName>
    <definedName name="BLPH402" hidden="1">[18]Input!$G$88</definedName>
    <definedName name="BLPH403" hidden="1">[18]Input!$G$89</definedName>
    <definedName name="BLPH404" hidden="1">[18]Input!$G$90</definedName>
    <definedName name="BLPH405" hidden="1">[18]Input!$G$91</definedName>
    <definedName name="BLPH406" hidden="1">[18]Input!$G$92</definedName>
    <definedName name="BLPH407" hidden="1">[18]Input!$G$93</definedName>
    <definedName name="BLPH408" hidden="1">[18]Input!$G$94</definedName>
    <definedName name="BLPH409" hidden="1">[18]Input!$G$95</definedName>
    <definedName name="BLPH41" hidden="1">[17]Data!$S$71</definedName>
    <definedName name="BLPH410" hidden="1">[18]Input!$G$96</definedName>
    <definedName name="BLPH411" hidden="1">[18]Input!$G$97</definedName>
    <definedName name="BLPH412" hidden="1">[18]Input!$G$98</definedName>
    <definedName name="BLPH413" hidden="1">[18]Input!$G$99</definedName>
    <definedName name="BLPH414" hidden="1">[18]Input!$G$100</definedName>
    <definedName name="BLPH415" hidden="1">[18]Input!$G$101</definedName>
    <definedName name="BLPH416" hidden="1">[18]Input!$G$102</definedName>
    <definedName name="BLPH417" hidden="1">[18]Input!$G$103</definedName>
    <definedName name="BLPH418" hidden="1">[18]Input!$G$104</definedName>
    <definedName name="BLPH419" hidden="1">[18]Input!$G$105</definedName>
    <definedName name="BLPH42" hidden="1">[17]Data!$T$71</definedName>
    <definedName name="BLPH420" hidden="1">[18]Input!$G$106</definedName>
    <definedName name="BLPH421" hidden="1">[18]Input!$G$107</definedName>
    <definedName name="BLPH422" hidden="1">[18]Input!$G$108</definedName>
    <definedName name="BLPH423" hidden="1">[18]Input!$G$109</definedName>
    <definedName name="BLPH424" hidden="1">[18]Input!$H$64</definedName>
    <definedName name="BLPH425" hidden="1">[18]Input!$H$65</definedName>
    <definedName name="BLPH426" hidden="1">[18]Input!$H$66</definedName>
    <definedName name="BLPH427" hidden="1">[18]Input!$H$67</definedName>
    <definedName name="BLPH428" hidden="1">[18]Input!$H$68</definedName>
    <definedName name="BLPH429" hidden="1">[18]Input!$H$69</definedName>
    <definedName name="BLPH43" hidden="1">[17]Data!$R$73</definedName>
    <definedName name="BLPH430" hidden="1">[18]Input!$H$70</definedName>
    <definedName name="BLPH431" hidden="1">[18]Input!$H$71</definedName>
    <definedName name="BLPH432" hidden="1">[18]Input!$H$72</definedName>
    <definedName name="BLPH433" hidden="1">[18]Input!$H$73</definedName>
    <definedName name="BLPH434" hidden="1">[18]Input!$H$74</definedName>
    <definedName name="BLPH435" hidden="1">[18]Input!$H$75</definedName>
    <definedName name="BLPH436" hidden="1">[18]Input!$H$76</definedName>
    <definedName name="BLPH437" hidden="1">[18]Input!$H$77</definedName>
    <definedName name="BLPH438" hidden="1">[18]Input!$H$78</definedName>
    <definedName name="BLPH439" hidden="1">[18]Input!$H$79</definedName>
    <definedName name="BLPH44" hidden="1">[17]Data!$S$73</definedName>
    <definedName name="BLPH440" hidden="1">[18]Input!$H$80</definedName>
    <definedName name="BLPH441" hidden="1">[18]Input!$H$81</definedName>
    <definedName name="BLPH442" hidden="1">[18]Input!$H$82</definedName>
    <definedName name="BLPH443" hidden="1">[18]Input!$H$83</definedName>
    <definedName name="BLPH444" hidden="1">[18]Input!$H$84</definedName>
    <definedName name="BLPH445" hidden="1">[18]Input!$H$85</definedName>
    <definedName name="BLPH446" hidden="1">[18]Input!$H$86</definedName>
    <definedName name="BLPH447" hidden="1">[18]Input!$H$87</definedName>
    <definedName name="BLPH448" hidden="1">[18]Input!$H$88</definedName>
    <definedName name="BLPH449" hidden="1">[18]Input!$H$89</definedName>
    <definedName name="BLPH45" hidden="1">[17]Data!$T$73</definedName>
    <definedName name="BLPH450" hidden="1">[18]Input!$H$90</definedName>
    <definedName name="BLPH451" hidden="1">[18]Input!$H$91</definedName>
    <definedName name="BLPH452" hidden="1">[18]Input!$H$92</definedName>
    <definedName name="BLPH453" hidden="1">[18]Input!$H$93</definedName>
    <definedName name="BLPH454" hidden="1">[18]Input!$H$94</definedName>
    <definedName name="BLPH455" hidden="1">[18]Input!$H$95</definedName>
    <definedName name="BLPH456" hidden="1">[18]Input!$H$96</definedName>
    <definedName name="BLPH457" hidden="1">[18]Input!$H$97</definedName>
    <definedName name="BLPH458" hidden="1">[18]Input!$H$98</definedName>
    <definedName name="BLPH459" hidden="1">[18]Input!$H$99</definedName>
    <definedName name="BLPH46" hidden="1">[17]Data!$V$73</definedName>
    <definedName name="BLPH460" hidden="1">[18]Input!$H$100</definedName>
    <definedName name="BLPH461" hidden="1">[18]Input!$H$101</definedName>
    <definedName name="BLPH462" hidden="1">[18]Input!$H$102</definedName>
    <definedName name="BLPH463" hidden="1">[18]Input!$H$103</definedName>
    <definedName name="BLPH464" hidden="1">[18]Input!$H$104</definedName>
    <definedName name="BLPH465" hidden="1">[18]Input!$H$105</definedName>
    <definedName name="BLPH466" hidden="1">[18]Input!$H$106</definedName>
    <definedName name="BLPH467" hidden="1">[18]Input!$H$107</definedName>
    <definedName name="BLPH468" hidden="1">[18]Input!$H$108</definedName>
    <definedName name="BLPH469" hidden="1">[18]Input!$H$109</definedName>
    <definedName name="BLPH47" hidden="1">[17]Data!$W$73</definedName>
    <definedName name="BLPH470" hidden="1">[18]Input!$I$64</definedName>
    <definedName name="BLPH471" hidden="1">[18]Input!$I$65</definedName>
    <definedName name="BLPH472" hidden="1">[18]Input!$I$66</definedName>
    <definedName name="BLPH473" hidden="1">[18]Input!$I$67</definedName>
    <definedName name="BLPH474" hidden="1">[18]Input!$I$68</definedName>
    <definedName name="BLPH475" hidden="1">[18]Input!$I$69</definedName>
    <definedName name="BLPH476" hidden="1">[18]Input!$I$70</definedName>
    <definedName name="BLPH477" hidden="1">[18]Input!$I$71</definedName>
    <definedName name="BLPH478" hidden="1">[18]Input!$I$72</definedName>
    <definedName name="BLPH479" hidden="1">[18]Input!$I$73</definedName>
    <definedName name="BLPH48" hidden="1">[17]Data!$R$72</definedName>
    <definedName name="BLPH480" hidden="1">[18]Input!$I$74</definedName>
    <definedName name="BLPH481" hidden="1">[18]Input!$I$75</definedName>
    <definedName name="BLPH482" hidden="1">[18]Input!$I$76</definedName>
    <definedName name="BLPH483" hidden="1">[18]Input!$I$77</definedName>
    <definedName name="BLPH484" hidden="1">[18]Input!$I$78</definedName>
    <definedName name="BLPH485" hidden="1">[18]Input!$I$79</definedName>
    <definedName name="BLPH486" hidden="1">[18]Input!$I$80</definedName>
    <definedName name="BLPH487" hidden="1">[18]Input!$I$81</definedName>
    <definedName name="BLPH488" hidden="1">[18]Input!$I$82</definedName>
    <definedName name="BLPH489" hidden="1">[18]Input!$I$83</definedName>
    <definedName name="BLPH49" hidden="1">[17]Data!$S$72</definedName>
    <definedName name="BLPH490" hidden="1">[18]Input!$I$84</definedName>
    <definedName name="BLPH491" hidden="1">[18]Input!$I$85</definedName>
    <definedName name="BLPH492" hidden="1">[18]Input!$I$86</definedName>
    <definedName name="BLPH493" hidden="1">[18]Input!$I$87</definedName>
    <definedName name="BLPH494" hidden="1">[18]Input!$I$88</definedName>
    <definedName name="BLPH495" hidden="1">[18]Input!$I$89</definedName>
    <definedName name="BLPH496" hidden="1">[18]Input!$I$90</definedName>
    <definedName name="BLPH497" hidden="1">[18]Input!$I$91</definedName>
    <definedName name="BLPH498" hidden="1">[18]Input!$I$92</definedName>
    <definedName name="BLPH499" hidden="1">[18]Input!$I$93</definedName>
    <definedName name="BLPH5" hidden="1">[17]Data!$A$8</definedName>
    <definedName name="BLPH50" hidden="1">[17]Data!$T$72</definedName>
    <definedName name="BLPH500" hidden="1">[18]Input!$I$94</definedName>
    <definedName name="BLPH501" hidden="1">[18]Input!$I$95</definedName>
    <definedName name="BLPH502" hidden="1">[18]Input!$I$96</definedName>
    <definedName name="BLPH503" hidden="1">[18]Input!$I$97</definedName>
    <definedName name="BLPH504" hidden="1">[18]Input!$I$98</definedName>
    <definedName name="BLPH505" hidden="1">[18]Input!$I$99</definedName>
    <definedName name="BLPH506" hidden="1">[18]Input!$I$100</definedName>
    <definedName name="BLPH507" hidden="1">[18]Input!$I$101</definedName>
    <definedName name="BLPH508" hidden="1">[18]Input!$I$102</definedName>
    <definedName name="BLPH509" hidden="1">[18]Input!$I$103</definedName>
    <definedName name="BLPH51" hidden="1">[17]Data!$R$74</definedName>
    <definedName name="BLPH510" hidden="1">[18]Input!$I$104</definedName>
    <definedName name="BLPH511" hidden="1">[18]Input!$I$105</definedName>
    <definedName name="BLPH512" hidden="1">[18]Input!$I$106</definedName>
    <definedName name="BLPH513" hidden="1">[18]Input!$I$107</definedName>
    <definedName name="BLPH514" hidden="1">[18]Input!$I$108</definedName>
    <definedName name="BLPH515" hidden="1">[18]Input!$I$109</definedName>
    <definedName name="BLPH516" hidden="1">[18]Input!$E$110</definedName>
    <definedName name="BLPH517" hidden="1">[18]Input!$E$111</definedName>
    <definedName name="BLPH518" hidden="1">[18]Input!$F$110</definedName>
    <definedName name="BLPH519" hidden="1">[18]Input!$F$111</definedName>
    <definedName name="BLPH52" hidden="1">[17]Data!$S$74</definedName>
    <definedName name="BLPH520" hidden="1">[18]Input!$G$110</definedName>
    <definedName name="BLPH521" hidden="1">[18]Input!$G$111</definedName>
    <definedName name="BLPH522" hidden="1">[18]Input!$H$110</definedName>
    <definedName name="BLPH523" hidden="1">[18]Input!$H$111</definedName>
    <definedName name="BLPH524" hidden="1">[18]Input!$I$110</definedName>
    <definedName name="BLPH525" hidden="1">[18]Input!$I$111</definedName>
    <definedName name="BLPH526" hidden="1">[18]Input!$J$7</definedName>
    <definedName name="BLPH527" hidden="1">[18]Input!$J$8</definedName>
    <definedName name="BLPH528" hidden="1">[18]Input!$J$9</definedName>
    <definedName name="BLPH529" hidden="1">[18]Input!$J$10</definedName>
    <definedName name="BLPH53" hidden="1">[17]Data!$T$74</definedName>
    <definedName name="BLPH530" hidden="1">[18]Input!$J$11</definedName>
    <definedName name="BLPH531" hidden="1">[18]Input!$J$12</definedName>
    <definedName name="BLPH532" hidden="1">[18]Input!$J$13</definedName>
    <definedName name="BLPH533" hidden="1">[18]Input!$J$14</definedName>
    <definedName name="BLPH534" hidden="1">[18]Input!$J$15</definedName>
    <definedName name="BLPH535" hidden="1">[18]Input!$J$16</definedName>
    <definedName name="BLPH536" hidden="1">[18]Input!$J$17</definedName>
    <definedName name="BLPH537" hidden="1">[18]Input!$J$18</definedName>
    <definedName name="BLPH538" hidden="1">[18]Input!$J$19</definedName>
    <definedName name="BLPH539" hidden="1">[18]Input!$J$20</definedName>
    <definedName name="BLPH54" hidden="1">[17]Data!$R$5</definedName>
    <definedName name="BLPH540" hidden="1">[18]Input!$J$21</definedName>
    <definedName name="BLPH541" hidden="1">[18]Input!$J$22</definedName>
    <definedName name="BLPH542" hidden="1">[18]Input!$J$23</definedName>
    <definedName name="BLPH543" hidden="1">[18]Input!$J$24</definedName>
    <definedName name="BLPH544" hidden="1">[18]Input!$J$25</definedName>
    <definedName name="BLPH545" hidden="1">[18]Input!$J$26</definedName>
    <definedName name="BLPH546" hidden="1">[18]Input!$J$27</definedName>
    <definedName name="BLPH547" hidden="1">[18]Input!$J$28</definedName>
    <definedName name="BLPH548" hidden="1">[18]Input!$J$29</definedName>
    <definedName name="BLPH549" hidden="1">[18]Input!$J$30</definedName>
    <definedName name="BLPH55" hidden="1">[17]Data!$S$5</definedName>
    <definedName name="BLPH550" hidden="1">[18]Input!$J$31</definedName>
    <definedName name="BLPH551" hidden="1">[18]Input!$J$32</definedName>
    <definedName name="BLPH552" hidden="1">[18]Input!$J$33</definedName>
    <definedName name="BLPH553" hidden="1">[18]Input!$J$34</definedName>
    <definedName name="BLPH554" hidden="1">[18]Input!$J$35</definedName>
    <definedName name="BLPH555" hidden="1">[18]Input!$J$36</definedName>
    <definedName name="BLPH556" hidden="1">[18]Input!$J$37</definedName>
    <definedName name="BLPH557" hidden="1">[18]Input!$J$38</definedName>
    <definedName name="BLPH558" hidden="1">[18]Input!$J$39</definedName>
    <definedName name="BLPH559" hidden="1">[18]Input!$J$40</definedName>
    <definedName name="BLPH56" hidden="1">[17]Data!$T$5</definedName>
    <definedName name="BLPH560" hidden="1">[18]Input!$J$41</definedName>
    <definedName name="BLPH561" hidden="1">[18]Input!$J$42</definedName>
    <definedName name="BLPH562" hidden="1">[18]Input!$J$43</definedName>
    <definedName name="BLPH563" hidden="1">[18]Input!$J$44</definedName>
    <definedName name="BLPH564" hidden="1">[18]Input!$J$45</definedName>
    <definedName name="BLPH565" hidden="1">[18]Input!$J$46</definedName>
    <definedName name="BLPH566" hidden="1">[18]Input!$J$47</definedName>
    <definedName name="BLPH567" hidden="1">[18]Input!$J$48</definedName>
    <definedName name="BLPH568" hidden="1">[18]Input!$J$49</definedName>
    <definedName name="BLPH569" hidden="1">[18]Input!$J$50</definedName>
    <definedName name="BLPH57" hidden="1">[17]Data!$R$6</definedName>
    <definedName name="BLPH570" hidden="1">[18]Input!$J$51</definedName>
    <definedName name="BLPH571" hidden="1">[18]Input!$J$52</definedName>
    <definedName name="BLPH572" hidden="1">[18]Input!$J$53</definedName>
    <definedName name="BLPH573" hidden="1">[18]Input!$J$54</definedName>
    <definedName name="BLPH574" hidden="1">[18]Input!$J$55</definedName>
    <definedName name="BLPH575" hidden="1">[18]Input!$J$56</definedName>
    <definedName name="BLPH576" hidden="1">[18]Input!$J$57</definedName>
    <definedName name="BLPH577" hidden="1">[18]Input!$J$58</definedName>
    <definedName name="BLPH578" hidden="1">[18]Input!$J$59</definedName>
    <definedName name="BLPH579" hidden="1">[18]Input!$J$60</definedName>
    <definedName name="BLPH58" hidden="1">[17]Data!$T$6</definedName>
    <definedName name="BLPH580" hidden="1">[18]Input!$J$61</definedName>
    <definedName name="BLPH581" hidden="1">[18]Input!$J$62</definedName>
    <definedName name="BLPH582" hidden="1">[18]Input!$J$63</definedName>
    <definedName name="BLPH583" hidden="1">[18]Input!$J$64</definedName>
    <definedName name="BLPH584" hidden="1">[18]Input!$J$65</definedName>
    <definedName name="BLPH585" hidden="1">[18]Input!$J$66</definedName>
    <definedName name="BLPH586" hidden="1">[18]Input!$J$67</definedName>
    <definedName name="BLPH587" hidden="1">[18]Input!$J$68</definedName>
    <definedName name="BLPH588" hidden="1">[18]Input!$J$69</definedName>
    <definedName name="BLPH589" hidden="1">[18]Input!$J$70</definedName>
    <definedName name="BLPH59" hidden="1">[17]Data!$S$6</definedName>
    <definedName name="BLPH590" hidden="1">[18]Input!$J$71</definedName>
    <definedName name="BLPH591" hidden="1">[18]Input!$J$72</definedName>
    <definedName name="BLPH592" hidden="1">[18]Input!$J$73</definedName>
    <definedName name="BLPH593" hidden="1">[18]Input!$J$74</definedName>
    <definedName name="BLPH594" hidden="1">[18]Input!$J$75</definedName>
    <definedName name="BLPH595" hidden="1">[18]Input!$J$76</definedName>
    <definedName name="BLPH596" hidden="1">[18]Input!$J$77</definedName>
    <definedName name="BLPH597" hidden="1">[18]Input!$J$78</definedName>
    <definedName name="BLPH598" hidden="1">[18]Input!$J$79</definedName>
    <definedName name="BLPH599" hidden="1">[18]Input!$J$80</definedName>
    <definedName name="BLPH6" hidden="1">[17]Data!$AL$3</definedName>
    <definedName name="BLPH60" hidden="1">[17]Data!$G$10</definedName>
    <definedName name="BLPH600" hidden="1">[18]Input!$J$81</definedName>
    <definedName name="BLPH601" hidden="1">[18]Input!$J$82</definedName>
    <definedName name="BLPH602" hidden="1">[18]Input!$J$83</definedName>
    <definedName name="BLPH603" hidden="1">[18]Input!$J$84</definedName>
    <definedName name="BLPH604" hidden="1">[18]Input!$J$85</definedName>
    <definedName name="BLPH605" hidden="1">[18]Input!$J$86</definedName>
    <definedName name="BLPH606" hidden="1">[18]Input!$J$87</definedName>
    <definedName name="BLPH607" hidden="1">[18]Input!$J$88</definedName>
    <definedName name="BLPH608" hidden="1">[18]Input!$J$89</definedName>
    <definedName name="BLPH609" hidden="1">[18]Input!$J$90</definedName>
    <definedName name="BLPH61" hidden="1">[17]Data!$I$10</definedName>
    <definedName name="BLPH610" hidden="1">[18]Input!$J$91</definedName>
    <definedName name="BLPH611" hidden="1">[18]Input!$J$92</definedName>
    <definedName name="BLPH612" hidden="1">[18]Input!$J$93</definedName>
    <definedName name="BLPH613" hidden="1">[18]Input!$J$94</definedName>
    <definedName name="BLPH614" hidden="1">[18]Input!$J$95</definedName>
    <definedName name="BLPH615" hidden="1">[18]Input!$J$96</definedName>
    <definedName name="BLPH616" hidden="1">[18]Input!$J$97</definedName>
    <definedName name="BLPH617" hidden="1">[18]Input!$J$98</definedName>
    <definedName name="BLPH618" hidden="1">[18]Input!$J$99</definedName>
    <definedName name="BLPH619" hidden="1">[18]Input!$J$100</definedName>
    <definedName name="BLPH62" hidden="1">[18]Input!$F$8</definedName>
    <definedName name="BLPH620" hidden="1">[18]Input!$J$101</definedName>
    <definedName name="BLPH621" hidden="1">[18]Input!$J$102</definedName>
    <definedName name="BLPH622" hidden="1">[18]Input!$J$103</definedName>
    <definedName name="BLPH623" hidden="1">[18]Input!$J$104</definedName>
    <definedName name="BLPH624" hidden="1">[18]Input!$J$105</definedName>
    <definedName name="BLPH625" hidden="1">[18]Input!$J$106</definedName>
    <definedName name="BLPH626" hidden="1">[18]Input!$J$107</definedName>
    <definedName name="BLPH627" hidden="1">[18]Input!$J$108</definedName>
    <definedName name="BLPH628" hidden="1">[18]Input!$J$109</definedName>
    <definedName name="BLPH629" hidden="1">[18]Input!$J$110</definedName>
    <definedName name="BLPH63" hidden="1">[17]Data!$E$10</definedName>
    <definedName name="BLPH630" hidden="1">[18]Input!$J$111</definedName>
    <definedName name="BLPH64" hidden="1">[17]Data!$AD$10</definedName>
    <definedName name="BLPH65" hidden="1">[17]Data!$AF$10</definedName>
    <definedName name="BLPH66" hidden="1">[17]Data!$AC$10</definedName>
    <definedName name="BLPH67" hidden="1">[17]Data!$AE$10</definedName>
    <definedName name="BLPH68" hidden="1">[17]Data!$AG$10</definedName>
    <definedName name="BLPH69" hidden="1">[17]Data!$AH$10</definedName>
    <definedName name="BLPH7" hidden="1">[17]Data!$A$10</definedName>
    <definedName name="BLPH70" hidden="1">[17]Data!$AJ$9</definedName>
    <definedName name="BLPH71" hidden="1">[20]DATA!$D$981:$HE$32325</definedName>
    <definedName name="BLPH72" hidden="1">[20]DATA!$D$1084:$HE$32245</definedName>
    <definedName name="BLPH73" hidden="1">[18]Input!$F$19</definedName>
    <definedName name="BLPH74" hidden="1">[18]Input!$F$20</definedName>
    <definedName name="BLPH75" hidden="1">[18]Input!$F$21</definedName>
    <definedName name="BLPH76" hidden="1">[18]Input!$F$22</definedName>
    <definedName name="BLPH77" hidden="1">[18]Input!$F$23</definedName>
    <definedName name="BLPH78" hidden="1">[18]Input!$F$24</definedName>
    <definedName name="BLPH79" hidden="1">[18]Input!$F$25</definedName>
    <definedName name="BLPH8" hidden="1">[17]Data!#REF!</definedName>
    <definedName name="BLPH80" hidden="1">[18]Input!$F$26</definedName>
    <definedName name="BLPH81" hidden="1">[18]Input!$F$27</definedName>
    <definedName name="BLPH82" hidden="1">[18]Input!$F$28</definedName>
    <definedName name="BLPH83" hidden="1">[18]Input!$F$29</definedName>
    <definedName name="BLPH84" hidden="1">[18]Input!$F$30</definedName>
    <definedName name="BLPH85" hidden="1">[18]Input!$F$31</definedName>
    <definedName name="BLPH86" hidden="1">[18]Input!$F$32</definedName>
    <definedName name="BLPH87" hidden="1">[18]Input!$F$33</definedName>
    <definedName name="BLPH88" hidden="1">[18]Input!$F$34</definedName>
    <definedName name="BLPH89" hidden="1">[18]Input!$F$35</definedName>
    <definedName name="BLPH9" hidden="1">[17]Data!$D$10</definedName>
    <definedName name="BLPH90" hidden="1">[18]Input!$F$36</definedName>
    <definedName name="BLPH91" hidden="1">[18]Input!$F$37</definedName>
    <definedName name="BLPH92" hidden="1">[18]Input!$F$38</definedName>
    <definedName name="BLPH93" hidden="1">[18]Input!$F$39</definedName>
    <definedName name="BLPH94" hidden="1">[18]Input!$F$40</definedName>
    <definedName name="BLPH95" hidden="1">[18]Input!$F$41</definedName>
    <definedName name="BLPH96" hidden="1">[18]Input!$F$42</definedName>
    <definedName name="BLPH97" hidden="1">[18]Input!$F$43</definedName>
    <definedName name="BLPH98" hidden="1">[18]Input!$F$44</definedName>
    <definedName name="BLPH99" hidden="1">[18]Input!$F$45</definedName>
    <definedName name="casds" hidden="1">{"DCF1",#N/A,FALSE,"SIERRA DCF";"MATRIX1",#N/A,FALSE,"SIERRA DCF"}</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13476674_opts" hidden="1">"2, 1, 1, True, 2, False, False, , 0, False, False, 1, 1"</definedName>
    <definedName name="cb_sChart13485B52_opts" hidden="1">"2, 1, 1, False, 2, False, False, , 0, False, False, 1, 1"</definedName>
    <definedName name="cb_sChart13786B54_opts" hidden="1">"2, 1, 1, False, 2, False, False, , 0, False, True, 1, 1"</definedName>
    <definedName name="cb_sChart1385548A_opts" hidden="1">"2, 1, 1, False, 2, False, False, , 0, False, True, 1, 1"</definedName>
    <definedName name="cb_sChart1386774B_opts" hidden="1">"2, 1, 2, True, 2, False, False, , 0, False, True, 1, 1"</definedName>
    <definedName name="cb_sChart1386B158_opts" hidden="1">"2, 1, 2, True, 2, False, False, , 0, False, True, 1, 1"</definedName>
    <definedName name="cb_sChart1386B304_opts" hidden="1">"2, 1, 1, False, 2, False, False, , 0, False, False, 1, 1"</definedName>
    <definedName name="cb_sChart1386B3E0_opts" hidden="1">"2, 1, 1, True, 2, False, False, , 0, False, False, 1, 1"</definedName>
    <definedName name="cb_sChart139636EA_opts" hidden="1">"1, 1, 1, False, 2, False, False, , 0, False, False, 1, 1"</definedName>
    <definedName name="cb_sChart139637E9_opts" hidden="1">"1, 1, 1, False, 2, False, False, , 0, False, False, 3, 1"</definedName>
    <definedName name="cb_sChart139638B9_opts" hidden="1">"1, 1, 1, False, 2, False, False, , 0, False, False, 1, 2"</definedName>
    <definedName name="cb_sChart1396821A_opts" hidden="1">"1, 9, 1, False, 2, False, False, , 0, False, True, 1, 1"</definedName>
    <definedName name="cb_sChart1396872A_opts" hidden="1">"1, 9, 1, False, 2, False, False, , 0, False, True, 1, 1"</definedName>
    <definedName name="cb_sChart1396D1AC_opts" hidden="1">"1, 9, 1, False, 2, False, False, , 0, False, True, 1, 1"</definedName>
    <definedName name="cb_sChart139AA6C1_opts" hidden="1">"2, 1, 1, True, 2, False, False, , 0, False, True, 1,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BWorkbookPriority" hidden="1">-859185686</definedName>
    <definedName name="cc" hidden="1">{#N/A,#N/A,FALSE,"value";#N/A,#N/A,FALSE,"PL";#N/A,#N/A,FALSE,"PL%";#N/A,#N/A,FALSE,"R";#N/A,#N/A,FALSE,"MD";#N/A,#N/A,FALSE,"OpEx";#N/A,#N/A,FALSE,"CapEx";#N/A,#N/A,FALSE,"Stats"}</definedName>
    <definedName name="cd" hidden="1">#REF!</definedName>
    <definedName name="Chart" hidden="1">[21]DS_Valuation_Measures!$G$1</definedName>
    <definedName name="CIQWBGuid" hidden="1">"352ba192-c941-4103-a324-b7e6215b57ee"</definedName>
    <definedName name="comm" hidden="1">{"PAGE 1",#N/A,FALSE,"WEST_OT"}</definedName>
    <definedName name="comm2" hidden="1">{"PAGE 1",#N/A,FALSE,"WEST_OT"}</definedName>
    <definedName name="comm3" hidden="1">{"PAGE 1",#N/A,FALSE,"WEST_OT"}</definedName>
    <definedName name="commrev2" hidden="1">{"PAGE 1",#N/A,FALSE,"WEST_OT"}</definedName>
    <definedName name="dafdsf" hidden="1">{"qchm_dcf",#N/A,FALSE,"QCHMDCF2";"qchm_terminal",#N/A,FALSE,"QCHMDCF2"}</definedName>
    <definedName name="DCF" hidden="1">{"fdsup://IBCentral/FAT Viewer?action=UPDATE&amp;creator=factset&amp;DOC_NAME=fat:reuters_qtrly_source_window.fat&amp;display_string=Audit&amp;DYN_ARGS=TRUE&amp;VAR:ID1=88579Y10&amp;VAR:RCODE=STLD&amp;VAR:SDATE=20090699&amp;VAR:FREQ=Quarterly&amp;VAR:RELITEM=RP&amp;VAR:CURRENCY=&amp;VAR:CURRSOURCE=EX","SHARE&amp;VAR:NATFREQ=QUARTERLY&amp;VAR:RFIELD=FINALIZED&amp;VAR:DB_TYPE=&amp;VAR:UNITS=M&amp;window=popup&amp;width=450&amp;height=300&amp;START_MAXIMIZED=FALSE"}</definedName>
    <definedName name="dd" hidden="1">#REF!</definedName>
    <definedName name="ddd" hidden="1">{"adj95mult",#N/A,FALSE,"COMPCO";"adj95est",#N/A,FALSE,"COMPCO"}</definedName>
    <definedName name="df" hidden="1">{#N/A,#N/A,TRUE,"FY BCG";#N/A,#N/A,TRUE,"FY w|o Wireless";#N/A,#N/A,TRUE,"FY Wireless"}</definedName>
    <definedName name="dfa" hidden="1">{"Acq_matrix",#N/A,FALSE,"Acquisition Matrix"}</definedName>
    <definedName name="dfdf" hidden="1">{"page1",#N/A,FALSE,"BHCOMPC5";"page2",#N/A,FALSE,"BHCOMPC5";"page3",#N/A,FALSE,"BHCOMPC5";"page4",#N/A,FALSE,"BHCOMPC5"}</definedName>
    <definedName name="dfhgfgdjgd" hidden="1">{"Matrix",#N/A,FALSE,"ACQMTRX";"Fees",#N/A,FALSE,"ACQMTRX"}</definedName>
    <definedName name="dfsafd"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fsfa"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gbwergfngfh" hidden="1">{#N/A,#N/A,FALSE,"PL";"no values",#N/A,FALSE,"value";#N/A,#N/A,FALSE,"PL%";#N/A,#N/A,FALSE,"R";#N/A,#N/A,FALSE,"MD";#N/A,#N/A,FALSE,"OpEx";#N/A,#N/A,FALSE,"CapEx";#N/A,#N/A,FALSE,"Stats"}</definedName>
    <definedName name="Div_Industrial" hidden="1">{"adj95mult",#N/A,FALSE,"COMPCO";"adj95est",#N/A,FALSE,"COMPCO"}</definedName>
    <definedName name="DME_Dirty" hidden="1">"False"</definedName>
    <definedName name="DME_LocalFile" hidden="1">"True"</definedName>
    <definedName name="DME_ODMALinks1" hidden="1">"::ODMA\DME-MSE\London-44590=C:\TEMP\Dme\London-44590.xls"</definedName>
    <definedName name="DME_ODMALinksCount" hidden="1">"1"</definedName>
    <definedName name="dsafd"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DSHiddenYear1" hidden="1">#REF!</definedName>
    <definedName name="DSHiddenYear2" hidden="1">#REF!</definedName>
    <definedName name="DSHiddenYear3" hidden="1">#REF!</definedName>
    <definedName name="DSHiddenYear4" hidden="1">#REF!</definedName>
    <definedName name="DSIndHiddenYear1" hidden="1">#REF!</definedName>
    <definedName name="DSIndHiddenYear2" hidden="1">#REF!</definedName>
    <definedName name="DSIndHiddenYear3" hidden="1">#REF!</definedName>
    <definedName name="DSIndHiddenYear4" hidden="1">#REF!</definedName>
    <definedName name="DSIndHistHiddenYear1" hidden="1">#REF!</definedName>
    <definedName name="DSIndHistHiddenYear2" hidden="1">#REF!</definedName>
    <definedName name="DSIndHistHiddenYear3" hidden="1">#REF!</definedName>
    <definedName name="DSIndHistHiddenYear4" hidden="1">#REF!</definedName>
    <definedName name="DSIndHistHiddenYear5" hidden="1">#REF!</definedName>
    <definedName name="e" hidden="1">{"adj95mult",#N/A,FALSE,"COMPCO";"adj95est",#N/A,FALSE,"COMPCO"}</definedName>
    <definedName name="ea" hidden="1">[22]Data!$N$10</definedName>
    <definedName name="eee.ooo" hidden="1">{"CSN M Detail",#N/A,FALSE,"Sch M Detail"}</definedName>
    <definedName name="eee.ppp" hidden="1">{"CSN M Detail",#N/A,FALSE,"Sch M Detail"}</definedName>
    <definedName name="Eng" hidden="1">{"PAGE 1",#N/A,FALSE,"WEST_OT"}</definedName>
    <definedName name="ere" hidden="1">{#N/A,#N/A,TRUE,"FR_HC";#N/A,#N/A,TRUE,"FR_REST";#N/A,#N/A,TRUE,"FR_RETA";#N/A,#N/A,TRUE,"FR_TECSOF";#N/A,#N/A,TRUE,"FR_NETTEC";#N/A,#N/A,TRUE,"FR_CLISER"}</definedName>
    <definedName name="ergrthrthert" hidden="1">{#N/A,#N/A,FALSE,"value";#N/A,#N/A,FALSE,"PL";#N/A,#N/A,FALSE,"PL%";#N/A,#N/A,FALSE,"R";#N/A,#N/A,FALSE,"MD";#N/A,#N/A,FALSE,"OpEx";#N/A,#N/A,FALSE,"CapEx";#N/A,#N/A,FALSE,"Stats"}</definedName>
    <definedName name="ergthyjtryh" hidden="1">{#N/A,#N/A,FALSE,"PL";"no values",#N/A,FALSE,"value";#N/A,#N/A,FALSE,"PL%";#N/A,#N/A,FALSE,"R";#N/A,#N/A,FALSE,"MD";#N/A,#N/A,FALSE,"OpEx";#N/A,#N/A,FALSE,"CapEx";#N/A,#N/A,FALSE,"Stats"}</definedName>
    <definedName name="ert3245fgh" hidden="1">{#N/A,#N/A,FALSE,"PL";"no values",#N/A,FALSE,"value";#N/A,#N/A,FALSE,"PL%";#N/A,#N/A,FALSE,"R";#N/A,#N/A,FALSE,"MD";#N/A,#N/A,FALSE,"OpEx";#N/A,#N/A,FALSE,"CapEx";#N/A,#N/A,FALSE,"Stats"}</definedName>
    <definedName name="ertertert" hidden="1">{#N/A,#N/A,FALSE,"value";#N/A,#N/A,FALSE,"PL";#N/A,#N/A,FALSE,"PL%";#N/A,#N/A,FALSE,"R";#N/A,#N/A,FALSE,"MD";#N/A,#N/A,FALSE,"OpEx";#N/A,#N/A,FALSE,"CapEx";#N/A,#N/A,FALSE,"Stats"}</definedName>
    <definedName name="ertertertert" hidden="1">{#N/A,#N/A,FALSE,"PL";"no values",#N/A,FALSE,"value";#N/A,#N/A,FALSE,"PL%";#N/A,#N/A,FALSE,"R";#N/A,#N/A,FALSE,"MD";#N/A,#N/A,FALSE,"OpEx";#N/A,#N/A,FALSE,"CapEx";#N/A,#N/A,FALSE,"Stats"}</definedName>
    <definedName name="ertfbgneret" hidden="1">{#N/A,#N/A,FALSE,"PL";"no values",#N/A,FALSE,"value";#N/A,#N/A,FALSE,"PL%";#N/A,#N/A,FALSE,"R";#N/A,#N/A,FALSE,"MD";#N/A,#N/A,FALSE,"OpEx";#N/A,#N/A,FALSE,"CapEx";#N/A,#N/A,FALSE,"Stats"}</definedName>
    <definedName name="ertgyhyhrwt" hidden="1">{#N/A,#N/A,FALSE,"value";#N/A,#N/A,FALSE,"PL";#N/A,#N/A,FALSE,"PL%";#N/A,#N/A,FALSE,"R";#N/A,#N/A,FALSE,"MD";#N/A,#N/A,FALSE,"OpEx";#N/A,#N/A,FALSE,"CapEx";#N/A,#N/A,FALSE,"Stats"}</definedName>
    <definedName name="ertrhythwert" hidden="1">{#N/A,#N/A,FALSE,"value";#N/A,#N/A,FALSE,"PL";#N/A,#N/A,FALSE,"PL%";#N/A,#N/A,FALSE,"R";#N/A,#N/A,FALSE,"MD";#N/A,#N/A,FALSE,"OpEx";#N/A,#N/A,FALSE,"CapEx";#N/A,#N/A,FALSE,"Stats"}</definedName>
    <definedName name="ev.Calculation" hidden="1">-4135</definedName>
    <definedName name="ev.Initialized" hidden="1">FALSE</definedName>
    <definedName name="EV__EVCOM_OPTIONS__" hidden="1">8</definedName>
    <definedName name="EV__EXPOPTIONS__" hidden="1">1</definedName>
    <definedName name="EV__LASTREFTIME__" hidden="1">41116.6241898148</definedName>
    <definedName name="EV__LOCKEDCVW__CAPITAL" hidden="1">"Cost,All_Assets,All_AssetTypes,TotBC,ACTUAL,TotalAdj,SPOK,All_Interco,AllPC,USD,2005.TOTAL,PERIODIC,"</definedName>
    <definedName name="EV__LOCKEDCVW__FIN_CSO" hidden="1">"SalFringeExp,TotBC,BUDGET,TotalAdj,CSO,Non_Interco,AllPC,LC,2009.TOTAL,Periodic,"</definedName>
    <definedName name="EV__LOCKEDCVW__FIN_PECOS" hidden="1">"TrialBal,TotBC,ACTUAL,TotalAdj,PEC,All_Interco,AllPC,USD,2005.TOTAL,PERIODIC,"</definedName>
    <definedName name="EV__LOCKEDCVW__FIN_PPI" hidden="1">"ServHaulRev,TotBC,ACTUAL,TotalAdj,PPI,Non_Interco,AllPC,LC,2009.TOTAL,Periodic,"</definedName>
    <definedName name="EV__LOCKEDCVW__FIN_SIMONS" hidden="1">"TrialBal,TotBC,ACTUAL,TotalAdj,HFO,All_Interco,20014,LC,2008.TOTAL,Periodic,"</definedName>
    <definedName name="EV__LOCKEDCVW__PAYROLL" hidden="1">"AnnualSalary,BUDGET,HR,AllEmp,CSO,0101,LC,2009.TOTAL,10,PERIODIC,"</definedName>
    <definedName name="EV__MAXEXPCOLS__" hidden="1">100</definedName>
    <definedName name="EV__MAXEXPROWS__" hidden="1">1000</definedName>
    <definedName name="EV__MEMORYCVW__" hidden="1">0</definedName>
    <definedName name="EV__WBEVMODE__" hidden="1">0</definedName>
    <definedName name="EV__WBREFOPTIONS__" hidden="1">7</definedName>
    <definedName name="EV__WBVERSION__" hidden="1">0</definedName>
    <definedName name="EV__WSINFO__" hidden="1">"bpcpass"</definedName>
    <definedName name="f" hidden="1">{#N/A,#N/A,TRUE,"3Q BCG";#N/A,#N/A,TRUE,"3Q w|o Wireless";#N/A,#N/A,TRUE,"3Q Wireless"}</definedName>
    <definedName name="fgefgef" hidden="1">{"qchm_dcf",#N/A,FALSE,"QCHMDCF2";"qchm_terminal",#N/A,FALSE,"QCHMDCF2"}</definedName>
    <definedName name="fhrghgrd" hidden="1">{"DCF1",#N/A,FALSE,"SIERRA DCF";"MATRIX1",#N/A,FALSE,"SIERRA DCF"}</definedName>
    <definedName name="FileChart" hidden="1">[21]DS_Industry_Specif!$G$1</definedName>
    <definedName name="fsdfdfa" hidden="1">{"page1",#N/A,FALSE,"BHCOMPC5";"page2",#N/A,FALSE,"BHCOMPC5";"page3",#N/A,FALSE,"BHCOMPC5";"page4",#N/A,FALSE,"BHCOMPC5"}</definedName>
    <definedName name="fsdsfafd" hidden="1">{"CSheet",#N/A,FALSE,"C";"SmCap",#N/A,FALSE,"VAL1";"GulfCoast",#N/A,FALSE,"VAL1";"nav",#N/A,FALSE,"NAV";"Summary",#N/A,FALSE,"NAV"}</definedName>
    <definedName name="fxdghsfgh" hidden="1">{#N/A,#N/A,TRUE,"Monthly w|o Wireless";#N/A,#N/A,TRUE,"Qrt w|o Wireless";#N/A,#N/A,TRUE,"FY w|o Wireless";#N/A,#N/A,TRUE,"1Q w|o Wireless";#N/A,#N/A,TRUE,"2Q w|o Wireless";#N/A,#N/A,TRUE,"3Q w|o Wireless";#N/A,#N/A,TRUE,"4Q w|o Wireless"}</definedName>
    <definedName name="g" hidden="1">{"bs",#N/A,FALSE,"SCF"}</definedName>
    <definedName name="Hello" hidden="1">#REF!</definedName>
    <definedName name="Hello1" hidden="1">#REF!</definedName>
    <definedName name="help"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hhgjghj" hidden="1">{"DCF1",#N/A,FALSE,"SIERRA DCF";"MATRIX1",#N/A,FALSE,"SIERRA DCF"}</definedName>
    <definedName name="hhh" hidden="1">{#N/A,#N/A,TRUE,"4Q BCG";#N/A,#N/A,TRUE,"4Q w|o Wireless";#N/A,#N/A,TRUE,"4Q Wireless"}</definedName>
    <definedName name="htgrer" hidden="1">{"page1",#N/A,FALSE,"BHCOMPC5";"page2",#N/A,FALSE,"BHCOMPC5";"page3",#N/A,FALSE,"BHCOMPC5";"page4",#N/A,FALSE,"BHCOMPC5"}</definedName>
    <definedName name="HTML_CodePage" hidden="1">1252</definedName>
    <definedName name="HTML_Control" hidden="1">{"'Chart data'!$H$4:$J$6"}</definedName>
    <definedName name="HTML_Description" hidden="1">""</definedName>
    <definedName name="HTML_Email" hidden="1">""</definedName>
    <definedName name="HTML_Header" hidden="1">"Chart data"</definedName>
    <definedName name="HTML_LastUpdate" hidden="1">"08/25/2000"</definedName>
    <definedName name="HTML_LineAfter" hidden="1">FALSE</definedName>
    <definedName name="HTML_LineBefore" hidden="1">FALSE</definedName>
    <definedName name="HTML_Name" hidden="1">"Randy Clark"</definedName>
    <definedName name="HTML_OBDlg2" hidden="1">TRUE</definedName>
    <definedName name="HTML_OBDlg4" hidden="1">TRUE</definedName>
    <definedName name="HTML_OS" hidden="1">0</definedName>
    <definedName name="HTML_PathFile" hidden="1">"C:\Documents and Settings\rcclark\Desktop\MyHTML.htm"</definedName>
    <definedName name="HTML_Title" hidden="1">"Insight AMSG Pivot Chart 7-00"</definedName>
    <definedName name="HTML1_1" hidden="1">"'[age distribution.xls]Graph'!$A$1:$Q$50"</definedName>
    <definedName name="HTML1_10" hidden="1">""</definedName>
    <definedName name="HTML1_11" hidden="1">-4146</definedName>
    <definedName name="HTML1_12" hidden="1">"C:\Our Documents\Greg\Analyses\MyHTML.htm"</definedName>
    <definedName name="HTML1_2" hidden="1">1</definedName>
    <definedName name="HTML1_3" hidden="1">"age distribution"</definedName>
    <definedName name="HTML1_4" hidden="1">"Graph"</definedName>
    <definedName name="HTML1_5" hidden="1">""</definedName>
    <definedName name="HTML1_6" hidden="1">-4146</definedName>
    <definedName name="HTML1_7" hidden="1">-4146</definedName>
    <definedName name="HTML1_8" hidden="1">"6/11/96"</definedName>
    <definedName name="HTML1_9" hidden="1">"Gregory C. Daley"</definedName>
    <definedName name="HTMLCount" hidden="1">1</definedName>
    <definedName name="i" hidden="1">{"DCF1",#N/A,FALSE,"SIERRA DCF";"MATRIX1",#N/A,FALSE,"SIERRA DCF"}</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TER_TAX_INCOME_FDIC" hidden="1">"c6583"</definedName>
    <definedName name="IQ_AGENCY" hidden="1">"c8960"</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HELD_FDIC" hidden="1">"c6305"</definedName>
    <definedName name="IQ_ASSETS_NAME_AP" hidden="1">"c8921"</definedName>
    <definedName name="IQ_ASSETS_NAME_AP_ABS" hidden="1">"c8940"</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REUT" hidden="1">"c3630"</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VOLUME" hidden="1">"c1346"</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CIQ" hidden="1">"c5068"</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"c1349"</definedName>
    <definedName name="IQ_BV_SHARE" hidden="1">"c100"</definedName>
    <definedName name="IQ_BV_STDDEV_EST_REUT" hidden="1">"c5408"</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_CIQ" hidden="1">"c6808"</definedName>
    <definedName name="IQ_CAL_Y" hidden="1">"c102"</definedName>
    <definedName name="IQ_CAL_Y_EST_CIQ" hidden="1">"c6809"</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"c2076"</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hidden="1">"c1351"</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IN_PROCESS_FDIC" hidden="1">"c6386"</definedName>
    <definedName name="IQ_CASH_INTEREST" hidden="1">"c120"</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EST" hidden="1">"c4163"</definedName>
    <definedName name="IQ_CASH_OPER_HIGH_EST" hidden="1">"c4166"</definedName>
    <definedName name="IQ_CASH_OPER_LOW_EST" hidden="1">"c4244"</definedName>
    <definedName name="IQ_CASH_OPER_MEDIAN_EST" hidden="1">"c4245"</definedName>
    <definedName name="IQ_CASH_OPER_NAME_AP" hidden="1">"c8926"</definedName>
    <definedName name="IQ_CASH_OPER_NAME_AP_ABS" hidden="1">"c8945"</definedName>
    <definedName name="IQ_CASH_OPER_NUM_EST" hidden="1">"c4246"</definedName>
    <definedName name="IQ_CASH_OPER_STDDEV_EST" hidden="1">"c4247"</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ASH_TAXES_INVEST" hidden="1">"c6291"</definedName>
    <definedName name="IQ_CASH_TAXES_OPER" hidden="1">"c6290"</definedName>
    <definedName name="IQ_CCE_FDIC" hidden="1">"c6296"</definedName>
    <definedName name="IQ_CDS_5YR_CIQID" hidden="1">"c11751"</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ATERAL_TYPE" hidden="1">"c8954"</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ST_BORROWING" hidden="1">"c2936"</definedName>
    <definedName name="IQ_COST_BORROWINGS" hidden="1">"c225"</definedName>
    <definedName name="IQ_COST_CAPITAL_NEW_BUSINESS" hidden="1">"c9968"</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PON_FORMULA" hidden="1">"c8965"</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EXPOSURE" hidden="1">"c10038"</definedName>
    <definedName name="IQ_CREDIT_LOSS_CF" hidden="1">"c232"</definedName>
    <definedName name="IQ_CREDIT_LOSS_PROVISION_NET_CHARGE_OFFS_FDIC" hidden="1">"c6734"</definedName>
    <definedName name="IQ_CUMULATIVE_SPLIT_FACTO0" hidden="1">"c2094"</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CIQ" hidden="1">"c4767"</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PAYOUT" hidden="1">"c3005"</definedName>
    <definedName name="IQ_DISTRIBUTABLE_CASH_SHARE" hidden="1">"c3003"</definedName>
    <definedName name="IQ_DISTRIBUTABLE_CASH_SHARE_ACT_OR_EST" hidden="1">"c4286"</definedName>
    <definedName name="IQ_DISTRIBUTABLE_CASH_SHARE_ACT_OR_EST_CIQ" hidden="1">"c4811"</definedName>
    <definedName name="IQ_DIV_AMOUNT" hidden="1">"c3041"</definedName>
    <definedName name="IQ_DIV_PAYMENT_DATE" hidden="1">"c2106"</definedName>
    <definedName name="IQ_DIV_PAYMENT_TYPE" hidden="1">"c12752"</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COVERAGE_NET_CHARGE_OFFS_FDIC" hidden="1">"c6735"</definedName>
    <definedName name="IQ_EARNINGS_PERIOD_COVERED" hidden="1">"c9958"</definedName>
    <definedName name="IQ_EARNINGS_PERIOD_GROUP" hidden="1">"c9944"</definedName>
    <definedName name="IQ_EBIT" hidden="1">"c352"</definedName>
    <definedName name="IQ_EBIT_10K" hidden="1">"IQ_EBIT_10K"</definedName>
    <definedName name="IQ_EBIT_10Q" hidden="1">"IQ_EBIT_10Q"</definedName>
    <definedName name="IQ_EBIT_10Q1" hidden="1">"IQ_EBIT_10Q1"</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EQ_INC" hidden="1">"c3498"</definedName>
    <definedName name="IQ_EBIT_EQ_INC_EXCL_SBC" hidden="1">"c3502"</definedName>
    <definedName name="IQ_EBIT_EST" hidden="1">"c1681"</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BC_ACT_OR_EST_CIQ" hidden="1">"c4841"</definedName>
    <definedName name="IQ_EBIT_SBC_GW_ACT_OR_EST" hidden="1">"c4320"</definedName>
    <definedName name="IQ_EBIT_SBC_GW_ACT_OR_EST_CIQ" hidden="1">"c4845"</definedName>
    <definedName name="IQ_EBIT_STDDEV_EST" hidden="1">"c1686"</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CAPEX_INT" hidden="1">"c368"</definedName>
    <definedName name="IQ_EBITDA_CAPEX_OVER_TOTAL_IE" hidden="1">"c1370"</definedName>
    <definedName name="IQ_EBITDA_EQ_INC_EXCL_SBC" hidden="1">"c3500"</definedName>
    <definedName name="IQ_EBITDA_EST" hidden="1">"c369"</definedName>
    <definedName name="IQ_EBITDA_EST_CIQ" hidden="1">"c3622"</definedName>
    <definedName name="IQ_EBITDA_EST_REUT" hidden="1">"c3640"</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CIQ" hidden="1">"c3624"</definedName>
    <definedName name="IQ_EBITDA_HIGH_EST_REUT" hidden="1">"c3642"</definedName>
    <definedName name="IQ_EBITDA_INT" hidden="1">"c373"</definedName>
    <definedName name="IQ_EBITDA_LOW_EST" hidden="1">"c371"</definedName>
    <definedName name="IQ_EBITDA_LOW_EST_CIQ" hidden="1">"c3625"</definedName>
    <definedName name="IQ_EBITDA_LOW_EST_REUT" hidden="1">"c3643"</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NUM_EST" hidden="1">"c374"</definedName>
    <definedName name="IQ_EBITDA_NUM_EST_CIQ" hidden="1">"c3626"</definedName>
    <definedName name="IQ_EBITDA_NUM_EST_REUT" hidden="1">"c3644"</definedName>
    <definedName name="IQ_EBITDA_OVER_TOTAL_IE" hidden="1">"c1371"</definedName>
    <definedName name="IQ_EBITDA_SBC_ACT_OR_EST_CIQ" hidden="1">"c4862"</definedName>
    <definedName name="IQ_EBITDA_STDDEV_EST" hidden="1">"c375"</definedName>
    <definedName name="IQ_EBITDA_STDDEV_EST_CIQ" hidden="1">"c3627"</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ACT_OR_EST_CIQ" hidden="1">"c4875"</definedName>
    <definedName name="IQ_EBT_SBC_GW_ACT_OR_EST" hidden="1">"c4354"</definedName>
    <definedName name="IQ_EBT_SBC_GW_ACT_OR_EST_CIQ" hidden="1">"c4879"</definedName>
    <definedName name="IQ_EBT_SUBTOTAL_AP" hidden="1">"c8982"</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NTERPRISE_VALUE" hidden="1">"c1348"</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P" hidden="1">"c8880"</definedName>
    <definedName name="IQ_EPS_AP_ABS" hidden="1">"c8899"</definedName>
    <definedName name="IQ_EPS_EST" hidden="1">"c399"</definedName>
    <definedName name="IQ_EPS_EST_1" hidden="1">"IQ_EPS_EST_1"</definedName>
    <definedName name="IQ_EPS_EST_CIQ" hidden="1">"c4994"</definedName>
    <definedName name="IQ_EPS_EST_REUT" hidden="1">"c5453"</definedName>
    <definedName name="IQ_EPS_GW_ACT_OR_EST" hidden="1">"c2223"</definedName>
    <definedName name="IQ_EPS_GW_ACT_OR_EST_CIQ" hidden="1">"c5066"</definedName>
    <definedName name="IQ_EPS_GW_EST" hidden="1">"c1737"</definedName>
    <definedName name="IQ_EPS_GW_EST_CIQ" hidden="1">"c4723"</definedName>
    <definedName name="IQ_EPS_GW_EST_REUT" hidden="1">"c5389"</definedName>
    <definedName name="IQ_EPS_GW_HIGH_EST" hidden="1">"c1739"</definedName>
    <definedName name="IQ_EPS_GW_HIGH_EST_CIQ" hidden="1">"c4725"</definedName>
    <definedName name="IQ_EPS_GW_HIGH_EST_REUT" hidden="1">"c5391"</definedName>
    <definedName name="IQ_EPS_GW_LOW_EST" hidden="1">"c1740"</definedName>
    <definedName name="IQ_EPS_GW_LOW_EST_CIQ" hidden="1">"c4726"</definedName>
    <definedName name="IQ_EPS_GW_LOW_EST_REUT" hidden="1">"c5392"</definedName>
    <definedName name="IQ_EPS_GW_MEDIAN_EST" hidden="1">"c1738"</definedName>
    <definedName name="IQ_EPS_GW_MEDIAN_EST_CIQ" hidden="1">"c4724"</definedName>
    <definedName name="IQ_EPS_GW_MEDIAN_EST_REUT" hidden="1">"c5390"</definedName>
    <definedName name="IQ_EPS_GW_NUM_EST" hidden="1">"c1741"</definedName>
    <definedName name="IQ_EPS_GW_NUM_EST_CIQ" hidden="1">"c4727"</definedName>
    <definedName name="IQ_EPS_GW_NUM_EST_REUT" hidden="1">"c5393"</definedName>
    <definedName name="IQ_EPS_GW_STDDEV_EST" hidden="1">"c1742"</definedName>
    <definedName name="IQ_EPS_GW_STDDEV_EST_CIQ" hidden="1">"c4728"</definedName>
    <definedName name="IQ_EPS_GW_STDDEV_EST_REUT" hidden="1">"c5394"</definedName>
    <definedName name="IQ_EPS_HIGH_EST" hidden="1">"c400"</definedName>
    <definedName name="IQ_EPS_HIGH_EST_CIQ" hidden="1">"c4995"</definedName>
    <definedName name="IQ_EPS_HIGH_EST_REUT" hidden="1">"c5454"</definedName>
    <definedName name="IQ_EPS_LOW_EST" hidden="1">"c401"</definedName>
    <definedName name="IQ_EPS_LOW_EST_CIQ" hidden="1">"c4996"</definedName>
    <definedName name="IQ_EPS_LOW_EST_REUT" hidden="1">"c5455"</definedName>
    <definedName name="IQ_EPS_MEDIAN_EST" hidden="1">"c1661"</definedName>
    <definedName name="IQ_EPS_MEDIAN_EST_CIQ" hidden="1">"c4997"</definedName>
    <definedName name="IQ_EPS_MEDIAN_EST_REUT" hidden="1">"c5456"</definedName>
    <definedName name="IQ_EPS_NAME_AP" hidden="1">"c8918"</definedName>
    <definedName name="IQ_EPS_NAME_AP_ABS" hidden="1">"c8937"</definedName>
    <definedName name="IQ_EPS_NORM" hidden="1">"c1902"</definedName>
    <definedName name="IQ_EPS_NORM_EST" hidden="1">"c2226"</definedName>
    <definedName name="IQ_EPS_NORM_EST_CIQ" hidden="1">"c4667"</definedName>
    <definedName name="IQ_EPS_NORM_EST_REUT" hidden="1">"c5326"</definedName>
    <definedName name="IQ_EPS_NORM_HIGH_EST" hidden="1">"c2228"</definedName>
    <definedName name="IQ_EPS_NORM_HIGH_EST_CIQ" hidden="1">"c4669"</definedName>
    <definedName name="IQ_EPS_NORM_HIGH_EST_REUT" hidden="1">"c5328"</definedName>
    <definedName name="IQ_EPS_NORM_LOW_EST" hidden="1">"c2229"</definedName>
    <definedName name="IQ_EPS_NORM_LOW_EST_CIQ" hidden="1">"c4670"</definedName>
    <definedName name="IQ_EPS_NORM_LOW_EST_REUT" hidden="1">"c5329"</definedName>
    <definedName name="IQ_EPS_NORM_MEDIAN_EST" hidden="1">"c2227"</definedName>
    <definedName name="IQ_EPS_NORM_MEDIAN_EST_CIQ" hidden="1">"c4668"</definedName>
    <definedName name="IQ_EPS_NORM_MEDIAN_EST_REUT" hidden="1">"c5327"</definedName>
    <definedName name="IQ_EPS_NORM_NUM_EST" hidden="1">"c2230"</definedName>
    <definedName name="IQ_EPS_NORM_NUM_EST_CIQ" hidden="1">"c4671"</definedName>
    <definedName name="IQ_EPS_NORM_NUM_EST_REUT" hidden="1">"c5330"</definedName>
    <definedName name="IQ_EPS_NORM_STDDEV_EST" hidden="1">"c2231"</definedName>
    <definedName name="IQ_EPS_NORM_STDDEV_EST_CIQ" hidden="1">"c4672"</definedName>
    <definedName name="IQ_EPS_NORM_STDDEV_EST_REUT" hidden="1">"c5331"</definedName>
    <definedName name="IQ_EPS_NUM_EST" hidden="1">"c402"</definedName>
    <definedName name="IQ_EPS_NUM_EST_CIQ" hidden="1">"c4992"</definedName>
    <definedName name="IQ_EPS_NUM_EST_REUT" hidden="1">"c5451"</definedName>
    <definedName name="IQ_EPS_REPORT_ACT_OR_EST" hidden="1">"c2224"</definedName>
    <definedName name="IQ_EPS_REPORT_ACT_OR_EST_CIQ" hidden="1">"c5067"</definedName>
    <definedName name="IQ_EPS_REPORTED_EST" hidden="1">"c1744"</definedName>
    <definedName name="IQ_EPS_REPORTED_EST_CIQ" hidden="1">"c4730"</definedName>
    <definedName name="IQ_EPS_REPORTED_EST_REUT" hidden="1">"c5396"</definedName>
    <definedName name="IQ_EPS_REPORTED_HIGH_EST" hidden="1">"c1746"</definedName>
    <definedName name="IQ_EPS_REPORTED_HIGH_EST_CIQ" hidden="1">"c4732"</definedName>
    <definedName name="IQ_EPS_REPORTED_HIGH_EST_REUT" hidden="1">"c5398"</definedName>
    <definedName name="IQ_EPS_REPORTED_LOW_EST" hidden="1">"c1747"</definedName>
    <definedName name="IQ_EPS_REPORTED_LOW_EST_CIQ" hidden="1">"c4733"</definedName>
    <definedName name="IQ_EPS_REPORTED_LOW_EST_REUT" hidden="1">"c5399"</definedName>
    <definedName name="IQ_EPS_REPORTED_MEDIAN_EST" hidden="1">"c1745"</definedName>
    <definedName name="IQ_EPS_REPORTED_MEDIAN_EST_CIQ" hidden="1">"c4731"</definedName>
    <definedName name="IQ_EPS_REPORTED_MEDIAN_EST_REUT" hidden="1">"c5397"</definedName>
    <definedName name="IQ_EPS_REPORTED_NUM_EST" hidden="1">"c1748"</definedName>
    <definedName name="IQ_EPS_REPORTED_NUM_EST_CIQ" hidden="1">"c4734"</definedName>
    <definedName name="IQ_EPS_REPORTED_NUM_EST_REUT" hidden="1">"c5400"</definedName>
    <definedName name="IQ_EPS_REPORTED_STDDEV_EST" hidden="1">"c1749"</definedName>
    <definedName name="IQ_EPS_REPORTED_STDDEV_EST_CIQ" hidden="1">"c4735"</definedName>
    <definedName name="IQ_EPS_REPORTED_STDDEV_EST_REUT" hidden="1">"c5401"</definedName>
    <definedName name="IQ_EPS_SBC_ACT_OR_EST" hidden="1">"c4376"</definedName>
    <definedName name="IQ_EPS_SBC_ACT_OR_EST_CIQ" hidden="1">"c4901"</definedName>
    <definedName name="IQ_EPS_SBC_GW_ACT_OR_EST" hidden="1">"c4380"</definedName>
    <definedName name="IQ_EPS_SBC_GW_ACT_OR_EST_CIQ" hidden="1">"c4905"</definedName>
    <definedName name="IQ_EPS_STDDEV_EST" hidden="1">"c403"</definedName>
    <definedName name="IQ_EPS_STDDEV_EST_CIQ" hidden="1">"c4993"</definedName>
    <definedName name="IQ_EPS_STDDEV_EST_REUT" hidden="1">"c5452"</definedName>
    <definedName name="IQ_EQUITY_AFFIL" hidden="1">"c1451"</definedName>
    <definedName name="IQ_EQUITY_CAPITAL_ASSETS_FDIC" hidden="1">"c6744"</definedName>
    <definedName name="IQ_EQUITY_FDIC" hidden="1">"c6353"</definedName>
    <definedName name="IQ_EQUITY_METHOD" hidden="1">"c404"</definedName>
    <definedName name="IQ_EQUITY_NAME_AP" hidden="1">"c8925"</definedName>
    <definedName name="IQ_EQUITY_NAME_AP_ABS" hidden="1">"c8944"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_REUT" hidden="1">"c5409"</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GW_CIQ" hidden="1">"c4729"</definedName>
    <definedName name="IQ_EST_ACT_EPS_GW_REUT" hidden="1">"c5395"</definedName>
    <definedName name="IQ_EST_ACT_EPS_NORM" hidden="1">"c2232"</definedName>
    <definedName name="IQ_EST_ACT_EPS_NORM_CIQ" hidden="1">"c4673"</definedName>
    <definedName name="IQ_EST_ACT_EPS_NORM_REUT" hidden="1">"c5332"</definedName>
    <definedName name="IQ_EST_ACT_EPS_REPORTED" hidden="1">"c1750"</definedName>
    <definedName name="IQ_EST_ACT_EPS_REPORTED_CIQ" hidden="1">"c4736"</definedName>
    <definedName name="IQ_EST_ACT_EPS_REPORTED_REUT" hidden="1">"c5402"</definedName>
    <definedName name="IQ_EST_ACT_FFO" hidden="1">"c1666"</definedName>
    <definedName name="IQ_EST_ACT_FFO_REUT" hidden="1">"c3843"</definedName>
    <definedName name="IQ_EST_ACT_FFO_THOM" hidden="1">"c4005"</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BV_DIFF_REUT" hidden="1">"c5433"</definedName>
    <definedName name="IQ_EST_BV_SURPRISE_PERCENT_REUT" hidden="1">"c5434"</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CIQ" hidden="1">"c4769"</definedName>
    <definedName name="IQ_EST_CURRENCY_REUT" hidden="1">"c5437"</definedName>
    <definedName name="IQ_EST_DATE" hidden="1">"c1634"</definedName>
    <definedName name="IQ_EST_DATE_CIQ" hidden="1">"c4770"</definedName>
    <definedName name="IQ_EST_DATE_REUT" hidden="1">"c5438"</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1YR_CIQ" hidden="1">"c3628"</definedName>
    <definedName name="IQ_EST_EPS_GROWTH_1YR_REUT" hidden="1">"c3646"</definedName>
    <definedName name="IQ_EST_EPS_GROWTH_2YR" hidden="1">"c1637"</definedName>
    <definedName name="IQ_EST_EPS_GROWTH_5YR" hidden="1">"c1655"</definedName>
    <definedName name="IQ_EST_EPS_GROWTH_5YR_CIQ" hidden="1">"c3615"</definedName>
    <definedName name="IQ_EST_EPS_GROWTH_5YR_HIGH" hidden="1">"c1657"</definedName>
    <definedName name="IQ_EST_EPS_GROWTH_5YR_HIGH_CIQ" hidden="1">"c4663"</definedName>
    <definedName name="IQ_EST_EPS_GROWTH_5YR_LOW" hidden="1">"c1658"</definedName>
    <definedName name="IQ_EST_EPS_GROWTH_5YR_LOW_CIQ" hidden="1">"c4664"</definedName>
    <definedName name="IQ_EST_EPS_GROWTH_5YR_MEDIAN" hidden="1">"c1656"</definedName>
    <definedName name="IQ_EST_EPS_GROWTH_5YR_MEDIAN_CIQ" hidden="1">"c5480"</definedName>
    <definedName name="IQ_EST_EPS_GROWTH_5YR_NUM" hidden="1">"c1659"</definedName>
    <definedName name="IQ_EST_EPS_GROWTH_5YR_NUM_CIQ" hidden="1">"c4665"</definedName>
    <definedName name="IQ_EST_EPS_GROWTH_5YR_REUT" hidden="1">"c3633"</definedName>
    <definedName name="IQ_EST_EPS_GROWTH_5YR_STDDEV" hidden="1">"c1660"</definedName>
    <definedName name="IQ_EST_EPS_GROWTH_5YR_STDDEV_CIQ" hidden="1">"c4666"</definedName>
    <definedName name="IQ_EST_EPS_GROWTH_Q_1YR" hidden="1">"c1641"</definedName>
    <definedName name="IQ_EST_EPS_GROWTH_Q_1YR_CIQ" hidden="1">"c4744"</definedName>
    <definedName name="IQ_EST_EPS_GROWTH_Q_1YR_REUT" hidden="1">"c5410"</definedName>
    <definedName name="IQ_EST_EPS_GW_DIFF" hidden="1">"c1891"</definedName>
    <definedName name="IQ_EST_EPS_GW_DIFF_CIQ" hidden="1">"c4761"</definedName>
    <definedName name="IQ_EST_EPS_GW_DIFF_REUT" hidden="1">"c5429"</definedName>
    <definedName name="IQ_EST_EPS_GW_SURPRISE_PERCENT" hidden="1">"c1892"</definedName>
    <definedName name="IQ_EST_EPS_GW_SURPRISE_PERCENT_CIQ" hidden="1">"c4762"</definedName>
    <definedName name="IQ_EST_EPS_GW_SURPRISE_PERCENT_REUT" hidden="1">"c5430"</definedName>
    <definedName name="IQ_EST_EPS_NORM_DIFF" hidden="1">"c2247"</definedName>
    <definedName name="IQ_EST_EPS_NORM_DIFF_CIQ" hidden="1">"c4745"</definedName>
    <definedName name="IQ_EST_EPS_NORM_DIFF_REUT" hidden="1">"c5411"</definedName>
    <definedName name="IQ_EST_EPS_NORM_SURPRISE_PERCENT" hidden="1">"c2248"</definedName>
    <definedName name="IQ_EST_EPS_NORM_SURPRISE_PERCENT_CIQ" hidden="1">"c4746"</definedName>
    <definedName name="IQ_EST_EPS_NORM_SURPRISE_PERCENT_REUT" hidden="1">"c5412"</definedName>
    <definedName name="IQ_EST_EPS_REPORT_DIFF" hidden="1">"c1893"</definedName>
    <definedName name="IQ_EST_EPS_REPORT_DIFF_CIQ" hidden="1">"c4763"</definedName>
    <definedName name="IQ_EST_EPS_REPORT_DIFF_REUT" hidden="1">"c5431"</definedName>
    <definedName name="IQ_EST_EPS_REPORT_SURPRISE_PERCENT" hidden="1">"c1894"</definedName>
    <definedName name="IQ_EST_EPS_REPORT_SURPRISE_PERCENT_CIQ" hidden="1">"c4764"</definedName>
    <definedName name="IQ_EST_EPS_REPORT_SURPRISE_PERCENT_REUT" hidden="1">"c5432"</definedName>
    <definedName name="IQ_EST_EPS_SEQ_GROWTH_Q" hidden="1">"c1764"</definedName>
    <definedName name="IQ_EST_EPS_SURPRISE" hidden="1">"c1635"</definedName>
    <definedName name="IQ_EST_EPS_SURPRISE_PERCENT" hidden="1">"c1635"</definedName>
    <definedName name="IQ_EST_FFO_DIFF" hidden="1">"c1869"</definedName>
    <definedName name="IQ_EST_FFO_DIFF_REUT" hidden="1">"c3890"</definedName>
    <definedName name="IQ_EST_FFO_DIFF_THOM" hidden="1">"c5186"</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FFO_SURPRISE_PERCENT_REUT" hidden="1">"c3891"</definedName>
    <definedName name="IQ_EST_FFO_SURPRISE_PERCENT_THOM" hidden="1">"c5187"</definedName>
    <definedName name="IQ_EST_FOOTNOTE" hidden="1">"c4540"</definedName>
    <definedName name="IQ_EST_FOOTNOTE_CIQ" hidden="1">"c12022"</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BUY_REUT" hidden="1">"c3869"</definedName>
    <definedName name="IQ_EST_NUM_HOLD" hidden="1">"c1761"</definedName>
    <definedName name="IQ_EST_NUM_HOLD_REUT" hidden="1">"c3871"</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99101</definedName>
    <definedName name="IQ_EXPENSES_AP" hidden="1">"c8875"</definedName>
    <definedName name="IQ_EXPENSES_AP_ABS" hidden="1">"c8894"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D" hidden="1">"c8757"</definedName>
    <definedName name="IQ_FAD_PAYOUT_RATIO" hidden="1">"c8872"</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ADJ_ACT_OR_EST_CIQ" hidden="1">"c4960"</definedName>
    <definedName name="IQ_FFO_EST" hidden="1">"c418"</definedName>
    <definedName name="IQ_FFO_EST_REUT" hidden="1">"c3837"</definedName>
    <definedName name="IQ_FFO_EST_THOM" hidden="1">"c3999"</definedName>
    <definedName name="IQ_FFO_HIGH_EST" hidden="1">"c419"</definedName>
    <definedName name="IQ_FFO_HIGH_EST_REUT" hidden="1">"c3839"</definedName>
    <definedName name="IQ_FFO_HIGH_EST_THOM" hidden="1">"c4001"</definedName>
    <definedName name="IQ_FFO_LOW_EST" hidden="1">"c420"</definedName>
    <definedName name="IQ_FFO_LOW_EST_REUT" hidden="1">"c3840"</definedName>
    <definedName name="IQ_FFO_LOW_EST_THOM" hidden="1">"c4002"</definedName>
    <definedName name="IQ_FFO_MEDIAN_EST" hidden="1">"c1665"</definedName>
    <definedName name="IQ_FFO_MEDIAN_EST_REUT" hidden="1">"c3838"</definedName>
    <definedName name="IQ_FFO_MEDIAN_EST_THOM" hidden="1">"c4000"</definedName>
    <definedName name="IQ_FFO_NUM_EST" hidden="1">"c421"</definedName>
    <definedName name="IQ_FFO_NUM_EST_REUT" hidden="1">"c3841"</definedName>
    <definedName name="IQ_FFO_NUM_EST_THOM" hidden="1">"c4003"</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FO_STDDEV_EST" hidden="1">"c422"</definedName>
    <definedName name="IQ_FFO_STDDEV_EST_REUT" hidden="1">"c3842"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_CIQ" hidden="1">"c6806"</definedName>
    <definedName name="IQ_FISCAL_Y" hidden="1">"c441"</definedName>
    <definedName name="IQ_FISCAL_Y_EST_CIQ" hidden="1">"c6807"</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TARGET_PRICE" hidden="1">"c1651"</definedName>
    <definedName name="IQ_HIGH_TARGET_PRICE_CIQ" hidden="1">"c4659"</definedName>
    <definedName name="IQ_HIGH_TARGET_PRICE_REUT" hidden="1">"c5317"</definedName>
    <definedName name="IQ_HIGHPRICE" hidden="1">"c545"</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EARING_DEPOSITS" hidden="1">"c1166"</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K" hidden="1">1000</definedName>
    <definedName name="IQ_LATESTKFR" hidden="1">"100"</definedName>
    <definedName name="IQ_LATESTQ" hidden="1">500</definedName>
    <definedName name="IQ_LATESTQFR" hidden="1">"50"</definedName>
    <definedName name="IQ_LEAD_UNDERWRITER" hidden="1">"c8957"</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CIQ" hidden="1">"c4660"</definedName>
    <definedName name="IQ_LOW_TARGET_PRICE_REUT" hidden="1">"c5318"</definedName>
    <definedName name="IQ_LOWPRICE" hidden="1">"c673"</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 hidden="1">"c4458"</definedName>
    <definedName name="IQ_MAINT_CAPEX_ACT_OR_EST_CIQ" hidden="1">"c4987"</definedName>
    <definedName name="IQ_MAINT_CAPEX_EST" hidden="1">"c4457"</definedName>
    <definedName name="IQ_MAINT_CAPEX_HIGH_EST" hidden="1">"c4460"</definedName>
    <definedName name="IQ_MAINT_CAPEX_LOW_EST" hidden="1">"c4461"</definedName>
    <definedName name="IQ_MAINT_CAPEX_MEDIAN_EST" hidden="1">"c4462"</definedName>
    <definedName name="IQ_MAINT_CAPEX_NUM_EST" hidden="1">"c4463"</definedName>
    <definedName name="IQ_MAINT_CAPEX_STDDEV_EST" hidden="1">"c4464"</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REUT" hidden="1">"c4048"</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43019.5531828704</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EARNED" hidden="1">"c2734"</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"IQ_NET_INC_GROWTH_1"</definedName>
    <definedName name="IQ_NET_INC_GROWTH_2" hidden="1">"IQ_NET_INC_GROWTH_2"</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ACT_OR_EST_CIQ" hidden="1">"c5012"</definedName>
    <definedName name="IQ_NI_SBC_GW_ACT_OR_EST" hidden="1">"c4478"</definedName>
    <definedName name="IQ_NI_SBC_GW_ACT_OR_EST_CIQ" hidden="1">"c5016"</definedName>
    <definedName name="IQ_NI_SFAS" hidden="1">"c795"</definedName>
    <definedName name="IQ_NI_STDDEV_EST" hidden="1">"c1721"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 hidden="1">"c6240"</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DJUSTMENTS_COVERED" hidden="1">"c9961"</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0" hidden="1">"c954"</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SAVINGS_DEPOSITS_FDIC" hidden="1">"c6554"</definedName>
    <definedName name="IQ_OTHER_SQ_FT" hidden="1">"c8780"</definedName>
    <definedName name="IQ_OTHER_STRIKE_PRICE_GRANTED" hidden="1">"c2692"</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RTNERSHIP_INC_RE" hidden="1">"c12039"</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REUT" hidden="1">"c4049"</definedName>
    <definedName name="IQ_PE_NORMALIZED" hidden="1">"c2207"</definedName>
    <definedName name="IQ_PE_RATIO" hidden="1">"c1610"</definedName>
    <definedName name="IQ_PEG_FWD" hidden="1">"c1863"</definedName>
    <definedName name="IQ_PEG_FWD_CIQ" hidden="1">"c4045"</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FFO_12MONTHS" hidden="1">"c1828"</definedName>
    <definedName name="IQ_PERCENT_CHANGE_EST_FFO_12MONTHS_CIQ" hidden="1">"c3769"</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CIQ" hidden="1">"c3770"</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CIQ" hidden="1">"c3766"</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CIQ" hidden="1">"c3767"</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CIQ" hidden="1">"c3768"</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CIQ" hidden="1">"c3764"</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CIQ" hidden="1">"c3765"</definedName>
    <definedName name="IQ_PERCENT_CHANGE_EST_FFO_MONTH_REUT" hidden="1">"c3934"</definedName>
    <definedName name="IQ_PERCENT_CHANGE_EST_FFO_MONTH_THOM" hidden="1">"c5244"</definedName>
    <definedName name="IQ_PERCENT_CHANGE_EST_FFO_WEEK" hidden="1">"c1823"</definedName>
    <definedName name="IQ_PERCENT_CHANGE_EST_FFO_WEEK_CIQ" hidden="1">"c3795"</definedName>
    <definedName name="IQ_PERCENT_CHANGE_EST_FFO_WEEK_REUT" hidden="1">"c3964"</definedName>
    <definedName name="IQ_PERCENT_CHANGE_EST_FFO_WEEK_THOM" hidden="1">"c5274"</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IODDATE" hidden="1">"c1414"</definedName>
    <definedName name="IQ_PERIODDATE_BS" hidden="1">"c1032"</definedName>
    <definedName name="IQ_PERIODDATE_CF" hidden="1">"c1033"</definedName>
    <definedName name="IQ_PERIODDATE_FDIC" hidden="1">"c13646"</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TYPE" hidden="1">"c1611"</definedName>
    <definedName name="IQ_PHARMBIO_NUMBER_LICENSED_PATENTS" hidden="1">"c10017"</definedName>
    <definedName name="IQ_PHARMBIO_NUMBER_PATENTS" hidden="1">"c10015"</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OL_AMT_ORIGINAL" hidden="1">"c8970"</definedName>
    <definedName name="IQ_POOL_NAME" hidden="1">"c8967"</definedName>
    <definedName name="IQ_POOL_NUMBER" hidden="1">"c8968"</definedName>
    <definedName name="IQ_POOL_TYPE" hidden="1">"c8969"</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CIQ" hidden="1">"c3799"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EV_MONTHLY_FACTOR" hidden="1">"c8973"</definedName>
    <definedName name="IQ_PREV_MONTHLY_FACTOR_DATE" hidden="1">"c8974"</definedName>
    <definedName name="IQ_PRICE_CFPS_FWD" hidden="1">"c2237"</definedName>
    <definedName name="IQ_PRICE_OVER_BVPS" hidden="1">"c1412"</definedName>
    <definedName name="IQ_PRICE_OVER_EPS_EST" hidden="1">"IQ_PRICE_OVER_EPS_EST"</definedName>
    <definedName name="IQ_PRICE_OVER_EPS_EST_1" hidden="1">"IQ_PRICE_OVER_EPS_EST_1"</definedName>
    <definedName name="IQ_PRICE_OVER_LTM_EPS" hidden="1">"c1413"</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CIQ" hidden="1">"c3613"</definedName>
    <definedName name="IQ_PRICE_TARGET_REUT" hidden="1">"c3631"</definedName>
    <definedName name="IQ_PRICEDATE" hidden="1">"c1069"</definedName>
    <definedName name="IQ_PRICEDATETIME" hidden="1">"IQ_PRICEDATETIME"</definedName>
    <definedName name="IQ_PRICING_DATE" hidden="1">"c1613"</definedName>
    <definedName name="IQ_PRIMARY_EPS_TYPE_THOM" hidden="1">"c5297"</definedName>
    <definedName name="IQ_PRIMARY_INDUSTRY" hidden="1">"c1070"</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TITLE" hidden="1">"c1072"</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DEPR_AMORT" hidden="1">"c8750"</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GAIN_LOSS_SALE_ASSETS" hidden="1">"c8751"</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SHARE_ACT_OR_EST" hidden="1">"c4508"</definedName>
    <definedName name="IQ_RECURRING_PROFIT_SHARE_ACT_OR_EST_CIQ" hidden="1">"c5046"</definedName>
    <definedName name="IQ_REDEEM_PREF_STOCK" hidden="1">"c1417"</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AL_REV" hidden="1">"c1101"</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CAPITAL" hidden="1">"c1117"</definedName>
    <definedName name="IQ_RETURN_EMBEDDED_VALUE" hidden="1">"c9974"</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ACT_OR_EST_CIQ" hidden="1">"c5059"</definedName>
    <definedName name="IQ_REVENUE_EST" hidden="1">"c1126"</definedName>
    <definedName name="IQ_REVENUE_EST_1" hidden="1">"IQ_REVENUE_EST_1"</definedName>
    <definedName name="IQ_REVENUE_EST_CIQ" hidden="1">"c3616"</definedName>
    <definedName name="IQ_REVENUE_EST_REUT" hidden="1">"c3634"</definedName>
    <definedName name="IQ_REVENUE_GROWTH_1" hidden="1">"IQ_REVENUE_GROWTH_1"</definedName>
    <definedName name="IQ_REVENUE_GROWTH_2" hidden="1">"IQ_REVENUE_GROWTH_2"</definedName>
    <definedName name="IQ_REVENUE_HIGH_EST" hidden="1">"c1127"</definedName>
    <definedName name="IQ_REVENUE_HIGH_EST_CIQ" hidden="1">"c3618"</definedName>
    <definedName name="IQ_REVENUE_HIGH_EST_REUT" hidden="1">"c3636"</definedName>
    <definedName name="IQ_REVENUE_LOW_EST" hidden="1">"c1128"</definedName>
    <definedName name="IQ_REVENUE_LOW_EST_CIQ" hidden="1">"c3619"</definedName>
    <definedName name="IQ_REVENUE_LOW_EST_REUT" hidden="1">"c3637"</definedName>
    <definedName name="IQ_REVENUE_MEDIAN_EST" hidden="1">"c1662"</definedName>
    <definedName name="IQ_REVENUE_MEDIAN_EST_CIQ" hidden="1">"c3617"</definedName>
    <definedName name="IQ_REVENUE_MEDIAN_EST_REUT" hidden="1">"c3635"</definedName>
    <definedName name="IQ_REVENUE_NUM_EST" hidden="1">"c1129"</definedName>
    <definedName name="IQ_REVENUE_NUM_EST_CIQ" hidden="1">"c3620"</definedName>
    <definedName name="IQ_REVENUE_NUM_EST_REUT" hidden="1">"c3638"</definedName>
    <definedName name="IQ_REVOLVING_SECURED_1_4_NON_ACCRUAL_FFIEC" hidden="1">"c13314"</definedName>
    <definedName name="IQ_REVOLVING_SECURED_1_–4_NON_ACCRUAL_FFIEC" hidden="1">"c15565"</definedName>
    <definedName name="IQ_RISK_WEIGHTED_ASSETS_FDIC" hidden="1">"c6370"</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ERVICE_FEE" hidden="1">"c8951"</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 hidden="1">"c2171"</definedName>
    <definedName name="IQ_SP_DATE" hidden="1">"c2172"</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RUCT_FIN_CLASS" hidden="1">"c8950"</definedName>
    <definedName name="IQ_STRUCT_FIN_SERIES" hidden="1">"c8956"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CIQ" hidden="1">"c4661"</definedName>
    <definedName name="IQ_TARGET_PRICE_NUM_REUT" hidden="1">"c5319"</definedName>
    <definedName name="IQ_TARGET_PRICE_STDDEV" hidden="1">"c1654"</definedName>
    <definedName name="IQ_TARGET_PRICE_STDDEV_CIQ" hidden="1">"c4662"</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CIQ" hidden="1">"c4043"</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SUBTOTAL_AP" hidden="1">"c8989"</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ISK_BASED_CAPITAL_RATIO_FDIC" hidden="1">"c6747"</definedName>
    <definedName name="IQ_TOTAL_ROOMS" hidden="1">"c8789"</definedName>
    <definedName name="IQ_TOTAL_SECURITIES_FDIC" hidden="1">"c6306"</definedName>
    <definedName name="IQ_TOTAL_SPECIAL" hidden="1">"c1618"</definedName>
    <definedName name="IQ_TOTAL_ST_BORROW" hidden="1">"c1424"</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ITEM_CIQID" hidden="1">"c8949"</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106" hidden="1">"$A$107:$A$1361"</definedName>
    <definedName name="IQRA23" hidden="1">"$A$24:$A$1457"</definedName>
    <definedName name="IQRA302" hidden="1">"$A$303:$A$555"</definedName>
    <definedName name="IQRAB23" hidden="1">"$AB$24:$AB$2539"</definedName>
    <definedName name="IQRAE23" hidden="1">"$AE$24:$AE$2537"</definedName>
    <definedName name="IQRAF24" hidden="1">"$AF$25:$AF$2538"</definedName>
    <definedName name="IQRAN23" hidden="1">"$AN$24:$AN$2537"</definedName>
    <definedName name="IQRAO24" hidden="1">"$AO$25:$AO$2538"</definedName>
    <definedName name="IQRAW23" hidden="1">"$AW$24:$AW$2537"</definedName>
    <definedName name="IQRAX24" hidden="1">"$AX$25:$AX$2538"</definedName>
    <definedName name="IQRB2" hidden="1">"$B$3:$B$1513"</definedName>
    <definedName name="IQRB23" hidden="1">"$B$24:$B$1174"</definedName>
    <definedName name="IQRBF23" hidden="1">"$BF$24:$BF$2537"</definedName>
    <definedName name="IQRBG24" hidden="1">"$BG$25:$BG$2538"</definedName>
    <definedName name="IQRBO23" hidden="1">"$BO$24:$BO$2537"</definedName>
    <definedName name="IQRBX23" hidden="1">"$BX$24:$BX$2537"</definedName>
    <definedName name="IQRBY24" hidden="1">"$BY$25:$BY$2538"</definedName>
    <definedName name="IQRCapIQA7" hidden="1">'[23]Cap-IQ'!$A$10:$A$214</definedName>
    <definedName name="IQRCapIQB7" hidden="1">'[23]Cap-IQ'!$B$10:$B$214</definedName>
    <definedName name="IQRCapIQD7" hidden="1">'[24]Cap-IQ'!$D$8:$D$2525</definedName>
    <definedName name="IQRCapIQE7" hidden="1">'[24]Cap-IQ'!$E$8:$E$2525</definedName>
    <definedName name="IQRCapIQG7" hidden="1">'[24]Cap-IQ'!$G$8:$G$2525</definedName>
    <definedName name="IQRCapIQH7" hidden="1">'[24]Cap-IQ'!$H$8:$H$2525</definedName>
    <definedName name="IQRCapIQJ7" hidden="1">'[24]Cap-IQ'!$J$8:$J$2519</definedName>
    <definedName name="IQRCapIQK7" hidden="1">'[24]Cap-IQ'!$K$8:$K$2519</definedName>
    <definedName name="IQRCapIQM7" hidden="1">'[24]Cap-IQ'!$M$8:$M$2488</definedName>
    <definedName name="IQRCapIQN7" hidden="1">'[24]Cap-IQ'!$N$8:$N$2488</definedName>
    <definedName name="IQRCapIQP7" hidden="1">'[24]Cap-IQ'!$P$8:$P$2525</definedName>
    <definedName name="IQRCapIQQ7" hidden="1">'[24]Cap-IQ'!$Q$8:$Q$2525</definedName>
    <definedName name="IQRCG23" hidden="1">"$CG$24:$CG$2537"</definedName>
    <definedName name="IQRCH24" hidden="1">"$CH$25:$CH$2538"</definedName>
    <definedName name="IQRConvertibleNotePriceB9" hidden="1">#REF!</definedName>
    <definedName name="IQRCP23" hidden="1">"$CP$24:$CP$1511"</definedName>
    <definedName name="IQRCQ24" hidden="1">"$CQ$25:$CQ$2539"</definedName>
    <definedName name="IQRCU24" hidden="1">"$CU$25:$CU$2538"</definedName>
    <definedName name="IQRCY23" hidden="1">"$CY$24:$CY$2536"</definedName>
    <definedName name="IQRCY24" hidden="1">"$CY$25:$CY$2538"</definedName>
    <definedName name="IQRCZ24" hidden="1">"$CZ$25:$CZ$2537"</definedName>
    <definedName name="IQRD23" hidden="1">"$D$24:$D$1457"</definedName>
    <definedName name="IQRDA24" hidden="1">"$DA$25:$DA$2538"</definedName>
    <definedName name="IQRDC24" hidden="1">"$DC$25:$DC$2538"</definedName>
    <definedName name="IQRDE24" hidden="1">"$DE$25:$DE$2538"</definedName>
    <definedName name="IQRDG24" hidden="1">"$DG$25:$DG$2538"</definedName>
    <definedName name="IQRDH23" hidden="1">"$DH$24:$DH$2537"</definedName>
    <definedName name="IQRDI24" hidden="1">"$DI$25:$DI$2538"</definedName>
    <definedName name="IQRDK24" hidden="1">"$DK$25:$DK$2538"</definedName>
    <definedName name="IQRDM24" hidden="1">"$DM$25:$DM$2538"</definedName>
    <definedName name="IQRDO24" hidden="1">"$DO$25:$DO$2538"</definedName>
    <definedName name="IQRDQ24" hidden="1">"$DQ$25:$DQ$2538"</definedName>
    <definedName name="IQRDR23" hidden="1">"$DR$24:$DR$2537"</definedName>
    <definedName name="IQRDR24" hidden="1">"$DR$25:$DR$2538"</definedName>
    <definedName name="IQRDS23" hidden="1">"$DS$24:$DS$2537"</definedName>
    <definedName name="IQRDS24" hidden="1">"$DS$25:$DS$2538"</definedName>
    <definedName name="IQRH23" hidden="1">"$H$24:$H$2539"</definedName>
    <definedName name="IQRI106" hidden="1">"$I$107:$I$367"</definedName>
    <definedName name="IQRI302" hidden="1">"$I$303:$I$354"</definedName>
    <definedName name="IQRJ23" hidden="1">"$J$24:$J$2539"</definedName>
    <definedName name="IQRM23" hidden="1">"$M$24:$M$2537"</definedName>
    <definedName name="IQRN24" hidden="1">"$N$25:$N$2538"</definedName>
    <definedName name="IQRP23" hidden="1">"$P$24:$P$2539"</definedName>
    <definedName name="IQRQ23" hidden="1">"$Q$24"</definedName>
    <definedName name="IQRT23" hidden="1">"$T$24:$T$111"</definedName>
    <definedName name="IQRTestsB10" hidden="1">#REF!</definedName>
    <definedName name="IQRTestsB11" hidden="1">#REF!</definedName>
    <definedName name="IQRTestsB20" hidden="1">#REF!</definedName>
    <definedName name="IQRTestsC20" hidden="1">#REF!</definedName>
    <definedName name="IQRV23" hidden="1">"$V$24:$V$2537"</definedName>
    <definedName name="IQRVolatility_DataAA25" hidden="1">[25]Volatility_Data!$AA$26:$AA$1662</definedName>
    <definedName name="IQRVolatility_DataAF25" hidden="1">[25]Volatility_Data!$AF$26:$AF$1662</definedName>
    <definedName name="IQRVolatility_DataAH25" hidden="1">[25]Volatility_Data!$AH$26:$AH$1662</definedName>
    <definedName name="IQRVolatility_DataAM25" hidden="1">[25]Volatility_Data!$AM$26:$AM$1662</definedName>
    <definedName name="IQRVolatility_DataAO25" hidden="1">[25]Volatility_Data!$AO$26:$AO$1662</definedName>
    <definedName name="IQRVolatility_DataAT25" hidden="1">[25]Volatility_Data!$AT$26:$AT$1662</definedName>
    <definedName name="IQRVolatility_DataAV25" hidden="1">[25]Volatility_Data!$AV$26:$AV$1662</definedName>
    <definedName name="IQRVolatility_DataBA25" hidden="1">[25]Volatility_Data!$BA$26:$BA$1662</definedName>
    <definedName name="IQRVolatility_DataBC25" hidden="1">[25]Volatility_Data!$BC$26:$BC$1662</definedName>
    <definedName name="IQRVolatility_DataBH25" hidden="1">[25]Volatility_Data!$BH$26:$BH$1662</definedName>
    <definedName name="IQRVolatility_DataBJ25" hidden="1">[25]Volatility_Data!$BJ$26:$BJ$1662</definedName>
    <definedName name="IQRVolatility_DataD25" hidden="1">[25]Volatility_Data!$D$26:$D$1662</definedName>
    <definedName name="IQRVolatility_DataF25" hidden="1">[25]Volatility_Data!$F$26:$F$1662</definedName>
    <definedName name="IQRVolatility_DataK25" hidden="1">[25]Volatility_Data!$K$26:$K$1662</definedName>
    <definedName name="IQRVolatility_DataM25" hidden="1">[25]Volatility_Data!$M$26:$M$1662</definedName>
    <definedName name="IQRVolatility_DataR25" hidden="1">[25]Volatility_Data!$R$26:$R$1662</definedName>
    <definedName name="IQRVolatility_DataT25" hidden="1">[25]Volatility_Data!$T$26:$T$1662</definedName>
    <definedName name="IQRVolatility_DataY25" hidden="1">[25]Volatility_Data!$Y$26:$Y$1662</definedName>
    <definedName name="IQRVolatilityCalcAG24" hidden="1">#REF!</definedName>
    <definedName name="IQRVolatilityCalcAN24" hidden="1">#REF!</definedName>
    <definedName name="IQRVolatilityCalcAU24" hidden="1">#REF!</definedName>
    <definedName name="IQRVolatilityCalcBB24" hidden="1">#REF!</definedName>
    <definedName name="IQRVolatilityCalcBI24" hidden="1">#REF!</definedName>
    <definedName name="IQRVolatilityCalcBP24" hidden="1">#REF!</definedName>
    <definedName name="IQRVolatilityCalcBW24" hidden="1">#REF!</definedName>
    <definedName name="IQRVolatilityCalcCD24" hidden="1">#REF!</definedName>
    <definedName name="IQRVolatilityCalcCK24" hidden="1">#REF!</definedName>
    <definedName name="IQRVolatilityCalcCQ24" hidden="1">#REF!</definedName>
    <definedName name="IQRVolatilityCalcE24" hidden="1">#REF!</definedName>
    <definedName name="IQRVolatilityCalcL24" hidden="1">#REF!</definedName>
    <definedName name="IQRVolatilityCalcS24" hidden="1">#REF!</definedName>
    <definedName name="IQRVolatilityCalcZ24" hidden="1">#REF!</definedName>
    <definedName name="IQRW24" hidden="1">"$W$25:$W$2538"</definedName>
    <definedName name="IQRZ23" hidden="1">"$Z$24:$Z$2539"</definedName>
    <definedName name="iuashdlifjnas" hidden="1">{"CALG MONT TBAY VIEW",#N/A,FALSE,"Calgary, Montreal, T. Bay"}</definedName>
    <definedName name="j" hidden="1">{"EVA",#N/A,FALSE,"EVA";"WACC",#N/A,FALSE,"WACC"}</definedName>
    <definedName name="jjj" hidden="1">{#N/A,#N/A,TRUE,"4Q BCG";#N/A,#N/A,TRUE,"4Q w|o Wireless";#N/A,#N/A,TRUE,"4Q Wireless"}</definedName>
    <definedName name="jkj" hidden="1">{#N/A,#N/A,TRUE,"FY BCG";#N/A,#N/A,TRUE,"FY w|o Wireless";#N/A,#N/A,TRUE,"FY Wireless"}</definedName>
    <definedName name="jkluiluil" hidden="1">{#N/A,#N/A,FALSE,"PL";"no values",#N/A,FALSE,"value";#N/A,#N/A,FALSE,"PL%";#N/A,#N/A,FALSE,"R";#N/A,#N/A,FALSE,"MD";#N/A,#N/A,FALSE,"OpEx";#N/A,#N/A,FALSE,"CapEx";#N/A,#N/A,FALSE,"Stats"}</definedName>
    <definedName name="jllk" hidden="1">{#N/A,#N/A,TRUE,"Monthly Wireless";#N/A,#N/A,TRUE,"Qrt Wireless";#N/A,#N/A,TRUE,"FY Wireless";#N/A,#N/A,TRUE,"1Q Wireless";#N/A,#N/A,TRUE,"2Q Wireless";#N/A,#N/A,TRUE,"3Q Wireless";#N/A,#N/A,TRUE,"4Q Wireless"}</definedName>
    <definedName name="joe" hidden="1">{"DCF1",#N/A,FALSE,"SIERRA DCF";"MATRIX1",#N/A,FALSE,"SIERRA DCF"}</definedName>
    <definedName name="k" hidden="1">{"DCF","UPSIDE CASE",FALSE,"Sheet1";"DCF","BASE CASE",FALSE,"Sheet1";"DCF","DOWNSIDE CASE",FALSE,"Sheet1"}</definedName>
    <definedName name="kern" hidden="1">#REF!</definedName>
    <definedName name="kkern" hidden="1">#REF!</definedName>
    <definedName name="kkk" hidden="1">{"CSN M Detail",#N/A,FALSE,"Sch M Detail"}</definedName>
    <definedName name="kkk.pp" hidden="1">{"Ofcr Comp WP",#N/A,FALSE,"Ofcr Comp"}</definedName>
    <definedName name="ListOffset" hidden="1">1</definedName>
    <definedName name="ll.pp" hidden="1">{"SchMpg1",#N/A,FALSE,"TR Sch M";"SchMpg2",#N/A,FALSE,"TR Sch M"}</definedName>
    <definedName name="lll.ll" hidden="1">{"SchMpg1",#N/A,FALSE,"TR Sch M";"SchMpg2",#N/A,FALSE,"TR Sch M"}</definedName>
    <definedName name="LOOK"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M_PlaceofPath" hidden="1">"F:\MREGAN\win\EXL\CO\HVAC\WLV\WLV_vdf.xls"</definedName>
    <definedName name="MEWarning" hidden="1">1</definedName>
    <definedName name="mfgr" hidden="1">{"PAGE 1",#N/A,FALSE,"WEST_OT"}</definedName>
    <definedName name="mfgtest" hidden="1">{"PAGE 1",#N/A,FALSE,"WEST_OT"}</definedName>
    <definedName name="michel" hidden="1">7</definedName>
    <definedName name="mike" hidden="1">#REF!</definedName>
    <definedName name="mike2" hidden="1">#REF!</definedName>
    <definedName name="mikek" hidden="1">#REF!</definedName>
    <definedName name="mikke" hidden="1">#REF!</definedName>
    <definedName name="MOVED" hidden="1">{"CHART",#N/A,FALSE,"Arch Communications"}</definedName>
    <definedName name="MRG" hidden="1">{"INCOME",#N/A,FALSE,"ProNet";"VALUE",#N/A,FALSE,"ProNet"}</definedName>
    <definedName name="MRG2" hidden="1">{"INCOME",#N/A,FALSE,"ProNet";"VALUE",#N/A,FALSE,"ProNet"}</definedName>
    <definedName name="new" hidden="1">{#N/A,#N/A,FALSE,"PL";"no values",#N/A,FALSE,"value";#N/A,#N/A,FALSE,"PL%";#N/A,#N/A,FALSE,"R";#N/A,#N/A,FALSE,"MD";#N/A,#N/A,FALSE,"OpEx";#N/A,#N/A,FALSE,"CapEx";#N/A,#N/A,FALSE,"Stats"}</definedName>
    <definedName name="newdata" hidden="1">{"PAGE 1",#N/A,FALSE,"WEST_OT"}</definedName>
    <definedName name="newdata2" hidden="1">{"PAGE 1",#N/A,FALSE,"WEST_OT"}</definedName>
    <definedName name="nhjythh" hidden="1">{"DCF","UPSIDE CASE",FALSE,"Sheet1";"DCF","BASE CASE",FALSE,"Sheet1";"DCF","DOWNSIDE CASE",FALSE,"Sheet1"}</definedName>
    <definedName name="NO"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none" hidden="1">{#N/A,#N/A,FALSE,"PL";"no values",#N/A,FALSE,"value";#N/A,#N/A,FALSE,"PL%";#N/A,#N/A,FALSE,"R";#N/A,#N/A,FALSE,"MD";#N/A,#N/A,FALSE,"OpEx";#N/A,#N/A,FALSE,"CapEx";#N/A,#N/A,FALSE,"Stats"}</definedName>
    <definedName name="none2" hidden="1">{#N/A,#N/A,FALSE,"PL";"no values",#N/A,FALSE,"value";#N/A,#N/A,FALSE,"PL%";#N/A,#N/A,FALSE,"R";#N/A,#N/A,FALSE,"MD";#N/A,#N/A,FALSE,"OpEx";#N/A,#N/A,FALSE,"CapEx";#N/A,#N/A,FALSE,"Stats"}</definedName>
    <definedName name="old" hidden="1">#REF!</definedName>
    <definedName name="olddata" hidden="1">{"PAGE 1",#N/A,FALSE,"WEST_OT"}</definedName>
    <definedName name="olddata1" hidden="1">{"PAGE 1",#N/A,FALSE,"WEST_OT"}</definedName>
    <definedName name="olddata2" hidden="1">{"PAGE 1",#N/A,FALSE,"WEST_OT"}</definedName>
    <definedName name="olddata3" hidden="1">{"PAGE 1",#N/A,FALSE,"WEST_OT"}</definedName>
    <definedName name="oldname" hidden="1">{#N/A,#N/A,FALSE,"Index";#N/A,#N/A,FALSE,"IncStmt";#N/A,#N/A,FALSE,"Ratios";#N/A,#N/A,FALSE,"CashFlows";#N/A,#N/A,FALSE,"Ins1";#N/A,#N/A,FALSE,"Ins2";#N/A,#N/A,FALSE,"SelfFund";#N/A,#N/A,FALSE,"SGA";#N/A,#N/A,FALSE,"Recon";#N/A,#N/A,FALSE,"Earnings";#N/A,#N/A,FALSE,"Earnings (2)";#N/A,#N/A,FALSE,"Stock";#N/A,#N/A,FALSE,"Stock (2)";#N/A,#N/A,FALSE,"PeerRatios";#N/A,#N/A,FALSE,"PeerRanks"}</definedName>
    <definedName name="oo" hidden="1">#REF!</definedName>
    <definedName name="oskdock" hidden="1">[26]Data!$AE$29</definedName>
    <definedName name="patty" hidden="1">{"PAGE 1",#N/A,FALSE,"WEST_OT"}</definedName>
    <definedName name="perm" hidden="1">{"PAGE 1",#N/A,FALSE,"WEST_OT"}</definedName>
    <definedName name="perm1" hidden="1">{"PAGE 1",#N/A,FALSE,"WEST_OT"}</definedName>
    <definedName name="perm3" hidden="1">{"PAGE 1",#N/A,FALSE,"WEST_OT"}</definedName>
    <definedName name="perm4" hidden="1">{"PAGE 1",#N/A,FALSE,"WEST_OT"}</definedName>
    <definedName name="perm5" hidden="1">{"PAGE 2",#N/A,FALSE,"WEST_OT"}</definedName>
    <definedName name="perm6" hidden="1">{"PAGE 2",#N/A,FALSE,"WEST_OT"}</definedName>
    <definedName name="perm7" hidden="1">{"PAGE 1",#N/A,FALSE,"WEST_OT"}</definedName>
    <definedName name="PJAM3Yr" hidden="1">{"INCOME",#N/A,FALSE,"ProNet";"VALUE",#N/A,FALSE,"ProNet"}</definedName>
    <definedName name="plph12" hidden="1">[19]Data!$T$10</definedName>
    <definedName name="po" hidden="1">{#N/A,#N/A,TRUE,"Monthly Wireless";#N/A,#N/A,TRUE,"Qrt Wireless";#N/A,#N/A,TRUE,"FY Wireless";#N/A,#N/A,TRUE,"1Q Wireless";#N/A,#N/A,TRUE,"2Q Wireless";#N/A,#N/A,TRUE,"3Q Wireless";#N/A,#N/A,TRUE,"4Q Wireless"}</definedName>
    <definedName name="PopCache_GL_INTERFACE_REFERENCE7" hidden="1">[27]PopCache!$A$1:$A$2</definedName>
    <definedName name="pots" hidden="1">{"Ofcr Comp Stmt 4",#N/A,FALSE,"Ofcr Comp"}</definedName>
    <definedName name="PRN2" hidden="1">{"adj95mult",#N/A,FALSE,"COMPCO";"adj95est",#N/A,FALSE,"COMPCO"}</definedName>
    <definedName name="profimp2" hidden="1">{"PAGE 1",#N/A,FALSE,"WEST_OT"}</definedName>
    <definedName name="profimp3" hidden="1">{"PAGE 2",#N/A,FALSE,"WEST_OT"}</definedName>
    <definedName name="profimp5" hidden="1">{"PAGE 1",#N/A,FALSE,"WEST_OT"}</definedName>
    <definedName name="profimptest" hidden="1">{"PAGE 2",#N/A,FALSE,"WEST_OT"}</definedName>
    <definedName name="puui" hidden="1">{#N/A,#N/A,TRUE,"Qrt BCG";#N/A,#N/A,TRUE,"Qrt w|o Wireless";#N/A,#N/A,TRUE,"Qrt Wireless"}</definedName>
    <definedName name="QLGC" hidden="1">{"CHART",#N/A,FALSE,"Arch Communications"}</definedName>
    <definedName name="ReportGroup" hidden="1">0</definedName>
    <definedName name="reqrweq" hidden="1">{#N/A,#N/A,FALSE,"PL";"no values",#N/A,FALSE,"value";#N/A,#N/A,FALSE,"PL%";#N/A,#N/A,FALSE,"R";#N/A,#N/A,FALSE,"MD";#N/A,#N/A,FALSE,"OpEx";#N/A,#N/A,FALSE,"CapEx";#N/A,#N/A,FALSE,"Stats"}</definedName>
    <definedName name="RESTATED197" hidden="1">#REF!</definedName>
    <definedName name="ret34t34t" hidden="1">{#N/A,#N/A,FALSE,"PL";"no values",#N/A,FALSE,"value";#N/A,#N/A,FALSE,"PL%";#N/A,#N/A,FALSE,"R";#N/A,#N/A,FALSE,"MD";#N/A,#N/A,FALSE,"OpEx";#N/A,#N/A,FALSE,"CapEx";#N/A,#N/A,FALSE,"Stats"}</definedName>
    <definedName name="s" hidden="1">{"adj95mult",#N/A,FALSE,"COMPCO";"adj95est",#N/A,FALSE,"COMPCO"}</definedName>
    <definedName name="sadd" hidden="1">{"DCF","UPSIDE CASE",FALSE,"Sheet1";"DCF","BASE CASE",FALSE,"Sheet1";"DCF","DOWNSIDE CASE",FALSE,"Sheet1"}</definedName>
    <definedName name="SAPBEXdnldView" hidden="1">"4CDI85R7N5L0A995VZUYDH9U8"</definedName>
    <definedName name="SAPBEXsysID" hidden="1">"PBW"</definedName>
    <definedName name="sdas" hidden="1">{"Total",#N/A,FALSE,"Six Fields";"PDP",#N/A,FALSE,"Six Fields";"PNP",#N/A,FALSE,"Six Fields";"PUD",#N/A,FALSE,"Six Fields";"Prob",#N/A,FALSE,"Six Fields"}</definedName>
    <definedName name="sdasd" hidden="1">{"EVA",#N/A,FALSE,"EVA";"WACC",#N/A,FALSE,"WACC"}</definedName>
    <definedName name="sdfasdfsd"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hidden="1">{#N/A,#N/A,FALSE,"Nov 96";#N/A,#N/A,FALSE,"Dec 96";#N/A,#N/A,FALSE,"Jan 97";#N/A,#N/A,FALSE,"Feb 97";#N/A,#N/A,FALSE,"Mar 97";#N/A,#N/A,FALSE,"Apr 97";#N/A,#N/A,FALSE,"May 97";#N/A,#N/A,FALSE,"Jun 97";#N/A,#N/A,FALSE,"Jul 97";#N/A,#N/A,FALSE,"Aug 97";#N/A,#N/A,FALSE,"Sep 97";#N/A,#N/A,FALSE,"Oct 97"}</definedName>
    <definedName name="segfsdvgfsd" hidden="1">{"page1",#N/A,FALSE,"BHCOMPC5";"page2",#N/A,FALSE,"BHCOMPC5";"page3",#N/A,FALSE,"BHCOMPC5";"page4",#N/A,FALSE,"BHCOMPC5"}</definedName>
    <definedName name="sencount" hidden="1">1</definedName>
    <definedName name="sfads" hidden="1">{"EVA",#N/A,FALSE,"EVA";"WACC",#N/A,FALSE,"WACC"}</definedName>
    <definedName name="sfgsdfsdf" hidden="1">{#N/A,#N/A,FALSE,"PL";"no values",#N/A,FALSE,"value";#N/A,#N/A,FALSE,"PL%";#N/A,#N/A,FALSE,"R";#N/A,#N/A,FALSE,"MD";#N/A,#N/A,FALSE,"OpEx";#N/A,#N/A,FALSE,"CapEx";#N/A,#N/A,FALSE,"Stats"}</definedName>
    <definedName name="sgag" hidden="1">{"page1",#N/A,FALSE,"BHCOMPC5";"page2",#N/A,FALSE,"BHCOMPC5";"page3",#N/A,FALSE,"BHCOMPC5";"page4",#N/A,FALSE,"BHCOMPC5"}</definedName>
    <definedName name="solver_adj" hidden="1">[28]DIL4!#REF!</definedName>
    <definedName name="solver_lhs1" hidden="1">[28]DIL4!#REF!</definedName>
    <definedName name="solver_lin" hidden="1">0</definedName>
    <definedName name="solver_num" hidden="1">1</definedName>
    <definedName name="solver_opt" hidden="1">[28]DIL4!#REF!</definedName>
    <definedName name="solver_rel1" hidden="1">1</definedName>
    <definedName name="solver_rhs1" hidden="1">0.15</definedName>
    <definedName name="solver_tmp" hidden="1">0.15</definedName>
    <definedName name="solver_typ" hidden="1">3</definedName>
    <definedName name="solver_val" hidden="1">0.25</definedName>
    <definedName name="sss" hidden="1">{#N/A,#N/A,FALSE,"PL";"no values",#N/A,FALSE,"value";#N/A,#N/A,FALSE,"PL%";#N/A,#N/A,FALSE,"R";#N/A,#N/A,FALSE,"MD";#N/A,#N/A,FALSE,"OpEx";#N/A,#N/A,FALSE,"CapEx";#N/A,#N/A,FALSE,"Stats"}</definedName>
    <definedName name="stipend" hidden="1">{#N/A,#N/A,FALSE,"value";#N/A,#N/A,FALSE,"PL";#N/A,#N/A,FALSE,"PL%";#N/A,#N/A,FALSE,"R";#N/A,#N/A,FALSE,"MD";#N/A,#N/A,FALSE,"OpEx";#N/A,#N/A,FALSE,"CapEx";#N/A,#N/A,FALSE,"Stats"}</definedName>
    <definedName name="SubsGrowth" hidden="1">[21]DS_Industry_Specif!$H$1</definedName>
    <definedName name="t" hidden="1">{"DCF","UPSIDE CASE",FALSE,"Sheet1";"DCF","BASE CASE",FALSE,"Sheet1";"DCF","DOWNSIDE CASE",FALSE,"Sheet1"}</definedName>
    <definedName name="te" hidden="1">#REF!</definedName>
    <definedName name="temp" hidden="1">#REF!</definedName>
    <definedName name="temp1" hidden="1">{"PAGE 1",#N/A,FALSE,"WEST_OT"}</definedName>
    <definedName name="temp2" hidden="1">{"PAGE 1",#N/A,FALSE,"WEST_OT"}</definedName>
    <definedName name="temp3" hidden="1">{"PAGE 1",#N/A,FALSE,"WEST_OT"}</definedName>
    <definedName name="tempe" hidden="1">#REF!</definedName>
    <definedName name="tempp" hidden="1">#REF!</definedName>
    <definedName name="temppp" hidden="1">#REF!</definedName>
    <definedName name="temppppp" hidden="1">#REF!</definedName>
    <definedName name="tempw" hidden="1">#REF!</definedName>
    <definedName name="tepm" hidden="1">#REF!</definedName>
    <definedName name="tesg4" hidden="1">{"PAGE 1",#N/A,FALSE,"WEST_OT"}</definedName>
    <definedName name="test1" hidden="1">{"PAGE 1",#N/A,FALSE,"WEST_OT"}</definedName>
    <definedName name="test10" hidden="1">{"PAGE 1",#N/A,FALSE,"WEST_OT"}</definedName>
    <definedName name="test11" hidden="1">{"PAGE 1",#N/A,FALSE,"WEST_OT"}</definedName>
    <definedName name="test12" hidden="1">{"PAGE 2",#N/A,FALSE,"WEST_OT"}</definedName>
    <definedName name="test13" hidden="1">{"PAGE 2",#N/A,FALSE,"WEST_OT"}</definedName>
    <definedName name="test14" hidden="1">{"PAGE 1",#N/A,FALSE,"WEST_OT"}</definedName>
    <definedName name="test15" hidden="1">{"PAGE 1",#N/A,FALSE,"WEST_OT"}</definedName>
    <definedName name="test2" hidden="1">{"PAGE 2",#N/A,FALSE,"WEST_OT"}</definedName>
    <definedName name="test20" hidden="1">{"PAGE 1",#N/A,FALSE,"WEST_OT"}</definedName>
    <definedName name="test21" hidden="1">{"PAGE 1",#N/A,FALSE,"WEST_OT"}</definedName>
    <definedName name="test22" hidden="1">{"PAGE 1",#N/A,FALSE,"WEST_OT"}</definedName>
    <definedName name="test23" hidden="1">{"PAGE 1",#N/A,FALSE,"WEST_OT"}</definedName>
    <definedName name="test24" hidden="1">{"PAGE 1",#N/A,FALSE,"WEST_OT"}</definedName>
    <definedName name="test25" hidden="1">{"PAGE 1",#N/A,FALSE,"WEST_OT"}</definedName>
    <definedName name="test26" hidden="1">{"PAGE 1",#N/A,FALSE,"WEST_OT"}</definedName>
    <definedName name="test27" hidden="1">{"PAGE 1",#N/A,FALSE,"WEST_OT"}</definedName>
    <definedName name="test28" hidden="1">{"PAGE 1",#N/A,FALSE,"WEST_OT"}</definedName>
    <definedName name="test29" hidden="1">{"PAGE 1",#N/A,FALSE,"WEST_OT"}</definedName>
    <definedName name="test3" hidden="1">{"PAGE 1",#N/A,FALSE,"WEST_OT"}</definedName>
    <definedName name="test30" hidden="1">{"PAGE 2",#N/A,FALSE,"WEST_OT"}</definedName>
    <definedName name="test31" hidden="1">{"PAGE 1",#N/A,FALSE,"WEST_OT"}</definedName>
    <definedName name="test32" hidden="1">{"PAGE 1",#N/A,FALSE,"WEST_OT"}</definedName>
    <definedName name="test33" hidden="1">{"PAGE 1",#N/A,FALSE,"WEST_OT"}</definedName>
    <definedName name="test34" hidden="1">{"PAGE 1",#N/A,FALSE,"WEST_OT"}</definedName>
    <definedName name="test35" hidden="1">{"PAGE 1",#N/A,FALSE,"WEST_OT"}</definedName>
    <definedName name="test36" hidden="1">{"PAGE 1",#N/A,FALSE,"WEST_OT"}</definedName>
    <definedName name="test37" hidden="1">{"PAGE 2",#N/A,FALSE,"WEST_OT"}</definedName>
    <definedName name="test38" hidden="1">{"PAGE 1",#N/A,FALSE,"WEST_OT"}</definedName>
    <definedName name="test39" hidden="1">{"PAGE 1",#N/A,FALSE,"WEST_OT"}</definedName>
    <definedName name="test4" hidden="1">{"PAGE 1",#N/A,FALSE,"WEST_OT"}</definedName>
    <definedName name="test40" hidden="1">{"PAGE 2",#N/A,FALSE,"WEST_OT"}</definedName>
    <definedName name="test41" hidden="1">{"PAGE 1",#N/A,FALSE,"WEST_OT"}</definedName>
    <definedName name="test42" hidden="1">{"PAGE 1",#N/A,FALSE,"WEST_OT"}</definedName>
    <definedName name="test43" hidden="1">{"PAGE 2",#N/A,FALSE,"WEST_OT"}</definedName>
    <definedName name="test44" hidden="1">{"PAGE 2",#N/A,FALSE,"WEST_OT"}</definedName>
    <definedName name="test45" hidden="1">{"PAGE 1",#N/A,FALSE,"WEST_OT"}</definedName>
    <definedName name="test46" hidden="1">{"PAGE 1",#N/A,FALSE,"WEST_OT"}</definedName>
    <definedName name="test5" hidden="1">{"PAGE 1",#N/A,FALSE,"WEST_OT"}</definedName>
    <definedName name="test6" hidden="1">{"PAGE 2",#N/A,FALSE,"WEST_OT"}</definedName>
    <definedName name="test7" hidden="1">{"PAGE 2",#N/A,FALSE,"WEST_OT"}</definedName>
    <definedName name="test8" hidden="1">{"PAGE 1",#N/A,FALSE,"WEST_OT"}</definedName>
    <definedName name="test9" hidden="1">{"PAGE 1",#N/A,FALSE,"WEST_OT"}</definedName>
    <definedName name="TextRefCopyRangeCount" hidden="1">2</definedName>
    <definedName name="tryu" hidden="1">{#N/A,#N/A,TRUE,"Monthly w|o Wireless";#N/A,#N/A,TRUE,"Qrt w|o Wireless";#N/A,#N/A,TRUE,"FY w|o Wireless";#N/A,#N/A,TRUE,"1Q w|o Wireless";#N/A,#N/A,TRUE,"2Q w|o Wireless";#N/A,#N/A,TRUE,"3Q w|o Wireless";#N/A,#N/A,TRUE,"4Q w|o Wireless"}</definedName>
    <definedName name="tt" hidden="1">#REF!</definedName>
    <definedName name="ttt" hidden="1">#REF!</definedName>
    <definedName name="TTTT" hidden="1">{"PAGE 1",#N/A,FALSE,"WEST_OT"}</definedName>
    <definedName name="tttttt" hidden="1">#REF!</definedName>
    <definedName name="tttttttt" hidden="1">#REF!</definedName>
    <definedName name="tyujuyj" hidden="1">{#N/A,#N/A,FALSE,"value";#N/A,#N/A,FALSE,"PL";#N/A,#N/A,FALSE,"PL%";#N/A,#N/A,FALSE,"R";#N/A,#N/A,FALSE,"MD";#N/A,#N/A,FALSE,"OpEx";#N/A,#N/A,FALSE,"CapEx";#N/A,#N/A,FALSE,"Stats"}</definedName>
    <definedName name="uilouiluiol" hidden="1">{#N/A,#N/A,FALSE,"value";#N/A,#N/A,FALSE,"PL";#N/A,#N/A,FALSE,"PL%";#N/A,#N/A,FALSE,"R";#N/A,#N/A,FALSE,"MD";#N/A,#N/A,FALSE,"OpEx";#N/A,#N/A,FALSE,"CapEx";#N/A,#N/A,FALSE,"Stats"}</definedName>
    <definedName name="uyioluluiluil" hidden="1">{#N/A,#N/A,FALSE,"value";#N/A,#N/A,FALSE,"PL";#N/A,#N/A,FALSE,"PL%";#N/A,#N/A,FALSE,"R";#N/A,#N/A,FALSE,"MD";#N/A,#N/A,FALSE,"OpEx";#N/A,#N/A,FALSE,"CapEx";#N/A,#N/A,FALSE,"Stats"}</definedName>
    <definedName name="vv" hidden="1">{"adj95mult",#N/A,FALSE,"COMPCO";"adj95est",#N/A,FALSE,"COMPCO"}</definedName>
    <definedName name="w" hidden="1">{"DCF1",#N/A,FALSE,"SIERRA DCF";"MATRIX1",#N/A,FALSE,"SIERRA DCF"}</definedName>
    <definedName name="w3t34t45t" hidden="1">{#N/A,#N/A,FALSE,"PL";"no values",#N/A,FALSE,"value";#N/A,#N/A,FALSE,"PL%";#N/A,#N/A,FALSE,"R";#N/A,#N/A,FALSE,"MD";#N/A,#N/A,FALSE,"OpEx";#N/A,#N/A,FALSE,"CapEx";#N/A,#N/A,FALSE,"Stats"}</definedName>
    <definedName name="wa" hidden="1">[22]Data!#REF!</definedName>
    <definedName name="WACC3" hidden="1">{"adj95mult",#N/A,FALSE,"COMPCO";"adj95est",#N/A,FALSE,"COMPCO"}</definedName>
    <definedName name="werfwerwer" hidden="1">{#N/A,#N/A,FALSE,"PL";"no values",#N/A,FALSE,"value";#N/A,#N/A,FALSE,"PL%";#N/A,#N/A,FALSE,"R";#N/A,#N/A,FALSE,"MD";#N/A,#N/A,FALSE,"OpEx";#N/A,#N/A,FALSE,"CapEx";#N/A,#N/A,FALSE,"Stats"}</definedName>
    <definedName name="wert" hidden="1">{#N/A,#N/A,TRUE,"1Q BCG";#N/A,#N/A,TRUE,"1Q w|o Wireless";#N/A,#N/A,TRUE,"1Q Wireless"}</definedName>
    <definedName name="wfwerf" hidden="1">{#N/A,#N/A,FALSE,"PL";"no values",#N/A,FALSE,"value";#N/A,#N/A,FALSE,"PL%";#N/A,#N/A,FALSE,"R";#N/A,#N/A,FALSE,"MD";#N/A,#N/A,FALSE,"OpEx";#N/A,#N/A,FALSE,"CapEx";#N/A,#N/A,FALSE,"Stats"}</definedName>
    <definedName name="wrn.1st._.Quarter." hidden="1">{#N/A,#N/A,TRUE,"1Q BCG";#N/A,#N/A,TRUE,"1Q w|o Wireless";#N/A,#N/A,TRUE,"1Q Wireless"}</definedName>
    <definedName name="wrn.2nd._.Quarter." hidden="1">{#N/A,#N/A,TRUE,"2Q BCG";#N/A,#N/A,TRUE,"2Q w|o Wireless";#N/A,#N/A,TRUE,"2Q Wireless"}</definedName>
    <definedName name="wrn.3cases." hidden="1">{#N/A,"Base",FALSE,"Dividend";#N/A,"Conservative",FALSE,"Dividend";#N/A,"Downside",FALSE,"Dividend"}</definedName>
    <definedName name="wrn.3rd._.Quarter." hidden="1">{#N/A,#N/A,TRUE,"3Q BCG";#N/A,#N/A,TRUE,"3Q w|o Wireless";#N/A,#N/A,TRUE,"3Q Wireless"}</definedName>
    <definedName name="wrn.4th._.Quarter." hidden="1">{#N/A,#N/A,TRUE,"4Q BCG";#N/A,#N/A,TRUE,"4Q w|o Wireless";#N/A,#N/A,TRUE,"4Q Wireless"}</definedName>
    <definedName name="wrn.7._.Year._.FS." hidden="1">{"VP1-7",#N/A,FALSE,"Variables";"VP2-7",#N/A,FALSE,"Variables";"Layered PL7",#N/A,FALSE,"FS";"Ratios7",#N/A,FALSE,"Ratios";"Summary PL7",#N/A,FALSE,"FS";"BS7",#N/A,FALSE,"FS";"CF7",#N/A,FALSE,"FS"}</definedName>
    <definedName name="wrn.abc" hidden="1">{#N/A,#N/A,FALSE,"Index";#N/A,#N/A,FALSE,"IncStmt";#N/A,#N/A,FALSE,"Ratios";#N/A,#N/A,FALSE,"CashFlows";#N/A,#N/A,FALSE,"Ins1";#N/A,#N/A,FALSE,"Ins2";#N/A,#N/A,FALSE,"SelfFund";#N/A,#N/A,FALSE,"SGA";#N/A,#N/A,FALSE,"Recon";#N/A,#N/A,FALSE,"Earnings";#N/A,#N/A,FALSE,"Earnings (2)";#N/A,#N/A,FALSE,"Stock";#N/A,#N/A,FALSE,"Stock (2)";#N/A,#N/A,FALSE,"PeerRatios";#N/A,#N/A,FALSE,"PeerRanks"}</definedName>
    <definedName name="wrn.Acquisition_matrix." hidden="1">{"Acq_matrix",#N/A,FALSE,"Acquisition Matrix"}</definedName>
    <definedName name="wrn.adj95." hidden="1">{"adj95mult",#N/A,FALSE,"COMPCO";"adj95est",#N/A,FALSE,"COMPCO"}</definedName>
    <definedName name="wrn.Aging._.and._.Trend._.Analysis." hidden="1">{#N/A,#N/A,FALSE,"Aging Summary";#N/A,#N/A,FALSE,"Ratio Analysis";#N/A,#N/A,FALSE,"Test 120 Day Accts";#N/A,#N/A,FALSE,"Tickmarks"}</definedName>
    <definedName name="wrn.ALL." hidden="1">{#N/A,#N/A,FALSE,"Qrt Fcst";#N/A,#N/A,FALSE,"Qrt Fcst vs Plan &amp; PY";#N/A,#N/A,FALSE,"FY Fcst vs Plan &amp; PY";#N/A,#N/A,FALSE,"EVA CAP";#N/A,#N/A,FALSE,"EVA NOPAT"}</definedName>
    <definedName name="wrn.ALL._....original." hidden="1">{#N/A,#N/A,FALSE,"Qrt Fcst";#N/A,#N/A,FALSE,"Qrt Fcst vs Plan &amp; PY";#N/A,#N/A,FALSE,"FY Fcst vs Plan &amp; PY";#N/A,#N/A,FALSE,"EVA CAP";#N/A,#N/A,FALSE,"EVA NOPAT"}</definedName>
    <definedName name="wrn.all._.reports." hidden="1">{#N/A,#N/A,FALSE,"B";#N/A,#N/A,FALSE,"A"}</definedName>
    <definedName name="wrn.AQUIROR._.DCF." hidden="1">{"AQUIRORDCF",#N/A,FALSE,"Merger consequences";"Acquirorassns",#N/A,FALSE,"Merger consequences"}</definedName>
    <definedName name="wrn.backup." hidden="1">{"background",#N/A,FALSE,"CS First Boston Merger Model";"inputs",#N/A,FALSE,"CS First Boston Merger Model"}</definedName>
    <definedName name="wrn.balance._.sheet." hidden="1">{"bs",#N/A,FALSE,"SCF"}</definedName>
    <definedName name="wrn.Basic." hidden="1">{#N/A,#N/A,FALSE,"Cover";#N/A,#N/A,FALSE,"Assumptions";#N/A,#N/A,FALSE,"Acquirer";#N/A,#N/A,FALSE,"Target";#N/A,#N/A,FALSE,"Income Statement";#N/A,#N/A,FALSE,"Summary Tables"}</definedName>
    <definedName name="wrn.BCG._.All._.Periods." hidden="1">{#N/A,#N/A,TRUE,"Monthly BCG";#N/A,#N/A,TRUE,"Qrt BCG";#N/A,#N/A,TRUE,"FY BCG";#N/A,#N/A,TRUE,"1Q BCG";#N/A,#N/A,TRUE,"2Q BCG";#N/A,#N/A,TRUE,"3Q BCG";#N/A,#N/A,TRUE,"4Q BCG"}</definedName>
    <definedName name="wrn.BT._.Sch._.M._.Detail." hidden="1">{"Sch M Detail",#N/A,FALSE,"Sch M Detail"}</definedName>
    <definedName name="wrn.ccroll." hidden="1">{"Admin.",#N/A,FALSE,"ccs";"Alloc.",#N/A,FALSE,"ccs";"BS Inactive",#N/A,FALSE,"ccs";"CU Eng.",#N/A,FALSE,"ccs";"CU Mfg.",#N/A,FALSE,"ccs";"CU Mfg.",#N/A,FALSE,"ccs";"CU Mktg.",#N/A,FALSE,"ccs";"CU PM",#N/A,FALSE,"ccs";"Eng.",#N/A,FALSE,"ccs";"FBR Admin",#N/A,FALSE,"ccs";"FBR China",#N/A,FALSE,"ccs";"FBR Eng.",#N/A,FALSE,"ccs";"FBR Mktg.",#N/A,FALSE,"ccs";"FBR PM",#N/A,FALSE,"ccs";"FRBMfg",#N/A,FALSE,"ccs";"Mfg.",#N/A,FALSE,"ccs";"Mktg.",#N/A,FALSE,"ccs";"Non Op.",#N/A,FALSE,"ccs";"Sales",#N/A,FALSE,"ccs";"WLS Admin.",#N/A,FALSE,"ccs";"WLS Eng.",#N/A,FALSE,"ccs";"WLS Mfg.",#N/A,FALSE,"ccs";"WLS Mktg.",#N/A,FALSE,"ccs";"WLS PM",#N/A,FALSE,"ccs"}</definedName>
    <definedName name="wrn.CHART." hidden="1">{"CHART",#N/A,FALSE,"Arch Communications"}</definedName>
    <definedName name="wrn.compco." hidden="1">{"mult96",#N/A,FALSE,"PETCOMP";"est96",#N/A,FALSE,"PETCOMP";"mult95",#N/A,FALSE,"PETCOMP";"est95",#N/A,FALSE,"PETCOMP";"multltm",#N/A,FALSE,"PETCOMP";"resultltm",#N/A,FALSE,"PETCOMP"}</definedName>
    <definedName name="wrn.compco2" hidden="1">{"page1",#N/A,FALSE,"BHCOMPC5";"page2",#N/A,FALSE,"BHCOMPC5";"page3",#N/A,FALSE,"BHCOMPC5";"page4",#N/A,FALSE,"BHCOMPC5"}</definedName>
    <definedName name="wrn.Complete._.Report." hidden="1">{#N/A,#N/A,FALSE,"Title Page";#N/A,#N/A,FALSE,"Assumptions";#N/A,#N/A,FALSE,"EBITDA";#N/A,#N/A,FALSE,"Debt";#N/A,#N/A,FALSE,"Cov";#N/A,#N/A,FALSE,"ERET";#N/A,#N/A,FALSE,"DRET";#N/A,#N/A,FALSE,"Balance Sheet";#N/A,#N/A,FALSE,"Plan Summary"}</definedName>
    <definedName name="wrn.CONBS." hidden="1">{#N/A,#N/A,FALSE,"Conbalance";#N/A,#N/A,FALSE,"MPSCbs";#N/A,#N/A,FALSE,"MHSCbs";#N/A,#N/A,FALSE,"GFSbs";#N/A,#N/A,FALSE,"IMONICSbs"}</definedName>
    <definedName name="wrn.CONINCOME." hidden="1">{#N/A,#N/A,FALSE,"Conincome";#N/A,#N/A,FALSE,"MPSCis";#N/A,#N/A,FALSE,"mhscIS";#N/A,#N/A,FALSE,"GFSis";#N/A,#N/A,FALSE,"IMONICS"}</definedName>
    <definedName name="wrn.contributory._.asset._.charges." hidden="1">{"contributory1",#N/A,FALSE,"Contributory Assets Detail";"contributory2",#N/A,FALSE,"Contributory Assets Detail"}</definedName>
    <definedName name="wrn.cotop." hidden="1">{"ReportTop",#N/A,FALSE,"report top"}</definedName>
    <definedName name="wrn.CSN._.M._.Detail." hidden="1">{"CSN M Detail",#N/A,FALSE,"Sch M Detail"}</definedName>
    <definedName name="wrn.Customer_base." hidden="1">{"customer base",#N/A,FALSE,"customer_base";"customer base perf estimates",#N/A,FALSE,"customer_base"}</definedName>
    <definedName name="wrn.DCF." hidden="1">{"DCF1",#N/A,FALSE,"SIERRA DCF";"MATRIX1",#N/A,FALSE,"SIERRA DCF"}</definedName>
    <definedName name="wrn.DCF_Terminal_Value_qchm." hidden="1">{"qchm_dcf",#N/A,FALSE,"QCHMDCF2";"qchm_terminal",#N/A,FALSE,"QCHMDCF2"}</definedName>
    <definedName name="wrn.dcf2" hidden="1">{"DCF1",#N/A,FALSE,"SIERRA DCF";"MATRIX1",#N/A,FALSE,"SIERRA DCF"}</definedName>
    <definedName name="wrn.Divisional._.IS." hidden="1">{"Elkton IS",#N/A,FALSE,"Elkton IS";"Marion IS",#N/A,FALSE,"Marion IS";"Clinton IS",#N/A,FALSE,"Clinton IS";"Sebewaing IS",#N/A,FALSE,"Sebewaing IS";"T&amp;E IS",#N/A,FALSE,"T&amp;E IS";"Pedals IS",#N/A,FALSE,"Pedals IS";"Homes IS",#N/A,FALSE,"Homes IS";"Development IS",#N/A,FALSE,"Development IS"}</definedName>
    <definedName name="wrn.documentation." hidden="1">{"documentation1",#N/A,FALSE,"Documentation";"documentation2",#N/A,FALSE,"Documentation"}</definedName>
    <definedName name="wrn.Economic._.Value._.Added._.Analysis." hidden="1">{"EVA",#N/A,FALSE,"EVA";"WACC",#N/A,FALSE,"WACC"}</definedName>
    <definedName name="wrn.Fcst._.by._.Mon." hidden="1">{"Fcst by Mon Full",#N/A,FALSE,"Tot PalmPalm";"Fcst by Mon Full",#N/A,FALSE,"Tot Device";"Fcst by Mon Full",#N/A,FALSE,"Platform";"Fcst by Mon Full",#N/A,FALSE,"Palm.Net";"Fcst by Mon Full",#N/A,FALSE,"Elim"}</definedName>
    <definedName name="wrn.Fcst._.by._.Qtr." hidden="1">{"Fcst by Qtr Full",#N/A,FALSE,"Tot PalmPalm";"Fcst by Qtr Full",#N/A,FALSE,"Tot Device";"Fcst by Qtr Full",#N/A,FALSE,"Platform";"Fcst by Qtr Full",#N/A,FALSE,"Palm.Net";"Fcst by Qtr Full",#N/A,FALSE,"Elim"}</definedName>
    <definedName name="wrn.Fed._.4797." hidden="1">{"Fed 4797",#N/A,FALSE,"4797"}</definedName>
    <definedName name="wrn.Ferro." hidden="1">{"matt","zero",FALSE,"CS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iscal._.Year." hidden="1">{#N/A,#N/A,TRUE,"FY BCG";#N/A,#N/A,TRUE,"FY w|o Wireless";#N/A,#N/A,TRUE,"FY Wireless"}</definedName>
    <definedName name="wrn.FOUR._.CASES." hidden="1">{"MODEL","ALL STOCK",FALSE,"CS First Boston Merger Model";"MODEL","ALL CASH",FALSE,"CS First Boston Merger Model";"MODEL","ALL CASH WITH EQUITY OFFERING",FALSE,"CS First Boston Merger Model";"MODEL","HALF CASH/HALF STOCK",FALSE,"CS First Boston Merger Model"}</definedName>
    <definedName name="wrn.Freq_Res." hidden="1">{#N/A,#N/A,TRUE,"FR_HC";#N/A,#N/A,TRUE,"FR_REST";#N/A,#N/A,TRUE,"FR_RETA";#N/A,#N/A,TRUE,"FR_TECSOF";#N/A,#N/A,TRUE,"FR_NETTEC";#N/A,#N/A,TRUE,"FR_CLISER"}</definedName>
    <definedName name="wrn.Full." hidden="1">{"Comp1",#N/A,FALSE,"COMP";"Comp2",#N/A,FALSE,"COMP";"Comp3",#N/A,FALSE,"COMP";"Comp4",#N/A,FALSE,"COMP"}</definedName>
    <definedName name="wrn.full._.report."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wrn.GEER_report." hidden="1">{#N/A,#N/A,FALSE,"Table_Ass.";#N/A,#N/A,FALSE,"# of cust";#N/A,#N/A,FALSE,"Res_Report";#N/A,#N/A,FALSE,"Income Statement";"Qtr Cust",#N/A,FALSE,"Qtrly Proj"}</definedName>
    <definedName name="wrn.gth." hidden="1">{#N/A,#N/A,FALSE,"Title Page";#N/A,#N/A,FALSE,"Summary Sheet"}</definedName>
    <definedName name="wrn.Historical._.Financials." hidden="1">{"Summary PL",#N/A,FALSE,"Summary PL";"Summary BS",#N/A,FALSE,"Summary BS";"12-31-02 PL 12",#N/A,FALSE,"12-31-02 PL 12";"12-31-01 PL 12",#N/A,FALSE,"12-31-01 PL 12";"12-31-00 PL 12",#N/A,FALSE,"12-31-00 PL 12";"12-31-99 PL 12",#N/A,FALSE,"12-31-99 PL 12";"12-31-98 PL 12",#N/A,FALSE,"12-31-98 PL 12";"12-31-97 PL 6",#N/A,FALSE,"12-31-97 PL 6";"12-31-97 BS",#N/A,FALSE,"12-31-97 BS";"6-30-97 PL 12",#N/A,FALSE,"6-30-97 PL 12";"6-30-97 BS",#N/A,FALSE,"6-30-97 BS";"6-30-96 PL 12",#N/A,FALSE,"6-30-96 PL 12";"6-30-96 BS",#N/A,FALSE,"6-30-96 BS"}</definedName>
    <definedName name="wrn.IS._.Years." hidden="1">{"IS Years",#N/A,FALSE,"Income Statement"}</definedName>
    <definedName name="wrn.IVTI_Rep." hidden="1">{#N/A,#N/A,FALSE,"Title Page";#N/A,#N/A,FALSE,"Summary Sheet";#N/A,#N/A,FALSE,"Fiscal Year Income Statement";#N/A,#N/A,FALSE,"Valuation Summary";#N/A,#N/A,FALSE,"Comps with IVT";#N/A,#N/A,FALSE,"Comps without IVT"}</definedName>
    <definedName name="wrn.JODM._.Graphs." hidden="1">{"graph",#N/A,FALSE,"WWJU";"graph",#N/A,FALSE,"WWSEM";"graph",#N/A,FALSE,"GOMJU";"graph",#N/A,FALSE,"GOMSEM";"graph",#N/A,FALSE,"NSJU";"graph",#N/A,FALSE,"NSSEM";"graph",#N/A,FALSE,"WAJU";"graph",#N/A,FALSE,"STOCKPRI";"graph",#N/A,FALSE,"CFTEV";"graph",#N/A,FALSE,"NAV-RCV";"graph",#N/A,FALSE,"CRUDEWW"}</definedName>
    <definedName name="wrn.Main._.Fields." hidden="1">{"Total",#N/A,FALSE,"Laurel";"PDP",#N/A,FALSE,"Laurel";"PNP",#N/A,FALSE,"Laurel";"PUD",#N/A,FALSE,"Laurel";"Total",#N/A,FALSE,"Summerland";"Prob",#N/A,FALSE,"Laurel";"PDP",#N/A,FALSE,"Summerland";"PNP",#N/A,FALSE,"Summerland";"PUD",#N/A,FALSE,"Summerland";"Prob",#N/A,FALSE,"Summerland";"Total",#N/A,FALSE,"Soso";"PDP",#N/A,FALSE,"Soso";"PNP",#N/A,FALSE,"Soso";"PUD",#N/A,FALSE,"Soso";"Prob",#N/A,FALSE,"Soso";"Total",#N/A,FALSE,"Martinville";"PDP",#N/A,FALSE,"Martinville";"PNP",#N/A,FALSE,"Martinville";"PUD",#N/A,FALSE,"Martinville";"Prob",#N/A,FALSE,"Martinville";"Total",#N/A,FALSE,"Brookhaven";"PDP",#N/A,FALSE,"Brookhaven";"PNP",#N/A,FALSE,"Brookhaven";"PUD",#N/A,FALSE,"Brookhaven";"Prob",#N/A,FALSE,"Brookhaven";"Total",#N/A,FALSE,"Monroe";"PDP",#N/A,FALSE,"Monroe";"PNP",#N/A,FALSE,"Monroe";"PUD",#N/A,FALSE,"Monroe";"Prob",#N/A,FALSE,"Monroe"}</definedName>
    <definedName name="wrn.Model._.Detail." hidden="1">{"Corp Val",#N/A,FALSE,"Corp Val";"Liquidation Value",#N/A,FALSE,"Corp Val";"Well Count",#N/A,FALSE,"Wells";"Finding Cost",#N/A,FALSE,"Res Add Sum";"Operating Assumptions",#N/A,FALSE,"Assumptions";"DD&amp;A",#N/A,FALSE,"Res Add Sum"}</definedName>
    <definedName name="wrn.Monthlys." hidden="1">{#N/A,#N/A,TRUE,"Monthly BCG";#N/A,#N/A,TRUE,"Monthly w|o Wireless";#N/A,#N/A,TRUE,"Monthly Wireless"}</definedName>
    <definedName name="wrn.Munsell." hidden="1">{#N/A,#N/A,FALSE,"Index";#N/A,#N/A,FALSE,"IncStmt";#N/A,#N/A,FALSE,"Ratios";#N/A,#N/A,FALSE,"CashFlows";#N/A,#N/A,FALSE,"Ins1";#N/A,#N/A,FALSE,"Ins2";#N/A,#N/A,FALSE,"SelfFund";#N/A,#N/A,FALSE,"SGA";#N/A,#N/A,FALSE,"Recon";#N/A,#N/A,FALSE,"Earnings";#N/A,#N/A,FALSE,"Earnings (2)";#N/A,#N/A,FALSE,"Stock";#N/A,#N/A,FALSE,"Stock (2)";#N/A,#N/A,FALSE,"PeerRatios";#N/A,#N/A,FALSE,"PeerRanks"}</definedName>
    <definedName name="wrn.newoutput" hidden="1">{"DCF","UPSIDE CASE",FALSE,"Sheet1";"DCF","BASE CASE",FALSE,"Sheet1";"DCF","DOWNSIDE CASE",FALSE,"Sheet1"}</definedName>
    <definedName name="wrn.Ofcr._.Comp._.Stmt._.4." hidden="1">{"Ofcr Comp Stmt 4",#N/A,FALSE,"Ofcr Comp"}</definedName>
    <definedName name="wrn.Ofcr._.Comp._.WP." hidden="1">{"Ofcr Comp WP",#N/A,FALSE,"Ofcr Comp"}</definedName>
    <definedName name="wrn.Olk._.by._.Qtr." hidden="1">{"Olk by Qtr Full",#N/A,FALSE,"Tot PalmPalm";"Olk by Qtr Full",#N/A,FALSE,"Tot Device";"Olk by Qtr Full",#N/A,FALSE,"Platform";"Olk by Qtr Full",#N/A,FALSE,"Palm.Net";"Olk by Qtr Full",#N/A,FALSE,"Elim"}</definedName>
    <definedName name="wrn.ONTK." hidden="1">{#N/A,#N/A,FALSE,"Title Page";#N/A,#N/A,FALSE,"Summary Sheet";#N/A,#N/A,FALSE,"Quarterly Income Statement";#N/A,#N/A,FALSE,"Proforma QTR Income Statement";#N/A,#N/A,FALSE,"Fiscal Year Income Statement";#N/A,#N/A,FALSE,"Valuation Summary";#N/A,#N/A,FALSE,"Comps Without";#N/A,#N/A,FALSE,"Comps With"}</definedName>
    <definedName name="wrn.OUTPUT." hidden="1">{"DCF","UPSIDE CASE",FALSE,"Sheet1";"DCF","BASE CASE",FALSE,"Sheet1";"DCF","DOWNSIDE CASE",FALSE,"Sheet1"}</definedName>
    <definedName name="wrn.PAGE._.1." hidden="1">{"PAGE 1",#N/A,FALSE,"WEST_OT"}</definedName>
    <definedName name="wrn.PAGE._.2." hidden="1">{"PAGE 2",#N/A,FALSE,"WEST_OT"}</definedName>
    <definedName name="wrn.PAGE._.3." hidden="1">{"PAGE 2",#N/A,FALSE,"WEST_OT"}</definedName>
    <definedName name="wrn.Plan._.EVA." hidden="1">{#N/A,#N/A,FALSE,"Nov 96";#N/A,#N/A,FALSE,"Dec 96";#N/A,#N/A,FALSE,"Jan 97";#N/A,#N/A,FALSE,"Feb 97";#N/A,#N/A,FALSE,"Mar 97";#N/A,#N/A,FALSE,"Apr 97";#N/A,#N/A,FALSE,"May 97";#N/A,#N/A,FALSE,"Jun 97";#N/A,#N/A,FALSE,"Jul 97";#N/A,#N/A,FALSE,"Aug 97";#N/A,#N/A,FALSE,"Sep 97";#N/A,#N/A,FALSE,"Oct 97"}</definedName>
    <definedName name="wrn.PLX." hidden="1">{"cred comp",#N/A,FALSE,"Comparable Credit Analysis";"IS",#N/A,FALSE,"IS";"Sensitivity",#N/A,FALSE,"Sensitivity";"BS",#N/A,FALSE,"BS";"Bond Summary",#N/A,FALSE,"B Summary";"AD",#N/A,FALSE,"Accretion";"NAV",#N/A,FALSE,"NAV";"SU",#N/A,FALSE,"S&amp;U";"acq. study",#N/A,FALSE,"Acq. Study";"F Charges",#N/A,FALSE,"Fixed Charges"}</definedName>
    <definedName name="wrn.Print._.All." hidden="1">{"Str Model",#N/A,TRUE,"Store Model";"RevProj By QTR",#N/A,TRUE,"Rev Proj";"RevProj By Yr",#N/A,TRUE,"Rev Proj";"Qtr Model",#N/A,TRUE,"Model";"Bal Sheet",#N/A,TRUE,"Bal Sheet";"Cash Flow",#N/A,TRUE,"Cash Flow";"Yrly Model",#N/A,TRUE,"Income Year"}</definedName>
    <definedName name="wrn.print._.all._.sheets."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Disk."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graphs." hidden="1">{"cap_structure",#N/A,FALSE,"Graph-Mkt Cap";"price",#N/A,FALSE,"Graph-Price";"ebit",#N/A,FALSE,"Graph-EBITDA";"ebitda",#N/A,FALSE,"Graph-EBITDA"}</definedName>
    <definedName name="wrn.print._.raw._.data._.entry." hidden="1">{"inputs raw data",#N/A,TRUE,"INPUT"}</definedName>
    <definedName name="wrn.print._.summary._.sheets." hidden="1">{"summary1",#N/A,TRUE,"Comps";"summary2",#N/A,TRUE,"Comps";"summary3",#N/A,TRUE,"Comps"}</definedName>
    <definedName name="wrn.Printout." hidden="1">{"page1",#N/A,FALSE,"Casual RLE";"page2",#N/A,FALSE,"Casual RLE"}</definedName>
    <definedName name="wrn.Pro._.forma._.financial._.statements." hidden="1">{"Ratios",#N/A,FALSE,"Ratios";"Summary PL",#N/A,FALSE,"FS";"Cash Flow",#N/A,FALSE,"FS";"Balance Sheet",#N/A,FALSE,"FS";"operating assumptions",#N/A,FALSE,"Assumptions";"Variable Page 1",#N/A,FALSE,"Variables";"finding cost",#N/A,FALSE,"Finding Cost";"DD&amp;A",#N/A,FALSE,"Res Add Sum";"corpval1",#N/A,FALSE,"Corp Val";"liquidation value",#N/A,FALSE,"Corp Val"}</definedName>
    <definedName name="wrn.Projection._.Inputs." hidden="1">{"Elkton Input 3",#N/A,FALSE,"Elkton Months";"Elkton Input 1",#N/A,FALSE,"Elkton Inputs";"Elkton Input 2",#N/A,FALSE,"Elkton Inputs";"Marion Input 3",#N/A,FALSE,"Marion Months";"Marion Input 1",#N/A,FALSE,"Marion Inputs";"Marion Input 2",#N/A,FALSE,"Marion Inputs";"Clinton Input 3",#N/A,FALSE,"Clinton Months";"Clinton Input 1",#N/A,FALSE,"Clinton Inputs";"Clinton Input 2",#N/A,FALSE,"Clinton Inputs";"Sebewaing Input 3",#N/A,FALSE,"Sebewaing Months";"Sebewaing Input 1",#N/A,FALSE,"Sebewaing Inputs";"Sebewaing Input 2",#N/A,FALSE,"Sebewaing Inputs"}</definedName>
    <definedName name="wrn.Quarterly._.Report." hidden="1">{#N/A,#N/A,FALSE,"Summary Information";#N/A,#N/A,FALSE,"Investment Details";#N/A,#N/A,FALSE,"Cap Table";#N/A,#N/A,FALSE,"Financials"}</definedName>
    <definedName name="wrn.Quarterlys." hidden="1">{#N/A,#N/A,TRUE,"Qrt BCG";#N/A,#N/A,TRUE,"Qrt w|o Wireless";#N/A,#N/A,TRUE,"Qrt Wireless"}</definedName>
    <definedName name="wrn.revenue._.detail." hidden="1">{"revenue detail 1",#N/A,FALSE,"Revenue Detail";"revenue detail 2",#N/A,FALSE,"Revenue Detail";"revenue detail 3",#N/A,FALSE,"Revenue Detail";"revenue detail 4",#N/A,FALSE,"Revenue Detail"}</definedName>
    <definedName name="wrn.Roiproj." hidden="1">{"totdeal",#N/A,FALSE,"roi"}</definedName>
    <definedName name="wrn.Roll._.Up._.Fields." hidden="1">{"Total",#N/A,FALSE,"Six Fields";"PDP",#N/A,FALSE,"Six Fields";"PNP",#N/A,FALSE,"Six Fields";"PUD",#N/A,FALSE,"Six Fields";"Prob",#N/A,FALSE,"Six Fields"}</definedName>
    <definedName name="wrn.sales." hidden="1">{"sales",#N/A,FALSE,"Sales";"sales existing",#N/A,FALSE,"Sales";"sales rd1",#N/A,FALSE,"Sales";"sales rd2",#N/A,FALSE,"Sales"}</definedName>
    <definedName name="wrn.SchM." hidden="1">{"SchMpg1",#N/A,FALSE,"TR Sch M";"SchMpg2",#N/A,FALSE,"TR Sch M"}</definedName>
    <definedName name="wrn.Subject._.Preliminary." hidden="1">{#N/A,#N/A,FALSE,"PL";"no values",#N/A,FALSE,"value";#N/A,#N/A,FALSE,"PL%";#N/A,#N/A,FALSE,"R";#N/A,#N/A,FALSE,"MD";#N/A,#N/A,FALSE,"OpEx";#N/A,#N/A,FALSE,"CapEx";#N/A,#N/A,FALSE,"Stats"}</definedName>
    <definedName name="wrn.Summary." hidden="1">{"Sum1",#N/A,FALSE,"Reserve Report";"Sum2",#N/A,FALSE,"Reserve Report";"Sum3",#N/A,FALSE,"Reserve Report";"Sum4",#N/A,FALSE,"Reserve Report"}</definedName>
    <definedName name="wrn.summary._.schedules." hidden="1">{"summary1",#N/A,FALSE,"Summary of Values";"summary2",#N/A,FALSE,"Summary of Values"}</definedName>
    <definedName name="wrn.TARGET._.DCF." hidden="1">{"targetdcf",#N/A,FALSE,"Merger consequences";"TARGETASSU",#N/A,FALSE,"Merger consequences";"TERMINAL VALUE",#N/A,FALSE,"Merger consequences"}</definedName>
    <definedName name="wrn.technology." hidden="1">{"developed valuation",#N/A,FALSE,"Valuation Analysis";"developed income statement",#N/A,FALSE,"Abbreviated Income Statement";"inprocess valuation",#N/A,FALSE,"Valuation Analysis";"inprocess income statement",#N/A,FALSE,"Abbreviated Income Statement"}</definedName>
    <definedName name="wrn.Test." hidden="1">{#N/A,#N/A,FALSE,"Availability";#N/A,#N/A,FALSE,"Loan Stats";#N/A,#N/A,FALSE,"Clltrl Ln Smmry";#N/A,#N/A,FALSE,"AR Stats";#N/A,#N/A,FALSE,"AR Sum";#N/A,#N/A,FALSE,"Recs";#N/A,#N/A,FALSE,"Ship,CM Rev"}</definedName>
    <definedName name="wrn.Textron." hidden="1">{#N/A,#N/A,FALSE,"IS";#N/A,#N/A,FALSE,"SG";#N/A,#N/A,FALSE,"FF";#N/A,#N/A,FALSE,"BS";#N/A,#N/A,FALSE,"DCF";#N/A,#N/A,FALSE,"EVA";#N/A,#N/A,FALSE,"Air";#N/A,#N/A,FALSE,"Car";#N/A,#N/A,FALSE,"Ind";#N/A,#N/A,FALSE,"Sys";#N/A,#N/A,FALSE,"Fin";#N/A,#N/A,FALSE,"Ces";#N/A,#N/A,FALSE,"Bell"}</definedName>
    <definedName name="wrn.TheWholeEnchilada." hidden="1">{"CSheet",#N/A,FALSE,"C";"SmCap",#N/A,FALSE,"VAL1";"GulfCoast",#N/A,FALSE,"VAL1";"nav",#N/A,FALSE,"NAV";"Summary",#N/A,FALSE,"NAV"}</definedName>
    <definedName name="wrn.three" hidden="1">{"EVA",#N/A,FALSE,"EVA";"WACC",#N/A,FALSE,"WACC"}</definedName>
    <definedName name="wrn.Total._.Proved." hidden="1">{"Total",#N/A,FALSE,"Total Proved";"PDP",#N/A,FALSE,"Total Proved";"PNP",#N/A,FALSE,"Total Proved";"PUD",#N/A,FALSE,"Total Proved"}</definedName>
    <definedName name="wrn.Total._.Proved._.plus._.Probable." hidden="1">{"Total",#N/A,FALSE,"Total Proved + Probable";"PDP",#N/A,FALSE,"Total Proved + Probable";"PNP",#N/A,FALSE,"Total Proved + Probable";"PUD",#N/A,FALSE,"Total Proved + Probable";"Prob",#N/A,FALSE,"Total Proved + Probable"}</definedName>
    <definedName name="wrn.trademark._.and._.trade._.name." hidden="1">{"trademark1",#N/A,FALSE,"Trademark(s) and Trade Name(s)"}</definedName>
    <definedName name="wrn.U.S.._.Industries._.Inc.." hidden="1">{#N/A,#N/A,TRUE,"3QRpt";#N/A,#N/A,TRUE,"EST";#N/A,#N/A,TRUE,"HOUSE";#N/A,#N/A,TRUE,"REC";#N/A,#N/A,TRUE,"SHOE";#N/A,#N/A,TRUE,"BLD";#N/A,#N/A,TRUE,"IND";#N/A,#N/A,TRUE,"COMP";#N/A,#N/A,TRUE,"COMP2";#N/A,#N/A,TRUE,"KEEP";#N/A,#N/A,TRUE,"IntExp";#N/A,#N/A,TRUE,"Proceeds"}</definedName>
    <definedName name="wrn.valuation._.complete." hidden="1">{#N/A,#N/A,FALSE,"value";#N/A,#N/A,FALSE,"PL";#N/A,#N/A,FALSE,"PL%";#N/A,#N/A,FALSE,"R";#N/A,#N/A,FALSE,"MD";#N/A,#N/A,FALSE,"OpEx";#N/A,#N/A,FALSE,"CapEx";#N/A,#N/A,FALSE,"Stats"}</definedName>
    <definedName name="wrn.wara." hidden="1">{"weighted average returns",#N/A,FALSE,"WACC and WARA"}</definedName>
    <definedName name="wrn.Wireless." hidden="1">{#N/A,#N/A,TRUE,"Monthly Wireless";#N/A,#N/A,TRUE,"Qrt Wireless";#N/A,#N/A,TRUE,"FY Wireless";#N/A,#N/A,TRUE,"1Q Wireless";#N/A,#N/A,TRUE,"2Q Wireless";#N/A,#N/A,TRUE,"3Q Wireless";#N/A,#N/A,TRUE,"4Q Wireless"}</definedName>
    <definedName name="wrn.without._.Wireless._.All._.Periods." hidden="1">{#N/A,#N/A,TRUE,"Monthly w|o Wireless";#N/A,#N/A,TRUE,"Qrt w|o Wireless";#N/A,#N/A,TRUE,"FY w|o Wireless";#N/A,#N/A,TRUE,"1Q w|o Wireless";#N/A,#N/A,TRUE,"2Q w|o Wireless";#N/A,#N/A,TRUE,"3Q w|o Wireless";#N/A,#N/A,TRUE,"4Q w|o Wireless"}</definedName>
    <definedName name="wrn.work._.paper._.shcedules." hidden="1">{"summary1",#N/A,FALSE,"Summary of Values";"summary2",#N/A,FALSE,"Summary of Values";"weighted average returns",#N/A,FALSE,"WACC and WARA";"fixed asset detail",#N/A,FALSE,"Fixed Asset Detail"}</definedName>
    <definedName name="wrn.WP._.4797." hidden="1">{"WP 4797",#N/A,FALSE,"4797"}</definedName>
    <definedName name="wrn.WW._.M._.Detail." hidden="1">{"WW M Detail",#N/A,FALSE,"Sch M Detail"}</definedName>
    <definedName name="wrn1.Print._.Disk."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ww.wki" hidden="1">{"CSN M Detail",#N/A,FALSE,"Sch M Detail"}</definedName>
    <definedName name="x" hidden="1">{"PAGE 2",#N/A,FALSE,"WEST_OT"}</definedName>
    <definedName name="XREF_COLUMN_1" hidden="1">'[29].1 Manhattan Beach'!#REF!</definedName>
    <definedName name="XRefActiveRow" hidden="1">#REF!</definedName>
    <definedName name="XRefColumnsCount" hidden="1">1</definedName>
    <definedName name="XRefCopy2" hidden="1">'[29].1 Manhattan Beach'!#REF!</definedName>
    <definedName name="XRefCopy22" hidden="1">'[30].1 Manhattan Beach'!#REF!</definedName>
    <definedName name="XRefCopy2Row" hidden="1">#REF!</definedName>
    <definedName name="XRefCopy3" hidden="1">'[29].1 Manhattan Beach'!#REF!</definedName>
    <definedName name="XRefCopy3Row" hidden="1">#REF!</definedName>
    <definedName name="xrefcopy4" hidden="1">'[30].1 Manhattan Beach'!#REF!</definedName>
    <definedName name="XRefCopyRangeCount" hidden="1">3</definedName>
    <definedName name="XRefPasteRangeCount" hidden="1">1</definedName>
    <definedName name="xx" hidden="1">{#N/A,#N/A,FALSE,"value";#N/A,#N/A,FALSE,"PL";#N/A,#N/A,FALSE,"PL%";#N/A,#N/A,FALSE,"R";#N/A,#N/A,FALSE,"MD";#N/A,#N/A,FALSE,"OpEx";#N/A,#N/A,FALSE,"CapEx";#N/A,#N/A,FALSE,"Stats"}</definedName>
    <definedName name="xxx" hidden="1">{"PAGE 1",#N/A,FALSE,"WEST_OT"}</definedName>
    <definedName name="xxxx" hidden="1">{"PAGE 1",#N/A,FALSE,"WEST_OT"}</definedName>
    <definedName name="xxxxx" hidden="1">{#N/A,#N/A,FALSE,"PL";"no values",#N/A,FALSE,"value";#N/A,#N/A,FALSE,"PL%";#N/A,#N/A,FALSE,"R";#N/A,#N/A,FALSE,"MD";#N/A,#N/A,FALSE,"OpEx";#N/A,#N/A,FALSE,"CapEx";#N/A,#N/A,FALSE,"Stats"}</definedName>
    <definedName name="xy" hidden="1">{#N/A,#N/A,FALSE,"value";#N/A,#N/A,FALSE,"PL";#N/A,#N/A,FALSE,"PL%";#N/A,#N/A,FALSE,"R";#N/A,#N/A,FALSE,"MD";#N/A,#N/A,FALSE,"OpEx";#N/A,#N/A,FALSE,"CapEx";#N/A,#N/A,FALSE,"Stats"}</definedName>
    <definedName name="xyz" hidden="1">#REF!</definedName>
    <definedName name="yioyi" hidden="1">{#N/A,#N/A,TRUE,"1Q BCG";#N/A,#N/A,TRUE,"1Q w|o Wireless";#N/A,#N/A,TRUE,"1Q Wireless"}</definedName>
    <definedName name="z" hidden="1">{"EVA",#N/A,FALSE,"EVA";"WACC",#N/A,FALSE,"WACC"}</definedName>
    <definedName name="Z_D6A399A1_3411_11D2_88B3_A98C263D353B_.wvu.Rows" hidden="1">'[31]Vertical Data'!$A$103:$IV$103,'[31]Vertical Data'!$A$161:$IV$168,'[31]Vertical Data'!#REF!,'[31]Vertical Data'!$A$286:$IV$286,'[31]Vertical Data'!$A$301:$IV$302</definedName>
    <definedName name="Z_D6A399A2_3411_11D2_88B3_A98C263D353B_.wvu.Cols" hidden="1">'[31]Vertical Data'!#REF!</definedName>
    <definedName name="Z_D6A399A2_3411_11D2_88B3_A98C263D353B_.wvu.Rows" hidden="1">'[31]Vertical Data'!$A$103:$IV$103,'[31]Vertical Data'!$A$161:$IV$168,'[31]Vertical Data'!#REF!,'[31]Vertical Data'!$A$286:$IV$286,'[31]Vertical Data'!$A$301:$IV$302</definedName>
    <definedName name="Z_D6A399A3_3411_11D2_88B3_A98C263D353B_.wvu.Cols" hidden="1">'[31]Vertical Data'!#REF!,'[31]Vertical Data'!$D$1:$G$65536</definedName>
    <definedName name="Z_D6A399A3_3411_11D2_88B3_A98C263D353B_.wvu.Rows" hidden="1">'[31]Vertical Data'!$A$103:$IV$103,'[31]Vertical Data'!$A$161:$IV$168,'[31]Vertical Data'!#REF!,'[31]Vertical Data'!$A$286:$IV$286,'[31]Vertical Data'!$A$301:$IV$302</definedName>
    <definedName name="Z_D6A399AF_3411_11D2_88B3_A98C263D353B_.wvu.Cols" hidden="1">'[31]Vertical Data'!#REF!</definedName>
    <definedName name="Z_D6A399AF_3411_11D2_88B3_A98C263D353B_.wvu.Rows" hidden="1">'[31]Vertical Data'!$A$103:$IV$103,'[31]Vertical Data'!$A$161:$IV$168,'[31]Vertical Data'!#REF!,'[31]Vertical Data'!$A$286:$IV$286,'[31]Vertical Data'!$A$301:$IV$302</definedName>
    <definedName name="Z_D6A399B0_3411_11D2_88B3_A98C263D353B_.wvu.Cols" hidden="1">'[31]Vertical Data'!#REF!</definedName>
    <definedName name="zfzsf" hidden="1">{"page1",#N/A,FALSE,"BHCOMPC5";"page2",#N/A,FALSE,"BHCOMPC5";"page3",#N/A,FALSE,"BHCOMPC5";"page4",#N/A,FALSE,"BHCOMPC5"}</definedName>
  </definedNames>
  <calcPr calcId="191029" calcMode="autoNoTable"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0" i="6" l="1"/>
  <c r="C40" i="6"/>
  <c r="B41" i="6"/>
  <c r="C41" i="6"/>
  <c r="D18" i="9"/>
  <c r="D17" i="9"/>
  <c r="D18" i="6"/>
  <c r="D17" i="6"/>
  <c r="D19" i="9"/>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D20" i="6"/>
  <c r="B56" i="9" l="1"/>
  <c r="B57" i="9" s="1"/>
  <c r="B58" i="9" s="1"/>
  <c r="B59" i="9" s="1"/>
  <c r="B60" i="9" s="1"/>
  <c r="B61" i="9" s="1"/>
  <c r="B62" i="9" s="1"/>
  <c r="B63" i="9" s="1"/>
  <c r="B64" i="9" s="1"/>
  <c r="B65" i="9" s="1"/>
  <c r="B66" i="9" s="1"/>
  <c r="B67" i="9" s="1"/>
  <c r="D54" i="9"/>
  <c r="E54" i="9" s="1"/>
  <c r="F54" i="9" s="1"/>
  <c r="G54" i="9" s="1"/>
  <c r="H54" i="9" s="1"/>
  <c r="I54" i="9" s="1"/>
  <c r="J54" i="9" s="1"/>
  <c r="K54" i="9" s="1"/>
  <c r="L54" i="9" s="1"/>
  <c r="M54" i="9" s="1"/>
  <c r="N54" i="9" s="1"/>
  <c r="O54" i="9" s="1"/>
  <c r="B40" i="9"/>
  <c r="B41" i="9" s="1"/>
  <c r="B42" i="9" s="1"/>
  <c r="B43" i="9" s="1"/>
  <c r="B44" i="9" s="1"/>
  <c r="B45" i="9" s="1"/>
  <c r="B46" i="9" s="1"/>
  <c r="B47" i="9" s="1"/>
  <c r="B48" i="9" s="1"/>
  <c r="B49" i="9" s="1"/>
  <c r="B50" i="9" s="1"/>
  <c r="B51" i="9" s="1"/>
  <c r="D38" i="9"/>
  <c r="E38" i="9" s="1"/>
  <c r="F38" i="9" s="1"/>
  <c r="G38" i="9" s="1"/>
  <c r="H38" i="9" s="1"/>
  <c r="I38" i="9" s="1"/>
  <c r="J38" i="9" s="1"/>
  <c r="K38" i="9" s="1"/>
  <c r="L38" i="9" s="1"/>
  <c r="M38" i="9" s="1"/>
  <c r="N38" i="9" s="1"/>
  <c r="O38" i="9" s="1"/>
  <c r="D30" i="9"/>
  <c r="C51" i="9" l="1"/>
  <c r="D32" i="9" l="1"/>
  <c r="D31" i="9"/>
  <c r="D291"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124" i="6"/>
  <c r="D125" i="6"/>
  <c r="D126" i="6"/>
  <c r="D127" i="6"/>
  <c r="D128" i="6"/>
  <c r="D129" i="6"/>
  <c r="D130" i="6"/>
  <c r="D131" i="6"/>
  <c r="D132" i="6"/>
  <c r="D133" i="6"/>
  <c r="D134" i="6"/>
  <c r="D135" i="6"/>
  <c r="D136" i="6"/>
  <c r="D137" i="6"/>
  <c r="D138" i="6"/>
  <c r="D139" i="6"/>
  <c r="D140" i="6"/>
  <c r="D141" i="6"/>
  <c r="D142" i="6"/>
  <c r="D143" i="6"/>
  <c r="D144" i="6"/>
  <c r="D145" i="6"/>
  <c r="D146" i="6"/>
  <c r="D147" i="6"/>
  <c r="D148" i="6"/>
  <c r="D149" i="6"/>
  <c r="D150" i="6"/>
  <c r="D151" i="6"/>
  <c r="D152" i="6"/>
  <c r="D153" i="6"/>
  <c r="D154" i="6"/>
  <c r="D155" i="6"/>
  <c r="D156" i="6"/>
  <c r="D157" i="6"/>
  <c r="D158" i="6"/>
  <c r="D159" i="6"/>
  <c r="D160" i="6"/>
  <c r="D161" i="6"/>
  <c r="D162" i="6"/>
  <c r="D163" i="6"/>
  <c r="D164" i="6"/>
  <c r="D165" i="6"/>
  <c r="D166" i="6"/>
  <c r="D167" i="6"/>
  <c r="D168" i="6"/>
  <c r="D169" i="6"/>
  <c r="D170" i="6"/>
  <c r="D171" i="6"/>
  <c r="D172" i="6"/>
  <c r="D173" i="6"/>
  <c r="D174" i="6"/>
  <c r="D175" i="6"/>
  <c r="D176" i="6"/>
  <c r="D177" i="6"/>
  <c r="D178" i="6"/>
  <c r="D179" i="6"/>
  <c r="D180" i="6"/>
  <c r="D181" i="6"/>
  <c r="D182" i="6"/>
  <c r="D183" i="6"/>
  <c r="D184" i="6"/>
  <c r="D185" i="6"/>
  <c r="D186" i="6"/>
  <c r="D187" i="6"/>
  <c r="D188" i="6"/>
  <c r="D189" i="6"/>
  <c r="D190" i="6"/>
  <c r="D191" i="6"/>
  <c r="D192" i="6"/>
  <c r="D193" i="6"/>
  <c r="D194" i="6"/>
  <c r="D195" i="6"/>
  <c r="D196" i="6"/>
  <c r="D197" i="6"/>
  <c r="D198" i="6"/>
  <c r="D199" i="6"/>
  <c r="D200" i="6"/>
  <c r="D201" i="6"/>
  <c r="D202" i="6"/>
  <c r="D203" i="6"/>
  <c r="D204" i="6"/>
  <c r="D205" i="6"/>
  <c r="D206" i="6"/>
  <c r="D207" i="6"/>
  <c r="D208" i="6"/>
  <c r="D209" i="6"/>
  <c r="D210" i="6"/>
  <c r="D211" i="6"/>
  <c r="D212" i="6"/>
  <c r="D213" i="6"/>
  <c r="D214" i="6"/>
  <c r="D215" i="6"/>
  <c r="D216" i="6"/>
  <c r="D217" i="6"/>
  <c r="D218" i="6"/>
  <c r="D219" i="6"/>
  <c r="D220" i="6"/>
  <c r="D221" i="6"/>
  <c r="D222" i="6"/>
  <c r="D223" i="6"/>
  <c r="D224" i="6"/>
  <c r="D225" i="6"/>
  <c r="D226" i="6"/>
  <c r="D227" i="6"/>
  <c r="D228" i="6"/>
  <c r="D229" i="6"/>
  <c r="D230" i="6"/>
  <c r="D231" i="6"/>
  <c r="D232" i="6"/>
  <c r="D233" i="6"/>
  <c r="D234" i="6"/>
  <c r="D235" i="6"/>
  <c r="D236" i="6"/>
  <c r="D237" i="6"/>
  <c r="D238" i="6"/>
  <c r="D239" i="6"/>
  <c r="D240" i="6"/>
  <c r="D241" i="6"/>
  <c r="D242" i="6"/>
  <c r="D243" i="6"/>
  <c r="D244" i="6"/>
  <c r="D245" i="6"/>
  <c r="D246" i="6"/>
  <c r="D247" i="6"/>
  <c r="D248" i="6"/>
  <c r="D249" i="6"/>
  <c r="D250" i="6"/>
  <c r="D251" i="6"/>
  <c r="D252" i="6"/>
  <c r="D253" i="6"/>
  <c r="D254" i="6"/>
  <c r="D255" i="6"/>
  <c r="D256" i="6"/>
  <c r="D257" i="6"/>
  <c r="D258" i="6"/>
  <c r="D259" i="6"/>
  <c r="D260" i="6"/>
  <c r="D261" i="6"/>
  <c r="D262" i="6"/>
  <c r="D263" i="6"/>
  <c r="D264" i="6"/>
  <c r="D265" i="6"/>
  <c r="D266" i="6"/>
  <c r="D267" i="6"/>
  <c r="D268" i="6"/>
  <c r="D269" i="6"/>
  <c r="D270" i="6"/>
  <c r="D271" i="6"/>
  <c r="D272" i="6"/>
  <c r="D273" i="6"/>
  <c r="D274" i="6"/>
  <c r="D275" i="6"/>
  <c r="D276" i="6"/>
  <c r="D277" i="6"/>
  <c r="D278" i="6"/>
  <c r="D279" i="6"/>
  <c r="D280" i="6"/>
  <c r="D281" i="6"/>
  <c r="D282" i="6"/>
  <c r="D283" i="6"/>
  <c r="D284" i="6"/>
  <c r="D285" i="6"/>
  <c r="D286" i="6"/>
  <c r="D287" i="6"/>
  <c r="D288" i="6"/>
  <c r="D289" i="6"/>
  <c r="D290" i="6"/>
  <c r="D40" i="6"/>
  <c r="D27" i="6"/>
  <c r="F40" i="6" l="1"/>
  <c r="D32" i="6"/>
  <c r="G40" i="6" l="1"/>
  <c r="D21" i="6" s="1"/>
  <c r="D22" i="9" l="1"/>
  <c r="D27" i="9" s="1"/>
  <c r="D34" i="6"/>
  <c r="D33" i="6"/>
  <c r="D50" i="9" l="1"/>
  <c r="E49" i="9" s="1"/>
  <c r="D28" i="9"/>
  <c r="D30" i="6"/>
  <c r="D31" i="6" s="1"/>
  <c r="D26" i="6" s="1"/>
  <c r="E50" i="9" l="1"/>
  <c r="F50" i="9" s="1"/>
  <c r="G50" i="9" s="1"/>
  <c r="H50" i="9" s="1"/>
  <c r="I50" i="9" s="1"/>
  <c r="J50" i="9" s="1"/>
  <c r="K50" i="9" s="1"/>
  <c r="L50" i="9" s="1"/>
  <c r="M50" i="9" s="1"/>
  <c r="N50" i="9" s="1"/>
  <c r="O50" i="9" s="1"/>
  <c r="O66" i="9" s="1"/>
  <c r="D51" i="9"/>
  <c r="E51" i="9" s="1"/>
  <c r="F51" i="9" s="1"/>
  <c r="G51" i="9" s="1"/>
  <c r="H51" i="9" s="1"/>
  <c r="I51" i="9" s="1"/>
  <c r="J51" i="9" s="1"/>
  <c r="K51" i="9" s="1"/>
  <c r="L51" i="9" s="1"/>
  <c r="M51" i="9" s="1"/>
  <c r="N51" i="9" s="1"/>
  <c r="O51" i="9" s="1"/>
  <c r="O67" i="9" s="1"/>
  <c r="D25" i="9"/>
  <c r="D26" i="9" s="1"/>
  <c r="D25" i="6"/>
  <c r="D22" i="6" s="1"/>
  <c r="D9" i="6" s="1"/>
  <c r="D11" i="6" s="1"/>
  <c r="F48" i="9"/>
  <c r="F49" i="9"/>
  <c r="G49" i="9" s="1"/>
  <c r="H49" i="9" s="1"/>
  <c r="I49" i="9" s="1"/>
  <c r="J49" i="9" s="1"/>
  <c r="K49" i="9" s="1"/>
  <c r="L49" i="9" s="1"/>
  <c r="M49" i="9" s="1"/>
  <c r="N49" i="9" s="1"/>
  <c r="O49" i="9" s="1"/>
  <c r="O65" i="9" s="1"/>
  <c r="N67" i="9" l="1"/>
  <c r="N66" i="9"/>
  <c r="G48" i="9"/>
  <c r="H48" i="9" s="1"/>
  <c r="I48" i="9" s="1"/>
  <c r="J48" i="9" s="1"/>
  <c r="K48" i="9" s="1"/>
  <c r="L48" i="9" s="1"/>
  <c r="M48" i="9" s="1"/>
  <c r="N48" i="9" s="1"/>
  <c r="O48" i="9" s="1"/>
  <c r="O64" i="9" s="1"/>
  <c r="N65" i="9" s="1"/>
  <c r="G47" i="9"/>
  <c r="M67" i="9" l="1"/>
  <c r="M66" i="9"/>
  <c r="H47" i="9"/>
  <c r="I47" i="9" s="1"/>
  <c r="J47" i="9" s="1"/>
  <c r="K47" i="9" s="1"/>
  <c r="L47" i="9" s="1"/>
  <c r="M47" i="9" s="1"/>
  <c r="N47" i="9" s="1"/>
  <c r="O47" i="9" s="1"/>
  <c r="O63" i="9" s="1"/>
  <c r="N64" i="9" s="1"/>
  <c r="M65" i="9" s="1"/>
  <c r="H46" i="9"/>
  <c r="L66" i="9" l="1"/>
  <c r="L67" i="9"/>
  <c r="K67" i="9" s="1"/>
  <c r="I46" i="9"/>
  <c r="J46" i="9" s="1"/>
  <c r="K46" i="9" s="1"/>
  <c r="L46" i="9" s="1"/>
  <c r="M46" i="9" s="1"/>
  <c r="N46" i="9" s="1"/>
  <c r="O46" i="9" s="1"/>
  <c r="O62" i="9" s="1"/>
  <c r="N63" i="9" s="1"/>
  <c r="M64" i="9" s="1"/>
  <c r="L65" i="9" s="1"/>
  <c r="I45" i="9"/>
  <c r="K66" i="9" l="1"/>
  <c r="J67" i="9" s="1"/>
  <c r="J45" i="9"/>
  <c r="K45" i="9" s="1"/>
  <c r="L45" i="9" s="1"/>
  <c r="M45" i="9" s="1"/>
  <c r="N45" i="9" s="1"/>
  <c r="O45" i="9" s="1"/>
  <c r="O61" i="9" s="1"/>
  <c r="N62" i="9" s="1"/>
  <c r="M63" i="9" s="1"/>
  <c r="L64" i="9" s="1"/>
  <c r="K65" i="9" s="1"/>
  <c r="J66" i="9" s="1"/>
  <c r="J44" i="9"/>
  <c r="I67" i="9" l="1"/>
  <c r="K44" i="9"/>
  <c r="L44" i="9" s="1"/>
  <c r="M44" i="9" s="1"/>
  <c r="N44" i="9" s="1"/>
  <c r="O44" i="9" s="1"/>
  <c r="O60" i="9" s="1"/>
  <c r="N61" i="9" s="1"/>
  <c r="M62" i="9" s="1"/>
  <c r="L63" i="9" s="1"/>
  <c r="K64" i="9" s="1"/>
  <c r="J65" i="9" s="1"/>
  <c r="I66" i="9" s="1"/>
  <c r="H67" i="9" s="1"/>
  <c r="K43" i="9"/>
  <c r="L43" i="9" l="1"/>
  <c r="M43" i="9" s="1"/>
  <c r="N43" i="9" s="1"/>
  <c r="O43" i="9" s="1"/>
  <c r="O59" i="9" s="1"/>
  <c r="N60" i="9" s="1"/>
  <c r="M61" i="9" s="1"/>
  <c r="L62" i="9" s="1"/>
  <c r="K63" i="9" s="1"/>
  <c r="J64" i="9" s="1"/>
  <c r="I65" i="9" s="1"/>
  <c r="H66" i="9" s="1"/>
  <c r="G67" i="9" s="1"/>
  <c r="L42" i="9"/>
  <c r="M42" i="9" l="1"/>
  <c r="N42" i="9" s="1"/>
  <c r="O42" i="9" s="1"/>
  <c r="O58" i="9" s="1"/>
  <c r="N59" i="9" s="1"/>
  <c r="M60" i="9" s="1"/>
  <c r="L61" i="9" s="1"/>
  <c r="K62" i="9" s="1"/>
  <c r="J63" i="9" s="1"/>
  <c r="I64" i="9" s="1"/>
  <c r="H65" i="9" s="1"/>
  <c r="G66" i="9" s="1"/>
  <c r="F67" i="9" s="1"/>
  <c r="M41" i="9"/>
  <c r="N41" i="9" l="1"/>
  <c r="O41" i="9" s="1"/>
  <c r="O57" i="9" s="1"/>
  <c r="N58" i="9" s="1"/>
  <c r="M59" i="9" s="1"/>
  <c r="L60" i="9" s="1"/>
  <c r="K61" i="9" s="1"/>
  <c r="J62" i="9" s="1"/>
  <c r="I63" i="9" s="1"/>
  <c r="H64" i="9" s="1"/>
  <c r="G65" i="9" s="1"/>
  <c r="F66" i="9" s="1"/>
  <c r="E67" i="9" s="1"/>
  <c r="N40" i="9"/>
  <c r="O40" i="9" l="1"/>
  <c r="O56" i="9" s="1"/>
  <c r="N57" i="9" s="1"/>
  <c r="M58" i="9" s="1"/>
  <c r="L59" i="9" s="1"/>
  <c r="K60" i="9" s="1"/>
  <c r="J61" i="9" s="1"/>
  <c r="I62" i="9" s="1"/>
  <c r="H63" i="9" s="1"/>
  <c r="G64" i="9" s="1"/>
  <c r="F65" i="9" s="1"/>
  <c r="E66" i="9" s="1"/>
  <c r="D67" i="9" s="1"/>
  <c r="O39" i="9"/>
  <c r="O55" i="9" s="1"/>
  <c r="N56" i="9" l="1"/>
  <c r="M57" i="9" s="1"/>
  <c r="L58" i="9" s="1"/>
  <c r="K59" i="9" s="1"/>
  <c r="J60" i="9" s="1"/>
  <c r="I61" i="9" s="1"/>
  <c r="H62" i="9" s="1"/>
  <c r="G63" i="9" s="1"/>
  <c r="F64" i="9" s="1"/>
  <c r="E65" i="9" s="1"/>
  <c r="D66" i="9" s="1"/>
  <c r="C67" i="9" s="1"/>
  <c r="D9" i="9" s="1"/>
  <c r="D11" i="9" s="1"/>
  <c r="A6" i="4" l="1"/>
  <c r="A7" i="4" s="1"/>
  <c r="C6" i="4"/>
  <c r="C7" i="4"/>
  <c r="A8" i="4" l="1"/>
  <c r="A9" i="4" s="1"/>
  <c r="A10" i="4" s="1"/>
  <c r="A11" i="4" s="1"/>
  <c r="A12" i="4" l="1"/>
  <c r="A13" i="4" s="1"/>
  <c r="A14" i="4" l="1"/>
  <c r="A15" i="4" l="1"/>
  <c r="A16" i="4" s="1"/>
</calcChain>
</file>

<file path=xl/sharedStrings.xml><?xml version="1.0" encoding="utf-8"?>
<sst xmlns="http://schemas.openxmlformats.org/spreadsheetml/2006/main" count="127" uniqueCount="90">
  <si>
    <t>Pricing Date</t>
  </si>
  <si>
    <t>Yield</t>
  </si>
  <si>
    <t>Term</t>
  </si>
  <si>
    <t>1 Months</t>
  </si>
  <si>
    <t>3 Months</t>
  </si>
  <si>
    <t>6 Months</t>
  </si>
  <si>
    <t xml:space="preserve"> Risk-Free Rate of Return</t>
  </si>
  <si>
    <r>
      <t xml:space="preserve">Treasury Rates.  Source:  </t>
    </r>
    <r>
      <rPr>
        <i/>
        <sz val="8"/>
        <rFont val="Arial"/>
        <family val="2"/>
      </rPr>
      <t>S&amp;P Capital IQ, Inc.</t>
    </r>
  </si>
  <si>
    <t xml:space="preserve">Share Pricing </t>
  </si>
  <si>
    <t>Volume</t>
  </si>
  <si>
    <t>AwABTAVMT0NBTAFI/////wFQFgAAAB5DSVEuJVRDTVNZMTAuSVFfTEFTVFNBTEVQUklDRS4BAAAAHR8oAgIAAAAEMS43MwA4+wKIqgnSCKaLr5SqCdIIHkNJUS4lVENNU1kzMC5JUV9MQVNUU0FMRVBSSUNFLgEAAAAjHygCAgAAAAQyLjI5ADj7AoiqCdIIpouvlKoJ0ggeQ0lRLiVUQ01TTTAzLklRX0xBU1RTQUxFUFJJQ0UuAQAAAAgfKAICAAAABDAuMDIAOPsCiKoJ0gimi6+UqgnSCB5DSVEuJVRDTVNZMDMuSVFfTEFTVFNBTEVQUklDRS4BAAAAFB8oAgIAAAAEMC44MQA4+wKIqgnSCKaLr5SqCdIIJ0NJUS4lVENNU1kwMS5JUV9MQVNUU0FMRVBSSUNFLjEvMjQvMjAxNQEAAAAOHygCAgAAAAQwLjE3AHSPaKCqCdII3BKHoKoJ0ggnQ0lRLiVUQ01TWTMwLklRX0xBU1RTQUxFUFJJQ0UuMS8yNC8yMDE1AQAAACMfKAICAAAABDIuMzgAdI9ooKoJ0gjcEoegqgnSCCdDSVEuJVRDTVNZMDMuSVFfTEFTVFNBTEVQUklDRS4xLzI0LzIwMTUBAAAAFB8oAgIAAAAEMC44NgB0j2igqgnSCNwSh6CqCdIIJ0NJUS4lVENNU00wNi5JUV9MQVNUU0FMRVBSSUNFLjEvMjQvMjAxNQEAAAALHygCAgAAAAQwLjA3AHSPaKCqCdII3BKHoKoJ0ggeQ0lRLiVUQ01TWTAxLklRX0xBU1RTQUxFUFJJQ0UuAQAAAA4fKAICAAAABDAuMTcAOPsCiKoJ0gimi6+UqgnSCCdDSVEuJVRDTVNZMjAuSVFfTEFTVFNBTEVQUklDRS4xLzI0LzIwMTU</t>
  </si>
  <si>
    <t>BAAAAIB8oAgIAAAAEMi4xMgB0j2igqgnSCNwSh6CqCdIIHkNJUS4lVENNU00wMS5JUV9MQVNUU0FMRVBSSUNFLgEAAAAFHygCAgAAAAQwLjAyADj7AoiqCdIIpouvlKoJ0ggeQ0lRLiVUQ01TTTA2LklRX0xBU1RTQUxFUFJJQ0UuAQAAAAsfKAICAAAABDAuMDgAOPsCiKoJ0gimi6+UqgnSCB5DSVEuJVRDTVNZMDIuSVFfTEFTVFNBTEVQUklDRS4BAAAAER8oAgIAAAADMC41ADj7AoiqCdIIpouvlKoJ0ggeQ0lRLiVUQ01TWTIwLklRX0xBU1RTQUxFUFJJQ0UuAQAAACAfKAICAAAABDIuMDUAOPsCiKoJ0gimi6+UqgnSCCdDSVEuJVRDTVNNMDMuSVFfTEFTVFNBTEVQUklDRS4xLzI0LzIwMTUBAAAACB8oAgIAAAAEMC4wMgB0j2igqgnSCNwSh6CqCdIIJ0NJUS4lVENNU1kwNS5JUV9MQVNUU0FMRVBSSUNFLjEvMjQvMjAxNQEAAAAXHygCAgAAAAQxLjMzAHSPaKCqCdII3BKHoKoJ0ggeQ0lRLiVUQ01TWTA3LklRX0xBU1RTQUxFUFJJQ0UuAQAAABofKAICAAAABDEuNTMAOPsCiKoJ0gimi6+UqgnSCCdDSVEuJVRDTVNNMDEuSVFfTEFTVFNBTEVQUklDRS4xLzI0LzIwMTUBAAAABR8oAgIAAAAEMC4wMgB0j2igqgnSCNwSh6CqCdIIJ0NJUS4lVENNU1kxMC5JUV9MQVNUU0FMRVBSSUNFLjEvMjQvMjAxNQEAAAAdHygCAgAAAAQxLjgxAHSPaKCqCdII3BKHoKoJ0ggeQ0lRLiVUQ01TWTA1LklRX0xBU1RTQUxFUFJJQ0</t>
  </si>
  <si>
    <t>UuAQAAABcfKAICAAAABDEuMjUAOPsCiKoJ0gimi6+UqgnSCCdDSVEuJVRDTVNZMDIuSVFfTEFTVFNBTEVQUklDRS4xLzI0LzIwMTUBAAAAER8oAgIAAAAEMC41MgB0j2igqgnSCNwSh6CqCdIIJ0NJUS4lVENNU1kwNy5JUV9MQVNUU0FMRVBSSUNFLjEvMjQvMjAxNQEAAAAaHygCAgAAAAQxLjYyAHSPaKCqCdII3BKHoKoJ0gg=</t>
  </si>
  <si>
    <t>Option Price</t>
  </si>
  <si>
    <t>σ√t</t>
  </si>
  <si>
    <t>Annualized Volatility (σ)</t>
  </si>
  <si>
    <r>
      <t>d</t>
    </r>
    <r>
      <rPr>
        <vertAlign val="subscript"/>
        <sz val="10"/>
        <rFont val="Arial"/>
        <family val="2"/>
      </rPr>
      <t>1</t>
    </r>
  </si>
  <si>
    <r>
      <t>d</t>
    </r>
    <r>
      <rPr>
        <vertAlign val="subscript"/>
        <sz val="10"/>
        <rFont val="Arial"/>
        <family val="2"/>
      </rPr>
      <t>2</t>
    </r>
  </si>
  <si>
    <r>
      <t>N(d</t>
    </r>
    <r>
      <rPr>
        <vertAlign val="subscript"/>
        <sz val="10"/>
        <rFont val="Arial"/>
        <family val="2"/>
      </rPr>
      <t>1</t>
    </r>
    <r>
      <rPr>
        <sz val="10"/>
        <rFont val="Arial"/>
        <family val="2"/>
      </rPr>
      <t>)</t>
    </r>
  </si>
  <si>
    <r>
      <t>N(d</t>
    </r>
    <r>
      <rPr>
        <vertAlign val="subscript"/>
        <sz val="10"/>
        <rFont val="Arial"/>
        <family val="2"/>
      </rPr>
      <t>2</t>
    </r>
    <r>
      <rPr>
        <sz val="10"/>
        <rFont val="Arial"/>
        <family val="2"/>
      </rPr>
      <t>)</t>
    </r>
  </si>
  <si>
    <r>
      <t>e</t>
    </r>
    <r>
      <rPr>
        <vertAlign val="superscript"/>
        <sz val="10"/>
        <rFont val="Arial"/>
        <family val="2"/>
      </rPr>
      <t>-rt</t>
    </r>
  </si>
  <si>
    <t>Calculation Parameters</t>
  </si>
  <si>
    <t>Unit</t>
  </si>
  <si>
    <t>USD</t>
  </si>
  <si>
    <t>Years</t>
  </si>
  <si>
    <t>Time to Maturity (t)</t>
  </si>
  <si>
    <t>%</t>
  </si>
  <si>
    <t>Risk-Free Interest Rate (r)</t>
  </si>
  <si>
    <t>Detailed Calculation Parameters</t>
  </si>
  <si>
    <t>Strike Price (K)</t>
  </si>
  <si>
    <t>Current Stock Price (S)</t>
  </si>
  <si>
    <t>ln(S/K)</t>
  </si>
  <si>
    <t>C</t>
  </si>
  <si>
    <t>S</t>
  </si>
  <si>
    <t>K</t>
  </si>
  <si>
    <t>r</t>
  </si>
  <si>
    <t>t</t>
  </si>
  <si>
    <t>N</t>
  </si>
  <si>
    <t>Strike Price</t>
  </si>
  <si>
    <t>Risk-Free Interest Rate</t>
  </si>
  <si>
    <t>Time to Maturity</t>
  </si>
  <si>
    <t>σ</t>
  </si>
  <si>
    <t>Stock and Market Info</t>
  </si>
  <si>
    <t>Hard input</t>
  </si>
  <si>
    <t>count</t>
  </si>
  <si>
    <t>Formatting guideline</t>
  </si>
  <si>
    <t>Cell type</t>
  </si>
  <si>
    <t>Explanation</t>
  </si>
  <si>
    <t>Log Price Changes</t>
  </si>
  <si>
    <t>Standard Deviation</t>
  </si>
  <si>
    <t>Annualized Volatility</t>
  </si>
  <si>
    <t xml:space="preserve"> </t>
  </si>
  <si>
    <t>Summary</t>
  </si>
  <si>
    <t>Total Value</t>
  </si>
  <si>
    <t>USD/count</t>
  </si>
  <si>
    <t>Calculation</t>
  </si>
  <si>
    <t>Number of Options</t>
  </si>
  <si>
    <t>Dividend yield (q)</t>
  </si>
  <si>
    <t>Tree steps (n)</t>
  </si>
  <si>
    <t>Δt</t>
  </si>
  <si>
    <t>u</t>
  </si>
  <si>
    <t>d</t>
  </si>
  <si>
    <t>Share Price</t>
  </si>
  <si>
    <t>Option Value</t>
  </si>
  <si>
    <t>Formula change</t>
  </si>
  <si>
    <t>p</t>
  </si>
  <si>
    <t>(1-p)</t>
  </si>
  <si>
    <r>
      <t>(r+σ</t>
    </r>
    <r>
      <rPr>
        <i/>
        <vertAlign val="superscript"/>
        <sz val="10"/>
        <rFont val="Arial"/>
        <family val="2"/>
      </rPr>
      <t>2</t>
    </r>
    <r>
      <rPr>
        <i/>
        <sz val="10"/>
        <rFont val="Arial"/>
        <family val="2"/>
      </rPr>
      <t>/2)</t>
    </r>
  </si>
  <si>
    <t>Binomial Tree Valuation for The Underlying Stock and Option</t>
  </si>
  <si>
    <t>Call Option Price</t>
  </si>
  <si>
    <t>Current Stock Price</t>
  </si>
  <si>
    <t>A Normal Distribution</t>
  </si>
  <si>
    <t>Interest Rate (ir)</t>
  </si>
  <si>
    <t>Result</t>
  </si>
  <si>
    <r>
      <t>e</t>
    </r>
    <r>
      <rPr>
        <vertAlign val="superscript"/>
        <sz val="10"/>
        <rFont val="Arial"/>
        <family val="2"/>
      </rPr>
      <t>-rΔt</t>
    </r>
  </si>
  <si>
    <r>
      <t>e</t>
    </r>
    <r>
      <rPr>
        <vertAlign val="superscript"/>
        <sz val="10"/>
        <rFont val="Arial"/>
        <family val="2"/>
      </rPr>
      <t>(r-q)Δt</t>
    </r>
  </si>
  <si>
    <t>Calculation Methodology</t>
  </si>
  <si>
    <t>Use below buttons to navigate:</t>
  </si>
  <si>
    <t>Volatility Calculation</t>
  </si>
  <si>
    <r>
      <t>·</t>
    </r>
    <r>
      <rPr>
        <sz val="7"/>
        <color rgb="FFFF0000"/>
        <rFont val="Times New Roman"/>
        <family val="1"/>
      </rPr>
      <t xml:space="preserve">       </t>
    </r>
    <r>
      <rPr>
        <b/>
        <sz val="10"/>
        <color rgb="FFFF0000"/>
        <rFont val="Arial"/>
        <family val="2"/>
      </rPr>
      <t>Prepare an exhibit, in Excel, that presents the analyses and results in an easy to follow format for your client. You are given data in the “Share Price” tab and “Risk-Free” tab that will be used to develop inputs to the model.</t>
    </r>
  </si>
  <si>
    <r>
      <t xml:space="preserve">·       A company has issued an employee 1,000 options on </t>
    </r>
    <r>
      <rPr>
        <b/>
        <u/>
        <sz val="10"/>
        <rFont val="Arial"/>
        <family val="2"/>
      </rPr>
      <t>January 24, 2015</t>
    </r>
    <r>
      <rPr>
        <sz val="10"/>
        <rFont val="Arial"/>
        <family val="2"/>
      </rPr>
      <t>.</t>
    </r>
  </si>
  <si>
    <t>·       The options are already vested and they expire 3 years after their issued date.</t>
  </si>
  <si>
    <t>·       The employees can exercise the options at any time prior to the expiration date.</t>
  </si>
  <si>
    <t>·       Strike price is the company’s share price as of the close of the previous day.</t>
  </si>
  <si>
    <t>·       Assume the company pays no dividends.</t>
  </si>
  <si>
    <t>·       Use the Black Scholes model to estimate the value of these options, as of the issuance date, per formulas below:</t>
  </si>
  <si>
    <r>
      <t xml:space="preserve">·       </t>
    </r>
    <r>
      <rPr>
        <b/>
        <sz val="10"/>
        <color rgb="FFFF0000"/>
        <rFont val="Arial"/>
        <family val="2"/>
      </rPr>
      <t>Prepare an exhibit, in Excel, that presents the analyses and results in an easy to follow format for your client. You are given data in the “Share Price” tab and “Risk-Free” tab that will be used to develop inputs to the model.</t>
    </r>
  </si>
  <si>
    <r>
      <t>·</t>
    </r>
    <r>
      <rPr>
        <sz val="7"/>
        <rFont val="Times New Roman"/>
        <family val="1"/>
      </rPr>
      <t xml:space="preserve">       </t>
    </r>
    <r>
      <rPr>
        <sz val="10"/>
        <rFont val="Arial"/>
        <family val="2"/>
      </rPr>
      <t>Now, assume that the company has an annual dividend yield of 3%.</t>
    </r>
  </si>
  <si>
    <r>
      <t>·</t>
    </r>
    <r>
      <rPr>
        <sz val="7"/>
        <rFont val="Times New Roman"/>
        <family val="1"/>
      </rPr>
      <t xml:space="preserve">       </t>
    </r>
    <r>
      <rPr>
        <sz val="10"/>
        <rFont val="Arial"/>
        <family val="2"/>
      </rPr>
      <t>Revalue this option using a binomial model</t>
    </r>
  </si>
  <si>
    <r>
      <t>·</t>
    </r>
    <r>
      <rPr>
        <sz val="7"/>
        <rFont val="Times New Roman"/>
        <family val="1"/>
      </rPr>
      <t xml:space="preserve">       </t>
    </r>
    <r>
      <rPr>
        <sz val="10"/>
        <rFont val="Arial"/>
        <family val="2"/>
      </rPr>
      <t xml:space="preserve">Use 12 total time steps in the model, or 4 per year (note that the example below has 3 total time steps).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</si>
</sst>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409]mmm\-dd\-yyyy;@"/>
    <numFmt numFmtId="165" formatCode="0\ &quot;Years&quot;"/>
    <numFmt numFmtId="166" formatCode="_(* #,##0_);_(* \(#,##0\);_(* &quot;-&quot;??_);_(@_)"/>
    <numFmt numFmtId="176" formatCode="_-&quot;$&quot;* #,##0.00_-;\-&quot;$&quot;* #,##0.00_-;_-&quot;$&quot;* &quot;-&quot;??_-;_-@_-"/>
    <numFmt numFmtId="177" formatCode="_(* #,##0.000_);_(* \(#,##0.000\);_(* &quot;-&quot;??_);_(@_)"/>
    <numFmt numFmtId="178" formatCode="0.000"/>
  </numFmts>
  <fonts count="35"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10"/>
      <name val="Times New Roman"/>
      <family val="1"/>
    </font>
    <font>
      <sz val="9"/>
      <name val="Arial"/>
      <family val="2"/>
    </font>
    <font>
      <b/>
      <sz val="11"/>
      <color indexed="8"/>
      <name val="Arial"/>
      <family val="2"/>
    </font>
    <font>
      <b/>
      <sz val="11"/>
      <name val="Arial"/>
      <family val="2"/>
    </font>
    <font>
      <sz val="12"/>
      <name val="Times New Roman"/>
      <family val="1"/>
    </font>
    <font>
      <b/>
      <sz val="9"/>
      <name val="Arial"/>
      <family val="2"/>
    </font>
    <font>
      <sz val="8"/>
      <name val="Arial"/>
      <family val="2"/>
    </font>
    <font>
      <i/>
      <sz val="8"/>
      <name val="Arial"/>
      <family val="2"/>
    </font>
    <font>
      <b/>
      <sz val="9"/>
      <color rgb="FFFF0000"/>
      <name val="Arial"/>
      <family val="2"/>
    </font>
    <font>
      <sz val="10"/>
      <color theme="1"/>
      <name val="Arial"/>
      <family val="2"/>
    </font>
    <font>
      <u/>
      <sz val="11"/>
      <color theme="10"/>
      <name val="Calibri"/>
      <family val="2"/>
      <scheme val="minor"/>
    </font>
    <font>
      <vertAlign val="subscript"/>
      <sz val="10"/>
      <name val="Arial"/>
      <family val="2"/>
    </font>
    <font>
      <sz val="10"/>
      <color theme="0"/>
      <name val="Arial"/>
      <family val="2"/>
    </font>
    <font>
      <vertAlign val="superscript"/>
      <sz val="10"/>
      <name val="Arial"/>
      <family val="2"/>
    </font>
    <font>
      <sz val="10"/>
      <color theme="0" tint="-0.499984740745262"/>
      <name val="Arial"/>
      <family val="2"/>
    </font>
    <font>
      <i/>
      <sz val="10"/>
      <color theme="0" tint="-0.499984740745262"/>
      <name val="Arial"/>
      <family val="2"/>
    </font>
    <font>
      <b/>
      <i/>
      <sz val="10"/>
      <color theme="0" tint="-0.499984740745262"/>
      <name val="Arial"/>
      <family val="2"/>
    </font>
    <font>
      <b/>
      <i/>
      <sz val="10"/>
      <name val="Arial"/>
      <family val="2"/>
    </font>
    <font>
      <b/>
      <sz val="10"/>
      <color theme="0"/>
      <name val="Arial"/>
      <family val="2"/>
    </font>
    <font>
      <i/>
      <sz val="10"/>
      <name val="Arial"/>
      <family val="2"/>
    </font>
    <font>
      <i/>
      <vertAlign val="superscript"/>
      <sz val="10"/>
      <name val="Arial"/>
      <family val="2"/>
    </font>
    <font>
      <b/>
      <sz val="10"/>
      <color theme="4" tint="-0.499984740745262"/>
      <name val="Arial"/>
      <family val="2"/>
    </font>
    <font>
      <b/>
      <sz val="10"/>
      <color theme="1"/>
      <name val="Arial"/>
      <family val="2"/>
    </font>
    <font>
      <sz val="10"/>
      <name val="Symbol"/>
      <family val="1"/>
      <charset val="2"/>
    </font>
    <font>
      <sz val="7"/>
      <name val="Times New Roman"/>
      <family val="1"/>
    </font>
    <font>
      <b/>
      <u/>
      <sz val="10"/>
      <name val="Arial"/>
      <family val="2"/>
    </font>
    <font>
      <sz val="10"/>
      <color rgb="FFFF0000"/>
      <name val="Symbol"/>
      <family val="1"/>
      <charset val="2"/>
    </font>
    <font>
      <sz val="7"/>
      <color rgb="FFFF0000"/>
      <name val="Times New Roman"/>
      <family val="1"/>
    </font>
    <font>
      <b/>
      <sz val="10"/>
      <color rgb="FFFF0000"/>
      <name val="Arial"/>
      <family val="2"/>
    </font>
    <font>
      <sz val="10"/>
      <color rgb="FFFF0000"/>
      <name val="Arial"/>
      <family val="2"/>
    </font>
  </fonts>
  <fills count="6">
    <fill>
      <patternFill patternType="none"/>
    </fill>
    <fill>
      <patternFill patternType="gray125"/>
    </fill>
    <fill>
      <patternFill patternType="solid">
        <fgColor theme="4" tint="0.59999389629810485"/>
        <bgColor indexed="65"/>
      </patternFill>
    </fill>
    <fill>
      <patternFill patternType="solid">
        <fgColor theme="4" tint="-0.499984740745262"/>
        <bgColor indexed="64"/>
      </patternFill>
    </fill>
    <fill>
      <patternFill patternType="solid">
        <fgColor theme="9" tint="0.39997558519241921"/>
        <bgColor indexed="64"/>
      </patternFill>
    </fill>
    <fill>
      <patternFill patternType="solid">
        <fgColor theme="3" tint="0.59999389629810485"/>
        <bgColor indexed="64"/>
      </patternFill>
    </fill>
  </fills>
  <borders count="5">
    <border>
      <left/>
      <right/>
      <top/>
      <bottom/>
      <diagonal/>
    </border>
    <border>
      <left/>
      <right/>
      <top/>
      <bottom style="medium">
        <color indexed="64"/>
      </bottom>
      <diagonal/>
    </border>
    <border>
      <left/>
      <right/>
      <top/>
      <bottom style="thin">
        <color indexed="64"/>
      </bottom>
      <diagonal/>
    </border>
    <border>
      <left style="thin">
        <color rgb="FFB2B2B2"/>
      </left>
      <right style="thin">
        <color rgb="FFB2B2B2"/>
      </right>
      <top style="thin">
        <color rgb="FFB2B2B2"/>
      </top>
      <bottom style="thin">
        <color rgb="FFB2B2B2"/>
      </bottom>
      <diagonal/>
    </border>
    <border>
      <left/>
      <right/>
      <top style="thin">
        <color indexed="64"/>
      </top>
      <bottom style="medium">
        <color indexed="64"/>
      </bottom>
      <diagonal/>
    </border>
  </borders>
  <cellStyleXfs count="17">
    <xf numFmtId="0" fontId="0" fillId="0" borderId="0"/>
    <xf numFmtId="43" fontId="3" fillId="0" borderId="0" applyFont="0" applyFill="0" applyBorder="0" applyAlignment="0" applyProtection="0"/>
    <xf numFmtId="9" fontId="3" fillId="0" borderId="0" applyFont="0" applyFill="0" applyBorder="0" applyAlignment="0" applyProtection="0"/>
    <xf numFmtId="0" fontId="5" fillId="0" borderId="0"/>
    <xf numFmtId="0" fontId="9" fillId="0" borderId="0"/>
    <xf numFmtId="0" fontId="4" fillId="0" borderId="0">
      <alignment horizontal="center"/>
    </xf>
    <xf numFmtId="0" fontId="14" fillId="0" borderId="0"/>
    <xf numFmtId="0" fontId="8" fillId="0" borderId="0" applyBorder="0"/>
    <xf numFmtId="0" fontId="3" fillId="0" borderId="0"/>
    <xf numFmtId="43" fontId="2" fillId="0" borderId="0" applyFont="0" applyFill="0" applyBorder="0" applyAlignment="0" applyProtection="0"/>
    <xf numFmtId="44" fontId="2" fillId="0" borderId="0" applyFont="0" applyFill="0" applyBorder="0" applyAlignment="0" applyProtection="0"/>
    <xf numFmtId="0" fontId="1" fillId="2" borderId="0" applyNumberFormat="0" applyBorder="0" applyAlignment="0" applyProtection="0"/>
    <xf numFmtId="43" fontId="1" fillId="0" borderId="0" applyFont="0" applyFill="0" applyBorder="0" applyAlignment="0" applyProtection="0"/>
    <xf numFmtId="0" fontId="1" fillId="0" borderId="0"/>
    <xf numFmtId="176" fontId="1" fillId="0" borderId="0" applyFont="0" applyFill="0" applyBorder="0" applyAlignment="0" applyProtection="0"/>
    <xf numFmtId="9" fontId="1" fillId="0" borderId="0" applyFont="0" applyFill="0" applyBorder="0" applyAlignment="0" applyProtection="0"/>
    <xf numFmtId="0" fontId="15" fillId="0" borderId="0" applyNumberFormat="0" applyFill="0" applyBorder="0" applyAlignment="0" applyProtection="0"/>
  </cellStyleXfs>
  <cellXfs count="87">
    <xf numFmtId="0" fontId="0" fillId="0" borderId="0" xfId="0"/>
    <xf numFmtId="164" fontId="0" fillId="0" borderId="0" xfId="0" applyNumberFormat="1"/>
    <xf numFmtId="0" fontId="6" fillId="0" borderId="0" xfId="3" applyFont="1" applyAlignment="1">
      <alignment vertical="center"/>
    </xf>
    <xf numFmtId="0" fontId="8" fillId="0" borderId="1" xfId="3" applyFont="1" applyBorder="1" applyAlignment="1">
      <alignment horizontal="centerContinuous" vertical="center"/>
    </xf>
    <xf numFmtId="0" fontId="8" fillId="0" borderId="0" xfId="3" applyFont="1" applyAlignment="1">
      <alignment horizontal="centerContinuous" vertical="center"/>
    </xf>
    <xf numFmtId="0" fontId="10" fillId="0" borderId="0" xfId="4" applyFont="1" applyAlignment="1">
      <alignment horizontal="centerContinuous"/>
    </xf>
    <xf numFmtId="0" fontId="6" fillId="0" borderId="2" xfId="4" applyFont="1" applyBorder="1" applyAlignment="1">
      <alignment horizontal="center"/>
    </xf>
    <xf numFmtId="0" fontId="6" fillId="0" borderId="2" xfId="4" applyFont="1" applyBorder="1" applyAlignment="1">
      <alignment horizontal="centerContinuous"/>
    </xf>
    <xf numFmtId="0" fontId="6" fillId="0" borderId="0" xfId="4" applyFont="1"/>
    <xf numFmtId="14" fontId="6" fillId="0" borderId="2" xfId="4" applyNumberFormat="1" applyFont="1" applyBorder="1" applyAlignment="1">
      <alignment horizontal="center"/>
    </xf>
    <xf numFmtId="0" fontId="10" fillId="0" borderId="0" xfId="4" applyFont="1" applyAlignment="1">
      <alignment horizontal="center"/>
    </xf>
    <xf numFmtId="0" fontId="10" fillId="0" borderId="0" xfId="5" applyFont="1">
      <alignment horizontal="center"/>
    </xf>
    <xf numFmtId="0" fontId="6" fillId="0" borderId="0" xfId="4" applyFont="1" applyAlignment="1">
      <alignment horizontal="left"/>
    </xf>
    <xf numFmtId="165" fontId="6" fillId="0" borderId="0" xfId="4" applyNumberFormat="1" applyFont="1" applyAlignment="1">
      <alignment horizontal="left"/>
    </xf>
    <xf numFmtId="0" fontId="11" fillId="0" borderId="0" xfId="4" applyFont="1"/>
    <xf numFmtId="0" fontId="11" fillId="0" borderId="0" xfId="4" applyFont="1" applyAlignment="1">
      <alignment horizontal="right"/>
    </xf>
    <xf numFmtId="0" fontId="13" fillId="0" borderId="0" xfId="4" applyFont="1" applyAlignment="1">
      <alignment horizontal="left"/>
    </xf>
    <xf numFmtId="10" fontId="0" fillId="0" borderId="0" xfId="2" applyNumberFormat="1" applyFont="1" applyFill="1"/>
    <xf numFmtId="9" fontId="0" fillId="0" borderId="0" xfId="2" applyFont="1" applyFill="1"/>
    <xf numFmtId="166" fontId="0" fillId="0" borderId="0" xfId="1" applyNumberFormat="1" applyFont="1"/>
    <xf numFmtId="0" fontId="4" fillId="0" borderId="0" xfId="0" applyFont="1" applyAlignment="1">
      <alignment horizontal="right"/>
    </xf>
    <xf numFmtId="0" fontId="11" fillId="0" borderId="0" xfId="4" applyFont="1" applyAlignment="1">
      <alignment horizontal="left"/>
    </xf>
    <xf numFmtId="0" fontId="6" fillId="0" borderId="2" xfId="4" applyFont="1" applyBorder="1" applyAlignment="1">
      <alignment horizontal="left"/>
    </xf>
    <xf numFmtId="0" fontId="6" fillId="0" borderId="2" xfId="4" applyFont="1" applyBorder="1"/>
    <xf numFmtId="10" fontId="6" fillId="0" borderId="2" xfId="2" applyNumberFormat="1" applyFont="1" applyFill="1" applyBorder="1"/>
    <xf numFmtId="10" fontId="6" fillId="0" borderId="0" xfId="2" applyNumberFormat="1" applyFont="1" applyFill="1" applyAlignment="1">
      <alignment horizontal="center"/>
    </xf>
    <xf numFmtId="0" fontId="7" fillId="0" borderId="1" xfId="3" applyFont="1" applyBorder="1" applyAlignment="1">
      <alignment horizontal="left" vertical="center"/>
    </xf>
    <xf numFmtId="0" fontId="3" fillId="0" borderId="0" xfId="0" applyFont="1"/>
    <xf numFmtId="0" fontId="4" fillId="0" borderId="0" xfId="0" applyFont="1"/>
    <xf numFmtId="177" fontId="3" fillId="0" borderId="0" xfId="1" applyNumberFormat="1" applyFont="1" applyAlignment="1">
      <alignment horizontal="right"/>
    </xf>
    <xf numFmtId="177" fontId="24" fillId="0" borderId="0" xfId="1" applyNumberFormat="1" applyFont="1" applyAlignment="1">
      <alignment horizontal="right"/>
    </xf>
    <xf numFmtId="166" fontId="22" fillId="0" borderId="4" xfId="1" applyNumberFormat="1" applyFont="1" applyFill="1" applyBorder="1" applyAlignment="1">
      <alignment horizontal="right"/>
    </xf>
    <xf numFmtId="0" fontId="23" fillId="3" borderId="0" xfId="0" applyFont="1" applyFill="1" applyAlignment="1">
      <alignment horizontal="left"/>
    </xf>
    <xf numFmtId="0" fontId="23" fillId="3" borderId="0" xfId="0" applyFont="1" applyFill="1" applyAlignment="1">
      <alignment horizontal="right"/>
    </xf>
    <xf numFmtId="0" fontId="3" fillId="0" borderId="0" xfId="0" applyFont="1" applyAlignment="1">
      <alignment horizontal="right"/>
    </xf>
    <xf numFmtId="0" fontId="3" fillId="0" borderId="0" xfId="0" applyFont="1" applyAlignment="1">
      <alignment horizontal="left"/>
    </xf>
    <xf numFmtId="0" fontId="20" fillId="0" borderId="0" xfId="0" applyFont="1" applyAlignment="1">
      <alignment horizontal="left"/>
    </xf>
    <xf numFmtId="0" fontId="22" fillId="0" borderId="4" xfId="0" applyFont="1" applyBorder="1" applyAlignment="1">
      <alignment horizontal="left"/>
    </xf>
    <xf numFmtId="0" fontId="21" fillId="0" borderId="4" xfId="0" applyFont="1" applyBorder="1" applyAlignment="1">
      <alignment horizontal="left"/>
    </xf>
    <xf numFmtId="0" fontId="19" fillId="0" borderId="0" xfId="0" applyFont="1" applyAlignment="1">
      <alignment horizontal="left"/>
    </xf>
    <xf numFmtId="0" fontId="24" fillId="0" borderId="0" xfId="0" applyFont="1" applyAlignment="1">
      <alignment horizontal="left"/>
    </xf>
    <xf numFmtId="0" fontId="17" fillId="3" borderId="0" xfId="0" applyFont="1" applyFill="1" applyAlignment="1">
      <alignment horizontal="right"/>
    </xf>
    <xf numFmtId="0" fontId="3" fillId="0" borderId="0" xfId="14" applyNumberFormat="1" applyFont="1" applyFill="1" applyAlignment="1">
      <alignment horizontal="right"/>
    </xf>
    <xf numFmtId="2" fontId="14" fillId="2" borderId="3" xfId="11" applyNumberFormat="1" applyFont="1" applyBorder="1" applyAlignment="1">
      <alignment horizontal="right"/>
    </xf>
    <xf numFmtId="10" fontId="3" fillId="0" borderId="0" xfId="15" applyNumberFormat="1" applyFont="1" applyFill="1" applyAlignment="1">
      <alignment horizontal="right"/>
    </xf>
    <xf numFmtId="166" fontId="3" fillId="0" borderId="0" xfId="1" applyNumberFormat="1" applyFont="1" applyFill="1" applyAlignment="1">
      <alignment horizontal="right"/>
    </xf>
    <xf numFmtId="43" fontId="24" fillId="0" borderId="0" xfId="0" applyNumberFormat="1" applyFont="1" applyAlignment="1">
      <alignment horizontal="right"/>
    </xf>
    <xf numFmtId="177" fontId="3" fillId="0" borderId="0" xfId="1" applyNumberFormat="1" applyFont="1"/>
    <xf numFmtId="177" fontId="4" fillId="0" borderId="0" xfId="1" applyNumberFormat="1" applyFont="1"/>
    <xf numFmtId="10" fontId="4" fillId="0" borderId="0" xfId="2" applyNumberFormat="1" applyFont="1"/>
    <xf numFmtId="166" fontId="22" fillId="0" borderId="0" xfId="1" applyNumberFormat="1" applyFont="1" applyFill="1" applyBorder="1" applyAlignment="1">
      <alignment horizontal="right"/>
    </xf>
    <xf numFmtId="0" fontId="17" fillId="0" borderId="0" xfId="0" applyFont="1" applyAlignment="1">
      <alignment horizontal="right"/>
    </xf>
    <xf numFmtId="2" fontId="14" fillId="0" borderId="0" xfId="11" applyNumberFormat="1" applyFont="1" applyFill="1" applyBorder="1" applyAlignment="1">
      <alignment horizontal="right"/>
    </xf>
    <xf numFmtId="177" fontId="3" fillId="0" borderId="0" xfId="1" applyNumberFormat="1" applyFont="1" applyFill="1" applyAlignment="1">
      <alignment horizontal="right"/>
    </xf>
    <xf numFmtId="177" fontId="24" fillId="0" borderId="0" xfId="1" applyNumberFormat="1" applyFont="1" applyFill="1" applyAlignment="1">
      <alignment horizontal="right"/>
    </xf>
    <xf numFmtId="0" fontId="22" fillId="0" borderId="0" xfId="0" applyFont="1" applyAlignment="1">
      <alignment horizontal="left"/>
    </xf>
    <xf numFmtId="0" fontId="21" fillId="0" borderId="0" xfId="0" applyFont="1" applyAlignment="1">
      <alignment horizontal="left"/>
    </xf>
    <xf numFmtId="43" fontId="22" fillId="0" borderId="0" xfId="1" applyFont="1" applyFill="1" applyBorder="1" applyAlignment="1">
      <alignment horizontal="right"/>
    </xf>
    <xf numFmtId="1" fontId="14" fillId="2" borderId="3" xfId="11" applyNumberFormat="1" applyFont="1" applyBorder="1" applyAlignment="1">
      <alignment horizontal="right"/>
    </xf>
    <xf numFmtId="0" fontId="4" fillId="0" borderId="0" xfId="0" applyFont="1" applyAlignment="1">
      <alignment horizontal="left"/>
    </xf>
    <xf numFmtId="0" fontId="26" fillId="0" borderId="0" xfId="0" applyFont="1" applyAlignment="1">
      <alignment horizontal="left"/>
    </xf>
    <xf numFmtId="10" fontId="3" fillId="0" borderId="0" xfId="0" applyNumberFormat="1" applyFont="1"/>
    <xf numFmtId="2" fontId="3" fillId="0" borderId="0" xfId="0" applyNumberFormat="1" applyFont="1"/>
    <xf numFmtId="0" fontId="27" fillId="0" borderId="0" xfId="0" applyFont="1"/>
    <xf numFmtId="10" fontId="14" fillId="2" borderId="3" xfId="2" applyNumberFormat="1" applyFont="1" applyFill="1" applyBorder="1" applyAlignment="1">
      <alignment horizontal="right"/>
    </xf>
    <xf numFmtId="178" fontId="3" fillId="0" borderId="0" xfId="0" applyNumberFormat="1" applyFont="1"/>
    <xf numFmtId="2" fontId="3" fillId="4" borderId="0" xfId="0" applyNumberFormat="1" applyFont="1" applyFill="1"/>
    <xf numFmtId="43" fontId="22" fillId="4" borderId="4" xfId="1" applyFont="1" applyFill="1" applyBorder="1" applyAlignment="1">
      <alignment horizontal="right"/>
    </xf>
    <xf numFmtId="2" fontId="3" fillId="5" borderId="0" xfId="0" applyNumberFormat="1" applyFont="1" applyFill="1"/>
    <xf numFmtId="0" fontId="3" fillId="0" borderId="1" xfId="0" applyFont="1" applyBorder="1" applyAlignment="1">
      <alignment horizontal="left"/>
    </xf>
    <xf numFmtId="0" fontId="19" fillId="0" borderId="1" xfId="0" applyFont="1" applyBorder="1" applyAlignment="1">
      <alignment horizontal="left"/>
    </xf>
    <xf numFmtId="177" fontId="3" fillId="0" borderId="1" xfId="1" applyNumberFormat="1" applyFont="1" applyBorder="1" applyAlignment="1">
      <alignment horizontal="right"/>
    </xf>
    <xf numFmtId="0" fontId="24" fillId="0" borderId="1" xfId="0" applyFont="1" applyBorder="1" applyAlignment="1">
      <alignment horizontal="left"/>
    </xf>
    <xf numFmtId="0" fontId="20" fillId="0" borderId="1" xfId="0" applyFont="1" applyBorder="1" applyAlignment="1">
      <alignment horizontal="left"/>
    </xf>
    <xf numFmtId="177" fontId="24" fillId="0" borderId="1" xfId="0" applyNumberFormat="1" applyFont="1" applyBorder="1" applyAlignment="1">
      <alignment horizontal="right"/>
    </xf>
    <xf numFmtId="10" fontId="3" fillId="0" borderId="1" xfId="15" applyNumberFormat="1" applyFont="1" applyFill="1" applyBorder="1" applyAlignment="1">
      <alignment horizontal="right"/>
    </xf>
    <xf numFmtId="0" fontId="3" fillId="0" borderId="1" xfId="0" applyFont="1" applyBorder="1"/>
    <xf numFmtId="178" fontId="3" fillId="0" borderId="1" xfId="0" applyNumberFormat="1" applyFont="1" applyBorder="1"/>
    <xf numFmtId="2" fontId="3" fillId="5" borderId="1" xfId="0" applyNumberFormat="1" applyFont="1" applyFill="1" applyBorder="1"/>
    <xf numFmtId="2" fontId="3" fillId="4" borderId="1" xfId="0" applyNumberFormat="1" applyFont="1" applyFill="1" applyBorder="1"/>
    <xf numFmtId="0" fontId="4" fillId="0" borderId="1" xfId="0" applyFont="1" applyBorder="1"/>
    <xf numFmtId="2" fontId="3" fillId="0" borderId="1" xfId="0" applyNumberFormat="1" applyFont="1" applyBorder="1"/>
    <xf numFmtId="0" fontId="24" fillId="0" borderId="0" xfId="0" applyFont="1"/>
    <xf numFmtId="0" fontId="28" fillId="0" borderId="0" xfId="0" applyFont="1" applyAlignment="1">
      <alignment horizontal="left" vertical="center" indent="4"/>
    </xf>
    <xf numFmtId="0" fontId="31" fillId="0" borderId="0" xfId="0" applyFont="1" applyAlignment="1">
      <alignment horizontal="left" vertical="center" indent="4"/>
    </xf>
    <xf numFmtId="0" fontId="3" fillId="0" borderId="0" xfId="0" applyFont="1" applyAlignment="1">
      <alignment horizontal="left" vertical="center" indent="4"/>
    </xf>
    <xf numFmtId="0" fontId="34" fillId="0" borderId="0" xfId="0" applyFont="1" applyAlignment="1">
      <alignment horizontal="left" vertical="center" indent="4"/>
    </xf>
  </cellXfs>
  <cellStyles count="17">
    <cellStyle name="40% - Accent1" xfId="11" builtinId="31"/>
    <cellStyle name="Comma" xfId="1" builtinId="3"/>
    <cellStyle name="Comma 2" xfId="12" xr:uid="{63AFCEFE-1F2D-43D1-BF2A-8BE8526050C5}"/>
    <cellStyle name="Comma 5" xfId="9" xr:uid="{00000000-0005-0000-0000-000001000000}"/>
    <cellStyle name="Currency 2" xfId="14" xr:uid="{B01FE13D-994F-469D-AFDF-9FC4E6449029}"/>
    <cellStyle name="Currency 4" xfId="10" xr:uid="{00000000-0005-0000-0000-000002000000}"/>
    <cellStyle name="Header (Left)" xfId="7" xr:uid="{00000000-0005-0000-0000-000003000000}"/>
    <cellStyle name="Hyperlink 3" xfId="16" xr:uid="{75E8B809-51DE-474F-9676-D8C507C5DFBB}"/>
    <cellStyle name="Normal" xfId="0" builtinId="0"/>
    <cellStyle name="Normal 2" xfId="6" xr:uid="{00000000-0005-0000-0000-000005000000}"/>
    <cellStyle name="Normal 2 2" xfId="8" xr:uid="{00000000-0005-0000-0000-000006000000}"/>
    <cellStyle name="Normal 3" xfId="13" xr:uid="{F29D6E41-5D3C-4F14-9516-7D0A07CDE5D9}"/>
    <cellStyle name="Normal_Dominos Black Scholes" xfId="4" xr:uid="{00000000-0005-0000-0000-000007000000}"/>
    <cellStyle name="Normal_Sheet2 2" xfId="3" xr:uid="{00000000-0005-0000-0000-000008000000}"/>
    <cellStyle name="Percent" xfId="2" builtinId="5"/>
    <cellStyle name="Percent 2" xfId="15" xr:uid="{597467AC-C457-4C4B-877F-36B898A47B17}"/>
    <cellStyle name="Row Numbering" xfId="5" xr:uid="{00000000-0005-0000-0000-00000A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7F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030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5.xml"/><Relationship Id="rId18" Type="http://schemas.openxmlformats.org/officeDocument/2006/relationships/externalLink" Target="externalLinks/externalLink10.xml"/><Relationship Id="rId26" Type="http://schemas.openxmlformats.org/officeDocument/2006/relationships/externalLink" Target="externalLinks/externalLink18.xml"/><Relationship Id="rId39" Type="http://schemas.openxmlformats.org/officeDocument/2006/relationships/externalLink" Target="externalLinks/externalLink31.xml"/><Relationship Id="rId21" Type="http://schemas.openxmlformats.org/officeDocument/2006/relationships/externalLink" Target="externalLinks/externalLink13.xml"/><Relationship Id="rId34" Type="http://schemas.openxmlformats.org/officeDocument/2006/relationships/externalLink" Target="externalLinks/externalLink26.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externalLink" Target="externalLinks/externalLink12.xml"/><Relationship Id="rId29" Type="http://schemas.openxmlformats.org/officeDocument/2006/relationships/externalLink" Target="externalLinks/externalLink21.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externalLink" Target="externalLinks/externalLink16.xml"/><Relationship Id="rId32" Type="http://schemas.openxmlformats.org/officeDocument/2006/relationships/externalLink" Target="externalLinks/externalLink24.xml"/><Relationship Id="rId37" Type="http://schemas.openxmlformats.org/officeDocument/2006/relationships/externalLink" Target="externalLinks/externalLink29.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openxmlformats.org/officeDocument/2006/relationships/externalLink" Target="externalLinks/externalLink15.xml"/><Relationship Id="rId28" Type="http://schemas.openxmlformats.org/officeDocument/2006/relationships/externalLink" Target="externalLinks/externalLink20.xml"/><Relationship Id="rId36" Type="http://schemas.openxmlformats.org/officeDocument/2006/relationships/externalLink" Target="externalLinks/externalLink28.xml"/><Relationship Id="rId10" Type="http://schemas.openxmlformats.org/officeDocument/2006/relationships/externalLink" Target="externalLinks/externalLink2.xml"/><Relationship Id="rId19" Type="http://schemas.openxmlformats.org/officeDocument/2006/relationships/externalLink" Target="externalLinks/externalLink11.xml"/><Relationship Id="rId31" Type="http://schemas.openxmlformats.org/officeDocument/2006/relationships/externalLink" Target="externalLinks/externalLink23.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externalLink" Target="externalLinks/externalLink14.xml"/><Relationship Id="rId27" Type="http://schemas.openxmlformats.org/officeDocument/2006/relationships/externalLink" Target="externalLinks/externalLink19.xml"/><Relationship Id="rId30" Type="http://schemas.openxmlformats.org/officeDocument/2006/relationships/externalLink" Target="externalLinks/externalLink22.xml"/><Relationship Id="rId35" Type="http://schemas.openxmlformats.org/officeDocument/2006/relationships/externalLink" Target="externalLinks/externalLink27.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5" Type="http://schemas.openxmlformats.org/officeDocument/2006/relationships/externalLink" Target="externalLinks/externalLink17.xml"/><Relationship Id="rId33" Type="http://schemas.openxmlformats.org/officeDocument/2006/relationships/externalLink" Target="externalLinks/externalLink25.xml"/><Relationship Id="rId38" Type="http://schemas.openxmlformats.org/officeDocument/2006/relationships/externalLink" Target="externalLinks/externalLink30.xml"/></Relationships>
</file>

<file path=xl/drawings/_rels/drawing1.xml.rels><?xml version="1.0" encoding="UTF-8" standalone="yes"?>
<Relationships xmlns="http://schemas.openxmlformats.org/package/2006/relationships"><Relationship Id="rId3" Type="http://schemas.openxmlformats.org/officeDocument/2006/relationships/hyperlink" Target="#Q1_Sol!B37"/><Relationship Id="rId2" Type="http://schemas.openxmlformats.org/officeDocument/2006/relationships/hyperlink" Target="#Q1_Sol!B14"/><Relationship Id="rId1" Type="http://schemas.openxmlformats.org/officeDocument/2006/relationships/hyperlink" Target="#Q1_Sol!B7"/><Relationship Id="rId6" Type="http://schemas.openxmlformats.org/officeDocument/2006/relationships/image" Target="../media/image1.png"/><Relationship Id="rId5" Type="http://schemas.openxmlformats.org/officeDocument/2006/relationships/hyperlink" Target="#Q1_Sol!B295"/><Relationship Id="rId4" Type="http://schemas.openxmlformats.org/officeDocument/2006/relationships/hyperlink" Target="#Q1_Sol!O7"/></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Q2_Sol!B35"/><Relationship Id="rId7" Type="http://schemas.openxmlformats.org/officeDocument/2006/relationships/image" Target="../media/image3.png"/><Relationship Id="rId2" Type="http://schemas.openxmlformats.org/officeDocument/2006/relationships/hyperlink" Target="#Q2_Sol!B14"/><Relationship Id="rId1" Type="http://schemas.openxmlformats.org/officeDocument/2006/relationships/hyperlink" Target="#Q2_Sol!B7"/><Relationship Id="rId6" Type="http://schemas.openxmlformats.org/officeDocument/2006/relationships/image" Target="../media/image2.png"/><Relationship Id="rId5" Type="http://schemas.openxmlformats.org/officeDocument/2006/relationships/hyperlink" Target="#Q2_Sol!B70"/><Relationship Id="rId4" Type="http://schemas.openxmlformats.org/officeDocument/2006/relationships/hyperlink" Target="#Q2_Sol!O7"/></Relationships>
</file>

<file path=xl/drawings/drawing1.xml><?xml version="1.0" encoding="utf-8"?>
<xdr:wsDr xmlns:xdr="http://schemas.openxmlformats.org/drawingml/2006/spreadsheetDrawing" xmlns:a="http://schemas.openxmlformats.org/drawingml/2006/main">
  <xdr:twoCellAnchor>
    <xdr:from>
      <xdr:col>1</xdr:col>
      <xdr:colOff>23814</xdr:colOff>
      <xdr:row>2</xdr:row>
      <xdr:rowOff>68280</xdr:rowOff>
    </xdr:from>
    <xdr:to>
      <xdr:col>1</xdr:col>
      <xdr:colOff>825524</xdr:colOff>
      <xdr:row>3</xdr:row>
      <xdr:rowOff>132840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4D38AAE-AB8D-4D9B-A044-6612418903A9}"/>
            </a:ext>
          </a:extLst>
        </xdr:cNvPr>
        <xdr:cNvSpPr/>
      </xdr:nvSpPr>
      <xdr:spPr bwMode="auto">
        <a:xfrm>
          <a:off x="277814" y="401655"/>
          <a:ext cx="801710" cy="231248"/>
        </a:xfrm>
        <a:prstGeom prst="roundRect">
          <a:avLst/>
        </a:prstGeom>
        <a:solidFill>
          <a:schemeClr val="accent1">
            <a:lumMod val="50000"/>
          </a:schemeClr>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wrap="none" lIns="18288" tIns="0" rIns="0" bIns="0" rtlCol="0" anchor="ctr" upright="1">
          <a:spAutoFit/>
        </a:bodyPr>
        <a:lstStyle/>
        <a:p>
          <a:pPr algn="l"/>
          <a:r>
            <a:rPr lang="en-US" sz="1400">
              <a:solidFill>
                <a:schemeClr val="bg1"/>
              </a:solidFill>
              <a:latin typeface="Arial" panose="020B0604020202020204" pitchFamily="34" charset="0"/>
              <a:cs typeface="Arial" panose="020B0604020202020204" pitchFamily="34" charset="0"/>
            </a:rPr>
            <a:t>Summary</a:t>
          </a:r>
        </a:p>
      </xdr:txBody>
    </xdr:sp>
    <xdr:clientData/>
  </xdr:twoCellAnchor>
  <xdr:twoCellAnchor>
    <xdr:from>
      <xdr:col>1</xdr:col>
      <xdr:colOff>938214</xdr:colOff>
      <xdr:row>2</xdr:row>
      <xdr:rowOff>68280</xdr:rowOff>
    </xdr:from>
    <xdr:to>
      <xdr:col>1</xdr:col>
      <xdr:colOff>1862345</xdr:colOff>
      <xdr:row>3</xdr:row>
      <xdr:rowOff>132840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91B6828C-91B4-4021-89F2-30048734AB9E}"/>
            </a:ext>
          </a:extLst>
        </xdr:cNvPr>
        <xdr:cNvSpPr/>
      </xdr:nvSpPr>
      <xdr:spPr bwMode="auto">
        <a:xfrm>
          <a:off x="1192214" y="401655"/>
          <a:ext cx="924131" cy="231248"/>
        </a:xfrm>
        <a:prstGeom prst="roundRect">
          <a:avLst/>
        </a:prstGeom>
        <a:solidFill>
          <a:schemeClr val="accent1">
            <a:lumMod val="50000"/>
          </a:schemeClr>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wrap="none" lIns="18288" tIns="0" rIns="0" bIns="0" rtlCol="0" anchor="ctr" upright="1">
          <a:spAutoFit/>
        </a:bodyPr>
        <a:lstStyle/>
        <a:p>
          <a:pPr algn="l"/>
          <a:r>
            <a:rPr lang="en-US" sz="1400">
              <a:solidFill>
                <a:schemeClr val="bg1"/>
              </a:solidFill>
              <a:latin typeface="Arial" panose="020B0604020202020204" pitchFamily="34" charset="0"/>
              <a:cs typeface="Arial" panose="020B0604020202020204" pitchFamily="34" charset="0"/>
            </a:rPr>
            <a:t>Calculation</a:t>
          </a:r>
        </a:p>
      </xdr:txBody>
    </xdr:sp>
    <xdr:clientData/>
  </xdr:twoCellAnchor>
  <xdr:twoCellAnchor>
    <xdr:from>
      <xdr:col>1</xdr:col>
      <xdr:colOff>1953178</xdr:colOff>
      <xdr:row>2</xdr:row>
      <xdr:rowOff>69689</xdr:rowOff>
    </xdr:from>
    <xdr:to>
      <xdr:col>2</xdr:col>
      <xdr:colOff>652698</xdr:colOff>
      <xdr:row>3</xdr:row>
      <xdr:rowOff>131432</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1EF76E05-FB2D-4144-AD94-6B0AE7D7CD86}"/>
            </a:ext>
          </a:extLst>
        </xdr:cNvPr>
        <xdr:cNvSpPr/>
      </xdr:nvSpPr>
      <xdr:spPr bwMode="auto">
        <a:xfrm>
          <a:off x="2207178" y="403064"/>
          <a:ext cx="731520" cy="228431"/>
        </a:xfrm>
        <a:prstGeom prst="roundRect">
          <a:avLst/>
        </a:prstGeom>
        <a:solidFill>
          <a:schemeClr val="accent1">
            <a:lumMod val="50000"/>
          </a:schemeClr>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wrap="none" lIns="18288" tIns="0" rIns="0" bIns="0" rtlCol="0" anchor="ctr" upright="1">
          <a:spAutoFit/>
        </a:bodyPr>
        <a:lstStyle/>
        <a:p>
          <a:pPr algn="l"/>
          <a:r>
            <a:rPr lang="en-US" sz="1400">
              <a:solidFill>
                <a:schemeClr val="bg1"/>
              </a:solidFill>
              <a:latin typeface="Arial" panose="020B0604020202020204" pitchFamily="34" charset="0"/>
              <a:cs typeface="Arial" panose="020B0604020202020204" pitchFamily="34" charset="0"/>
            </a:rPr>
            <a:t>Volatility</a:t>
          </a:r>
        </a:p>
      </xdr:txBody>
    </xdr:sp>
    <xdr:clientData/>
  </xdr:twoCellAnchor>
  <xdr:twoCellAnchor>
    <xdr:from>
      <xdr:col>5</xdr:col>
      <xdr:colOff>239075</xdr:colOff>
      <xdr:row>2</xdr:row>
      <xdr:rowOff>68280</xdr:rowOff>
    </xdr:from>
    <xdr:to>
      <xdr:col>6</xdr:col>
      <xdr:colOff>730248</xdr:colOff>
      <xdr:row>3</xdr:row>
      <xdr:rowOff>132840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D71E9486-AE59-4506-9F5E-536A1238A254}"/>
            </a:ext>
          </a:extLst>
        </xdr:cNvPr>
        <xdr:cNvSpPr/>
      </xdr:nvSpPr>
      <xdr:spPr bwMode="auto">
        <a:xfrm>
          <a:off x="5152388" y="401655"/>
          <a:ext cx="1737360" cy="231248"/>
        </a:xfrm>
        <a:prstGeom prst="roundRect">
          <a:avLst/>
        </a:prstGeom>
        <a:solidFill>
          <a:schemeClr val="accent1">
            <a:lumMod val="50000"/>
          </a:schemeClr>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wrap="none" lIns="18288" tIns="0" rIns="0" bIns="0" rtlCol="0" anchor="ctr" upright="1">
          <a:spAutoFit/>
        </a:bodyPr>
        <a:lstStyle/>
        <a:p>
          <a:pPr algn="l"/>
          <a:r>
            <a:rPr lang="en-US" sz="1400">
              <a:solidFill>
                <a:schemeClr val="bg1"/>
              </a:solidFill>
              <a:latin typeface="Arial" panose="020B0604020202020204" pitchFamily="34" charset="0"/>
              <a:cs typeface="Arial" panose="020B0604020202020204" pitchFamily="34" charset="0"/>
            </a:rPr>
            <a:t>Formatting Guideline</a:t>
          </a:r>
        </a:p>
      </xdr:txBody>
    </xdr:sp>
    <xdr:clientData/>
  </xdr:twoCellAnchor>
  <xdr:twoCellAnchor>
    <xdr:from>
      <xdr:col>2</xdr:col>
      <xdr:colOff>752676</xdr:colOff>
      <xdr:row>2</xdr:row>
      <xdr:rowOff>68280</xdr:rowOff>
    </xdr:from>
    <xdr:to>
      <xdr:col>5</xdr:col>
      <xdr:colOff>137043</xdr:colOff>
      <xdr:row>3</xdr:row>
      <xdr:rowOff>132840</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C9D37E3E-FD25-40AD-BB4E-8BA81DA6EF94}"/>
            </a:ext>
          </a:extLst>
        </xdr:cNvPr>
        <xdr:cNvSpPr/>
      </xdr:nvSpPr>
      <xdr:spPr bwMode="auto">
        <a:xfrm>
          <a:off x="3038676" y="401655"/>
          <a:ext cx="2011680" cy="231248"/>
        </a:xfrm>
        <a:prstGeom prst="roundRect">
          <a:avLst/>
        </a:prstGeom>
        <a:solidFill>
          <a:schemeClr val="accent1">
            <a:lumMod val="50000"/>
          </a:schemeClr>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wrap="none" lIns="18288" tIns="0" rIns="0" bIns="0" rtlCol="0" anchor="ctr" upright="1">
          <a:spAutoFit/>
        </a:bodyPr>
        <a:lstStyle/>
        <a:p>
          <a:pPr algn="l"/>
          <a:r>
            <a:rPr lang="en-US" sz="1400">
              <a:solidFill>
                <a:schemeClr val="bg1"/>
              </a:solidFill>
              <a:latin typeface="Arial" panose="020B0604020202020204" pitchFamily="34" charset="0"/>
              <a:cs typeface="Arial" panose="020B0604020202020204" pitchFamily="34" charset="0"/>
            </a:rPr>
            <a:t>Calculation</a:t>
          </a:r>
          <a:r>
            <a:rPr lang="en-US" sz="1400" baseline="0">
              <a:solidFill>
                <a:schemeClr val="bg1"/>
              </a:solidFill>
              <a:latin typeface="Arial" panose="020B0604020202020204" pitchFamily="34" charset="0"/>
              <a:cs typeface="Arial" panose="020B0604020202020204" pitchFamily="34" charset="0"/>
            </a:rPr>
            <a:t> Methodology</a:t>
          </a:r>
          <a:endParaRPr lang="en-US" sz="1400">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1</xdr:col>
      <xdr:colOff>7938</xdr:colOff>
      <xdr:row>296</xdr:row>
      <xdr:rowOff>0</xdr:rowOff>
    </xdr:from>
    <xdr:to>
      <xdr:col>2</xdr:col>
      <xdr:colOff>871538</xdr:colOff>
      <xdr:row>305</xdr:row>
      <xdr:rowOff>14515</xdr:rowOff>
    </xdr:to>
    <xdr:pic>
      <xdr:nvPicPr>
        <xdr:cNvPr id="9" name="Picture 8">
          <a:extLst>
            <a:ext uri="{FF2B5EF4-FFF2-40B4-BE49-F238E27FC236}">
              <a16:creationId xmlns:a16="http://schemas.microsoft.com/office/drawing/2014/main" id="{3618342A-AD27-4096-8672-BBAAA8F86A47}"/>
            </a:ext>
          </a:extLst>
        </xdr:cNvPr>
        <xdr:cNvPicPr>
          <a:picLocks noChangeAspect="1"/>
        </xdr:cNvPicPr>
      </xdr:nvPicPr>
      <xdr:blipFill rotWithShape="1">
        <a:blip xmlns:r="http://schemas.openxmlformats.org/officeDocument/2006/relationships" r:embed="rId6"/>
        <a:srcRect b="52640"/>
        <a:stretch/>
      </xdr:blipFill>
      <xdr:spPr>
        <a:xfrm>
          <a:off x="261938" y="6286500"/>
          <a:ext cx="2895600" cy="144326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23813</xdr:colOff>
      <xdr:row>2</xdr:row>
      <xdr:rowOff>64377</xdr:rowOff>
    </xdr:from>
    <xdr:to>
      <xdr:col>1</xdr:col>
      <xdr:colOff>825523</xdr:colOff>
      <xdr:row>3</xdr:row>
      <xdr:rowOff>134058</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75FE9EFC-5287-E0C2-452B-6882E9EA77AB}"/>
            </a:ext>
          </a:extLst>
        </xdr:cNvPr>
        <xdr:cNvSpPr/>
      </xdr:nvSpPr>
      <xdr:spPr bwMode="auto">
        <a:xfrm>
          <a:off x="277813" y="389815"/>
          <a:ext cx="801710" cy="228431"/>
        </a:xfrm>
        <a:prstGeom prst="roundRect">
          <a:avLst/>
        </a:prstGeom>
        <a:solidFill>
          <a:schemeClr val="accent1">
            <a:lumMod val="50000"/>
          </a:schemeClr>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wrap="none" lIns="18288" tIns="0" rIns="0" bIns="0" rtlCol="0" anchor="ctr" upright="1">
          <a:spAutoFit/>
        </a:bodyPr>
        <a:lstStyle/>
        <a:p>
          <a:pPr algn="l"/>
          <a:r>
            <a:rPr lang="en-US" sz="1400">
              <a:solidFill>
                <a:schemeClr val="bg1"/>
              </a:solidFill>
              <a:latin typeface="Arial" panose="020B0604020202020204" pitchFamily="34" charset="0"/>
              <a:cs typeface="Arial" panose="020B0604020202020204" pitchFamily="34" charset="0"/>
            </a:rPr>
            <a:t>Summary</a:t>
          </a:r>
        </a:p>
      </xdr:txBody>
    </xdr:sp>
    <xdr:clientData/>
  </xdr:twoCellAnchor>
  <xdr:twoCellAnchor>
    <xdr:from>
      <xdr:col>1</xdr:col>
      <xdr:colOff>935229</xdr:colOff>
      <xdr:row>2</xdr:row>
      <xdr:rowOff>64377</xdr:rowOff>
    </xdr:from>
    <xdr:to>
      <xdr:col>2</xdr:col>
      <xdr:colOff>287735</xdr:colOff>
      <xdr:row>3</xdr:row>
      <xdr:rowOff>134058</xdr:rowOff>
    </xdr:to>
    <xdr:sp macro="" textlink="">
      <xdr:nvSpPr>
        <xdr:cNvPr id="6" name="Rectangle: Rounded Corners 5">
          <a:hlinkClick xmlns:r="http://schemas.openxmlformats.org/officeDocument/2006/relationships" r:id="rId2"/>
          <a:extLst>
            <a:ext uri="{FF2B5EF4-FFF2-40B4-BE49-F238E27FC236}">
              <a16:creationId xmlns:a16="http://schemas.microsoft.com/office/drawing/2014/main" id="{88668D40-E487-4B11-AFB1-58825F2075B1}"/>
            </a:ext>
          </a:extLst>
        </xdr:cNvPr>
        <xdr:cNvSpPr/>
      </xdr:nvSpPr>
      <xdr:spPr bwMode="auto">
        <a:xfrm>
          <a:off x="1189229" y="389815"/>
          <a:ext cx="924131" cy="228431"/>
        </a:xfrm>
        <a:prstGeom prst="roundRect">
          <a:avLst/>
        </a:prstGeom>
        <a:solidFill>
          <a:schemeClr val="accent1">
            <a:lumMod val="50000"/>
          </a:schemeClr>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wrap="none" lIns="18288" tIns="0" rIns="0" bIns="0" rtlCol="0" anchor="ctr" upright="1">
          <a:spAutoFit/>
        </a:bodyPr>
        <a:lstStyle/>
        <a:p>
          <a:pPr algn="l"/>
          <a:r>
            <a:rPr lang="en-US" sz="1400">
              <a:solidFill>
                <a:schemeClr val="bg1"/>
              </a:solidFill>
              <a:latin typeface="Arial" panose="020B0604020202020204" pitchFamily="34" charset="0"/>
              <a:cs typeface="Arial" panose="020B0604020202020204" pitchFamily="34" charset="0"/>
            </a:rPr>
            <a:t>Calculation</a:t>
          </a:r>
        </a:p>
      </xdr:txBody>
    </xdr:sp>
    <xdr:clientData/>
  </xdr:twoCellAnchor>
  <xdr:twoCellAnchor>
    <xdr:from>
      <xdr:col>2</xdr:col>
      <xdr:colOff>397441</xdr:colOff>
      <xdr:row>2</xdr:row>
      <xdr:rowOff>64377</xdr:rowOff>
    </xdr:from>
    <xdr:to>
      <xdr:col>4</xdr:col>
      <xdr:colOff>242339</xdr:colOff>
      <xdr:row>3</xdr:row>
      <xdr:rowOff>134058</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9853E962-5D9B-4B48-9E25-43472B6AE044}"/>
            </a:ext>
          </a:extLst>
        </xdr:cNvPr>
        <xdr:cNvSpPr/>
      </xdr:nvSpPr>
      <xdr:spPr bwMode="auto">
        <a:xfrm>
          <a:off x="2223066" y="389815"/>
          <a:ext cx="1257773" cy="228431"/>
        </a:xfrm>
        <a:prstGeom prst="roundRect">
          <a:avLst/>
        </a:prstGeom>
        <a:solidFill>
          <a:schemeClr val="accent1">
            <a:lumMod val="50000"/>
          </a:schemeClr>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wrap="none" lIns="18288" tIns="0" rIns="0" bIns="0" rtlCol="0" anchor="ctr" upright="1">
          <a:spAutoFit/>
        </a:bodyPr>
        <a:lstStyle/>
        <a:p>
          <a:pPr algn="l"/>
          <a:r>
            <a:rPr lang="en-US" sz="1400">
              <a:solidFill>
                <a:schemeClr val="bg1"/>
              </a:solidFill>
              <a:latin typeface="Arial" panose="020B0604020202020204" pitchFamily="34" charset="0"/>
              <a:cs typeface="Arial" panose="020B0604020202020204" pitchFamily="34" charset="0"/>
            </a:rPr>
            <a:t>Binomial Model</a:t>
          </a:r>
        </a:p>
      </xdr:txBody>
    </xdr:sp>
    <xdr:clientData/>
  </xdr:twoCellAnchor>
  <xdr:twoCellAnchor>
    <xdr:from>
      <xdr:col>7</xdr:col>
      <xdr:colOff>536518</xdr:colOff>
      <xdr:row>2</xdr:row>
      <xdr:rowOff>64377</xdr:rowOff>
    </xdr:from>
    <xdr:to>
      <xdr:col>10</xdr:col>
      <xdr:colOff>308756</xdr:colOff>
      <xdr:row>3</xdr:row>
      <xdr:rowOff>134058</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EAAA4BE8-9557-4A7E-B4F5-5A89A7C78A93}"/>
            </a:ext>
          </a:extLst>
        </xdr:cNvPr>
        <xdr:cNvSpPr/>
      </xdr:nvSpPr>
      <xdr:spPr bwMode="auto">
        <a:xfrm>
          <a:off x="5703831" y="389815"/>
          <a:ext cx="1701050" cy="228431"/>
        </a:xfrm>
        <a:prstGeom prst="roundRect">
          <a:avLst/>
        </a:prstGeom>
        <a:solidFill>
          <a:schemeClr val="accent1">
            <a:lumMod val="50000"/>
          </a:schemeClr>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wrap="none" lIns="18288" tIns="0" rIns="0" bIns="0" rtlCol="0" anchor="ctr" upright="1">
          <a:spAutoFit/>
        </a:bodyPr>
        <a:lstStyle/>
        <a:p>
          <a:pPr algn="l"/>
          <a:r>
            <a:rPr lang="en-US" sz="1400">
              <a:solidFill>
                <a:schemeClr val="bg1"/>
              </a:solidFill>
              <a:latin typeface="Arial" panose="020B0604020202020204" pitchFamily="34" charset="0"/>
              <a:cs typeface="Arial" panose="020B0604020202020204" pitchFamily="34" charset="0"/>
            </a:rPr>
            <a:t>Formatting Guideline</a:t>
          </a:r>
        </a:p>
      </xdr:txBody>
    </xdr:sp>
    <xdr:clientData/>
  </xdr:twoCellAnchor>
  <xdr:twoCellAnchor>
    <xdr:from>
      <xdr:col>4</xdr:col>
      <xdr:colOff>352045</xdr:colOff>
      <xdr:row>2</xdr:row>
      <xdr:rowOff>64377</xdr:rowOff>
    </xdr:from>
    <xdr:to>
      <xdr:col>7</xdr:col>
      <xdr:colOff>426813</xdr:colOff>
      <xdr:row>3</xdr:row>
      <xdr:rowOff>134058</xdr:rowOff>
    </xdr:to>
    <xdr:sp macro="" textlink="">
      <xdr:nvSpPr>
        <xdr:cNvPr id="9" name="Rectangle: Rounded Corners 8">
          <a:hlinkClick xmlns:r="http://schemas.openxmlformats.org/officeDocument/2006/relationships" r:id="rId5"/>
          <a:extLst>
            <a:ext uri="{FF2B5EF4-FFF2-40B4-BE49-F238E27FC236}">
              <a16:creationId xmlns:a16="http://schemas.microsoft.com/office/drawing/2014/main" id="{EBBE24F6-2D1C-4403-BDC5-402FAE2F4834}"/>
            </a:ext>
          </a:extLst>
        </xdr:cNvPr>
        <xdr:cNvSpPr/>
      </xdr:nvSpPr>
      <xdr:spPr bwMode="auto">
        <a:xfrm>
          <a:off x="3590545" y="389815"/>
          <a:ext cx="2003581" cy="228431"/>
        </a:xfrm>
        <a:prstGeom prst="roundRect">
          <a:avLst/>
        </a:prstGeom>
        <a:solidFill>
          <a:schemeClr val="accent1">
            <a:lumMod val="50000"/>
          </a:schemeClr>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wrap="none" lIns="18288" tIns="0" rIns="0" bIns="0" rtlCol="0" anchor="ctr" upright="1">
          <a:spAutoFit/>
        </a:bodyPr>
        <a:lstStyle/>
        <a:p>
          <a:pPr algn="l"/>
          <a:r>
            <a:rPr lang="en-US" sz="1400">
              <a:solidFill>
                <a:schemeClr val="bg1"/>
              </a:solidFill>
              <a:latin typeface="Arial" panose="020B0604020202020204" pitchFamily="34" charset="0"/>
              <a:cs typeface="Arial" panose="020B0604020202020204" pitchFamily="34" charset="0"/>
            </a:rPr>
            <a:t>Calculation</a:t>
          </a:r>
          <a:r>
            <a:rPr lang="en-US" sz="1400" baseline="0">
              <a:solidFill>
                <a:schemeClr val="bg1"/>
              </a:solidFill>
              <a:latin typeface="Arial" panose="020B0604020202020204" pitchFamily="34" charset="0"/>
              <a:cs typeface="Arial" panose="020B0604020202020204" pitchFamily="34" charset="0"/>
            </a:rPr>
            <a:t> Methodology</a:t>
          </a:r>
          <a:endParaRPr lang="en-US" sz="1400">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1</xdr:col>
      <xdr:colOff>0</xdr:colOff>
      <xdr:row>71</xdr:row>
      <xdr:rowOff>0</xdr:rowOff>
    </xdr:from>
    <xdr:to>
      <xdr:col>6</xdr:col>
      <xdr:colOff>410362</xdr:colOff>
      <xdr:row>88</xdr:row>
      <xdr:rowOff>54073</xdr:rowOff>
    </xdr:to>
    <xdr:pic>
      <xdr:nvPicPr>
        <xdr:cNvPr id="13" name="Picture 12" descr="Binomial Lattice with CRR formulae">
          <a:extLst>
            <a:ext uri="{FF2B5EF4-FFF2-40B4-BE49-F238E27FC236}">
              <a16:creationId xmlns:a16="http://schemas.microsoft.com/office/drawing/2014/main" id="{019AFE9C-4A4C-43C3-BE5E-7984899861C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54000" y="12120563"/>
          <a:ext cx="4680737" cy="2752823"/>
        </a:xfrm>
        <a:prstGeom prst="rect">
          <a:avLst/>
        </a:prstGeom>
        <a:noFill/>
        <a:ln>
          <a:noFill/>
        </a:ln>
      </xdr:spPr>
    </xdr:pic>
    <xdr:clientData/>
  </xdr:twoCellAnchor>
  <xdr:twoCellAnchor editAs="oneCell">
    <xdr:from>
      <xdr:col>4</xdr:col>
      <xdr:colOff>53755</xdr:colOff>
      <xdr:row>84</xdr:row>
      <xdr:rowOff>106099</xdr:rowOff>
    </xdr:from>
    <xdr:to>
      <xdr:col>6</xdr:col>
      <xdr:colOff>526332</xdr:colOff>
      <xdr:row>87</xdr:row>
      <xdr:rowOff>85013</xdr:rowOff>
    </xdr:to>
    <xdr:pic>
      <xdr:nvPicPr>
        <xdr:cNvPr id="14" name="Picture 13">
          <a:extLst>
            <a:ext uri="{FF2B5EF4-FFF2-40B4-BE49-F238E27FC236}">
              <a16:creationId xmlns:a16="http://schemas.microsoft.com/office/drawing/2014/main" id="{3C930393-E4EF-4F69-840E-B015CFBD5603}"/>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3292255" y="14290412"/>
          <a:ext cx="1758452" cy="455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95043</xdr:colOff>
      <xdr:row>72</xdr:row>
      <xdr:rowOff>134512</xdr:rowOff>
    </xdr:from>
    <xdr:to>
      <xdr:col>6</xdr:col>
      <xdr:colOff>567731</xdr:colOff>
      <xdr:row>77</xdr:row>
      <xdr:rowOff>111051</xdr:rowOff>
    </xdr:to>
    <xdr:pic>
      <xdr:nvPicPr>
        <xdr:cNvPr id="15" name="Picture 14">
          <a:extLst>
            <a:ext uri="{FF2B5EF4-FFF2-40B4-BE49-F238E27FC236}">
              <a16:creationId xmlns:a16="http://schemas.microsoft.com/office/drawing/2014/main" id="{B1E52833-8419-4392-986A-B90CBF73EF64}"/>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3333543" y="12413825"/>
          <a:ext cx="1758563" cy="7702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rsfo2\cfddata\TEMP\Cache\Temporary%20Internet%20Files\OLK8\my%20documents\Industry%20Books\Txtm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UME~1\msummers\LOCALS~1\Temp\Calculation%20of%20PP.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Projects\Projects3\Rackspace%20Managed%20Hosting\comps%20for%20Garry.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evern\DeptData\deptdata\Accounting\Shared\2006\P12\Market%20Forecast%20v.%20Actual%20p1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Severn\DeptData\deptdata\Accounting\Shared\Budgets\2006%20Budget\Budget%20210\Budget%20209\Restaurant%20Level%20Adjustments\Finished%20Market%20Summaries\Indianapolis.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Severn\DeptData\deptdata\Accounting\Shared\Budgets\2006%20Budget\Budget%20210\Budget%20209\Restaurant%20Level%20Adjustments\Final%20Forecast%20by%20AM\Mediate\Segovia.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Severn\DeptData\deptdata\Accounting\Shared\Budgets\2006%20Budget\Budget%20210\Budget%20209\Restaurant%20Level%20Adjustments\Finished%20Market%20Summaries\Central%20Florida.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TEMP\ie5\Temporary%20Internet%20Files\OLK8A\LBO%20Models\PIGLET%20Current.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Hfbe-dc\public\Projects\Projects\DDI\2007\Value%20-%20FND%20-%202007_07-17.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Severn\deptdata\2008\P4\Executive%20Summary\Executive%20Summary%20p3-2008.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Severn\DeptData\deptdata\Accounting\Shared\2006\P9\Market%20Forecast%20v.%20Actual.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Severn\DeptData\deptdata\Accounting\Shared\Budgets\2006%20Budget\Budget%20210\Budget%20209\2006%20Forecast%207-28-06.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T:\TEMP\98_1151.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T:\TEMP\JNIFY00ASSETS.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Severn\DeptData\deptdata\Accounting\Shared\Budgets\2006%20Budget\Budget%20210\Budget%20209\Restaurant%20Level%20Adjustments\Finished%20Market%20Summaries\Mobile.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Severn\DeptData\deptdata\Accounting\Shared\Budgets\2006%20Budget\Budget%20210\Budget%20209\Restaurant%20Level%20Adjustments\Finished%20Market%20Summaries\Tallahassee.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F:\Projects\Projects3\Bill%20Harbert%20Family%20LLC\Value%20-%20Bill%20Harbert%20-%20Oct%2031.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Q:\shared\STUDIES\ECONOMY\NEW\2001\2001_03-30.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F:\shared\STUDIES\ECONOMY\2001\2001_07-11.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srsfo1\cfddata\common\Mergers%20&amp;%20Acquisitions\Potential%20Clients\Project%20Alcatraz\Models\LBO%20Model\ROFO.LBO.6.22.01.v4.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F:\Projects\Projects3\HWP%20Partners\Projects\Projects3\MACFRAN\2-12-2007\Report\Nice%20-%20MacFran%20v5.8-c.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F:\Common\Tas%20Hasan\Templates\Comp%20Model\TSM%20Calc.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zeus\data\Users\hantoniades\Documents\Benefits\401k\401k%20Allocations%20analysis.xlsx"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zeus\data\Users\eroman\Downloads\New%20Joiner%20models\New%20Joiner%20package%20v2\Other%20tools\historical%20volatility%20CAP-IQ.xlsx"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F:\Engagements\Active\10%20-%20BV\10-30562%20Workforce%20Software,%20LLC%20(Stock%20Options)\Analysis\Workforce_2015.01.29_v01.xlsm"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F:\LBOs\Trico%20Marine\TMAR%20Ownership.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Users/cornelia/Documents/JE%202010,%202011,%202012/2012-04%20Apr/NS-39%20To%20Record%20Capitalization%20of%20Fixed%20Assets%20Apr-12.xlsm"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F:\Projects\Projects3\Geokinetics\August%202006\2006%20GLOBE%20Pro%20Forma%20MA%208.22.06%20-%20TLB.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Bal%20Sheet%20Recs/2010/2nd%20Quarter%202010/5May%202010/23225%20-%2029100%20Deferred%20Rent-May.10.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Users/cornelia/AppData/Local/Microsoft/Windows/Temporary%20Internet%20Files/Content.Outlook/5OSB27SL/WINDOWS/TEMP/notesE1EF34/27000%20Deferred%20Rent%20200712.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F:\Public\STUDIES\Closed-end%20studies\CORP\2008\Corp%202008%2012-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 Transaction"/>
      <sheetName val="#REF"/>
      <sheetName val="Txtma"/>
      <sheetName val="Data"/>
      <sheetName val="Ops"/>
      <sheetName val="Equity"/>
      <sheetName val="Ass"/>
      <sheetName val="Depn"/>
      <sheetName val="Debt"/>
      <sheetName val="OpsAss"/>
      <sheetName val="Cash"/>
      <sheetName val="Q_Accts"/>
      <sheetName val="Growth_Rates"/>
      <sheetName val="ScenSelect"/>
      <sheetName val="matrix-quant"/>
      <sheetName val="Summary"/>
      <sheetName val="Company CF"/>
      <sheetName val="Monthly Trend"/>
      <sheetName val="10 YEAR CASH FLOW PROJECTIONS"/>
      <sheetName val="IRR1295A"/>
      <sheetName val="Amortize"/>
      <sheetName val="QTR-BS&amp;CF"/>
      <sheetName val="Beta"/>
      <sheetName val="Projec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ur. Price"/>
      <sheetName val="As Adjusted"/>
      <sheetName val="Adjustments"/>
      <sheetName val="Original"/>
      <sheetName val="AR Elim Detail"/>
      <sheetName val="Bal Sheet Adj Detail"/>
      <sheetName val="Report-Chart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s-Fin"/>
      <sheetName val="Comps-Stats"/>
      <sheetName val="Comps-Mults"/>
      <sheetName val="Comp. Transaction"/>
      <sheetName val="Volatility"/>
      <sheetName val="Data"/>
      <sheetName val="QTR-BS&amp;CF"/>
      <sheetName val="Monthly Trend"/>
      <sheetName val="Sheet1"/>
      <sheetName val="IRR_2.5%"/>
      <sheetName val="Input-IS"/>
      <sheetName val="Cons"/>
      <sheetName val="Misc"/>
      <sheetName val="95TAXPROV-HEC"/>
      <sheetName val="Inpu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cBookData"/>
      <sheetName val="pcQueryData"/>
      <sheetName val="_pcHiddenSheet1"/>
      <sheetName val="Market Summary"/>
      <sheetName val="Market Results MD&amp;A"/>
    </sheetNames>
    <sheetDataSet>
      <sheetData sheetId="0"/>
      <sheetData sheetId="1" refreshError="1">
        <row r="3">
          <cell r="A3" t="str">
            <v>_Actual_Total_208_209_210_Act_v_Budget_00</v>
          </cell>
        </row>
      </sheetData>
      <sheetData sheetId="2"/>
      <sheetData sheetId="3"/>
      <sheetData sheetId="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cBookData"/>
      <sheetName val="pcQueryData"/>
      <sheetName val="_pcHiddenSheet1"/>
      <sheetName val="Report1"/>
      <sheetName val="_pcHiddenSheet2"/>
      <sheetName val="208"/>
      <sheetName val="_pcHiddenSheet3"/>
      <sheetName val="209"/>
      <sheetName val="_pcHiddenSheet4"/>
      <sheetName val="211"/>
      <sheetName val="_pcHiddenSheet5"/>
      <sheetName val="212"/>
      <sheetName val="_pcHiddenSheet6"/>
      <sheetName val="215"/>
      <sheetName val="_pcHiddenSheet7"/>
      <sheetName val="217"/>
      <sheetName val="_pcHiddenSheet8"/>
      <sheetName val="6210"/>
      <sheetName val="_pcHiddenSheet9"/>
      <sheetName val="6234"/>
      <sheetName val="_pcHiddenSheet10"/>
      <sheetName val="6236"/>
      <sheetName val="_pcHiddenSheet11"/>
      <sheetName val="210"/>
      <sheetName val="_pcHiddenSheet12"/>
      <sheetName val="241"/>
      <sheetName val="_pcHiddenSheet13"/>
      <sheetName val="242"/>
      <sheetName val="_pcHiddenSheet14"/>
      <sheetName val="243"/>
      <sheetName val="_pcHiddenSheet15"/>
      <sheetName val="245"/>
      <sheetName val="_pcHiddenSheet16"/>
      <sheetName val="246"/>
      <sheetName val="_pcHiddenSheet17"/>
      <sheetName val="247"/>
      <sheetName val="_pcHiddenSheet18"/>
      <sheetName val="203"/>
      <sheetName val="_pcHiddenSheet19"/>
      <sheetName val="204"/>
      <sheetName val="_pcHiddenSheet20"/>
      <sheetName val="205"/>
      <sheetName val="_pcHiddenSheet21"/>
      <sheetName val="206"/>
      <sheetName val="_pcHiddenSheet22"/>
      <sheetName val="207"/>
      <sheetName val="_pcHiddenSheet23"/>
      <sheetName val="214"/>
      <sheetName val="_pcHiddenSheet24"/>
      <sheetName val="248"/>
      <sheetName val="_pcHiddenSheet25"/>
      <sheetName val="6191"/>
      <sheetName val="_pcHiddenSheet26"/>
      <sheetName val="6209"/>
    </sheetNames>
    <sheetDataSet>
      <sheetData sheetId="0" refreshError="1"/>
      <sheetData sheetId="1" refreshError="1">
        <row r="3">
          <cell r="A3" t="str">
            <v>__Total_208_209_210_Level6member_Name_by_Fiscal_00_00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cBookData"/>
      <sheetName val="pcQueryData"/>
      <sheetName val="_pcHiddenSheet1"/>
      <sheetName val="Segovia"/>
      <sheetName val="_pcHiddenSheet2"/>
      <sheetName val="6310"/>
      <sheetName val="_pcHiddenSheet3"/>
      <sheetName val="6313"/>
      <sheetName val="_pcHiddenSheet4"/>
      <sheetName val="6314"/>
      <sheetName val="_pcHiddenSheet5"/>
      <sheetName val="6317"/>
      <sheetName val="_pcHiddenSheet6"/>
      <sheetName val="6324"/>
      <sheetName val="_pcHiddenSheet7"/>
      <sheetName val="6328"/>
      <sheetName val="_pcHiddenSheet8"/>
      <sheetName val="6330"/>
      <sheetName val="_pcHiddenSheet9"/>
      <sheetName val="6332"/>
    </sheetNames>
    <sheetDataSet>
      <sheetData sheetId="0" refreshError="1"/>
      <sheetData sheetId="1" refreshError="1">
        <row r="4">
          <cell r="A4" t="str">
            <v>__Total_208_209_210_Level6member_Name_by_Fiscal_00_01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cBookData"/>
      <sheetName val="pcQueryData"/>
      <sheetName val="_pcHiddenSheet38"/>
      <sheetName val="Report1"/>
      <sheetName val="_pcHiddenSheet2"/>
      <sheetName val="6260"/>
      <sheetName val="_pcHiddenSheet3"/>
      <sheetName val="6261"/>
      <sheetName val="_pcHiddenSheet4"/>
      <sheetName val="6262"/>
      <sheetName val="_pcHiddenSheet5"/>
      <sheetName val="6263"/>
      <sheetName val="_pcHiddenSheet6"/>
      <sheetName val="6264"/>
      <sheetName val="_pcHiddenSheet7"/>
      <sheetName val="6322"/>
      <sheetName val="_pcHiddenSheet8"/>
      <sheetName val="6329"/>
      <sheetName val="_pcHiddenSheet10"/>
      <sheetName val="6307"/>
      <sheetName val="_pcHiddenSheet11"/>
      <sheetName val="6308"/>
      <sheetName val="_pcHiddenSheet12"/>
      <sheetName val="6309"/>
      <sheetName val="_pcHiddenSheet13"/>
      <sheetName val="6316"/>
      <sheetName val="_pcHiddenSheet14"/>
      <sheetName val="6318"/>
      <sheetName val="_pcHiddenSheet15"/>
      <sheetName val="6323"/>
      <sheetName val="_pcHiddenSheet16"/>
      <sheetName val="6326"/>
      <sheetName val="_pcHiddenSheet17"/>
      <sheetName val="6331"/>
      <sheetName val="_pcHiddenSheet18"/>
      <sheetName val="6312"/>
      <sheetName val="_pcHiddenSheet19"/>
      <sheetName val="6315"/>
      <sheetName val="_pcHiddenSheet20"/>
      <sheetName val="6319"/>
      <sheetName val="_pcHiddenSheet21"/>
      <sheetName val="6320"/>
      <sheetName val="_pcHiddenSheet22"/>
      <sheetName val="6321"/>
      <sheetName val="_pcHiddenSheet23"/>
      <sheetName val="6325"/>
      <sheetName val="_pcHiddenSheet24"/>
      <sheetName val="6327"/>
      <sheetName val="_pcHiddenSheet25"/>
      <sheetName val="6271"/>
      <sheetName val="_pcHiddenSheet26"/>
      <sheetName val="6274"/>
      <sheetName val="_pcHiddenSheet27"/>
      <sheetName val="6276"/>
      <sheetName val="_pcHiddenSheet28"/>
      <sheetName val="6281"/>
      <sheetName val="_pcHiddenSheet29"/>
      <sheetName val="6283"/>
      <sheetName val="_pcHiddenSheet30"/>
      <sheetName val="6310"/>
      <sheetName val="_pcHiddenSheet31"/>
      <sheetName val="6313"/>
      <sheetName val="_pcHiddenSheet32"/>
      <sheetName val="6314"/>
      <sheetName val="_pcHiddenSheet33"/>
      <sheetName val="6317"/>
      <sheetName val="_pcHiddenSheet34"/>
      <sheetName val="6324"/>
      <sheetName val="_pcHiddenSheet35"/>
      <sheetName val="6328"/>
      <sheetName val="_pcHiddenSheet36"/>
      <sheetName val="6330"/>
      <sheetName val="_pcHiddenSheet37"/>
      <sheetName val="6332"/>
      <sheetName val="Original"/>
    </sheetNames>
    <sheetDataSet>
      <sheetData sheetId="0" refreshError="1"/>
      <sheetData sheetId="1" refreshError="1">
        <row r="38">
          <cell r="A38" t="str">
            <v>__Total_208_209_210_Level6member_Name_by_Fiscal_01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BO"/>
      <sheetName val="Fin'g"/>
      <sheetName val="Drivers &amp; Assumptions"/>
      <sheetName val="Revs-UNUSED"/>
      <sheetName val="Module1"/>
      <sheetName val="Module2"/>
      <sheetName val="PAGE 1"/>
      <sheetName val="Comp. Transaction"/>
      <sheetName val="Print Sections I &amp; II"/>
      <sheetName val="Input"/>
      <sheetName val="Comps"/>
      <sheetName val="Sens"/>
      <sheetName val="Inputs"/>
      <sheetName val="Cover Sheet"/>
      <sheetName val="Data"/>
      <sheetName val="CSFB Merger Model"/>
      <sheetName val="Cap Structure"/>
      <sheetName val="Edge 10797 Drilling Inventory"/>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g Chart "/>
      <sheetName val="IS"/>
      <sheetName val="BS"/>
      <sheetName val="Securities"/>
      <sheetName val=" NAV"/>
      <sheetName val="SEC"/>
      <sheetName val="Silber"/>
      <sheetName val="FMV 1"/>
      <sheetName val="CFAI"/>
      <sheetName val="Sum"/>
      <sheetName val="Comp"/>
      <sheetName val="Discount Factors"/>
      <sheetName val="FMV"/>
      <sheetName val="Ownership"/>
      <sheetName val="NAV"/>
      <sheetName val="M&amp;A"/>
      <sheetName val="Comp. Transaction"/>
      <sheetName val="Edge 10797 Drilling Inventory"/>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Executive Summary p2"/>
      <sheetName val="Dashbaord Week 1 p3"/>
      <sheetName val="Dashboard Week 2 p3"/>
      <sheetName val="Dashboard Week 3 p3"/>
      <sheetName val="Dashboard Week 4 p4"/>
      <sheetName val="Snapshot p7"/>
      <sheetName val="SSS Company p8"/>
      <sheetName val="SSS by Daypart p#"/>
      <sheetName val="Check Assumptions p9"/>
      <sheetName val="SSS Totals p10"/>
      <sheetName val="Development p11"/>
      <sheetName val="New Restaurant Sales p12"/>
      <sheetName val="PTD v. PY p13 "/>
      <sheetName val="YTD v. PY p14 "/>
      <sheetName val="ConincSEC2"/>
      <sheetName val="Rolling 4 periods p15"/>
      <sheetName val="pcBookData"/>
      <sheetName val="pcQueryData"/>
      <sheetName val="_pcHiddenSheet1"/>
      <sheetName val="EBITDA adjustments p16"/>
      <sheetName val="Mkt Summ - Data"/>
      <sheetName val="Period Market Summary p17"/>
      <sheetName val="YTD Period Mkt Sum p18"/>
      <sheetName val="Market Results p19-34"/>
      <sheetName val="Food Cost p35-38"/>
      <sheetName val="Complaints p39"/>
      <sheetName val="Ideal v. Actual p40"/>
      <sheetName val="Com Core Rollup w-NWO COLOR p41"/>
      <sheetName val="Com Core Rollup wo-NWO COLORp42"/>
      <sheetName val="Atlanta COLOR p43"/>
      <sheetName val="Biloxi COLOR p44"/>
      <sheetName val="Cincinnati COLOR p45"/>
      <sheetName val="Detroit COLOR p46"/>
      <sheetName val="Indianapolis COLOR p47"/>
      <sheetName val="Jacksonville COLOR p48"/>
      <sheetName val="Memphis COLOR p49"/>
      <sheetName val="Miami COLOR p50"/>
      <sheetName val="Mobile COLOR p51"/>
      <sheetName val="New Orleans COLOR p52"/>
      <sheetName val="Orlando COLOR p53"/>
      <sheetName val="Philadelphia COLOR p54"/>
      <sheetName val="Tampa COLOR p55"/>
      <sheetName val="Toledo COLOR p56"/>
      <sheetName val="West Palm COLOR p57"/>
      <sheetName val="Franchise P&amp;L p90"/>
      <sheetName val="Promo Calendar - COLOR p9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3">
          <cell r="A3" t="str">
            <v>_Actual_Dmaname_00</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cBookData"/>
      <sheetName val="pcQueryData"/>
      <sheetName val="_pcHiddenSheet1"/>
      <sheetName val="Market Summary"/>
      <sheetName val="Market Results"/>
      <sheetName val="Market Results MD&amp;A"/>
    </sheetNames>
    <sheetDataSet>
      <sheetData sheetId="0"/>
      <sheetData sheetId="1" refreshError="1">
        <row r="3">
          <cell r="A3" t="str">
            <v>_Actual_Total_208_209_210_Act_v_Budget_00</v>
          </cell>
        </row>
      </sheetData>
      <sheetData sheetId="2"/>
      <sheetData sheetId="3"/>
      <sheetData sheetId="4"/>
      <sheetData sheetId="5"/>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cBookData"/>
      <sheetName val="pcQueryData"/>
      <sheetName val="_pcHiddenSheet1"/>
      <sheetName val="FORECAST"/>
      <sheetName val="%"/>
      <sheetName val="_pcHiddenSheet2"/>
      <sheetName val="EBITDA add backs-budget"/>
      <sheetName val="Report1"/>
      <sheetName val="EBITDA add backs"/>
      <sheetName val="rest level"/>
      <sheetName val="rest level budget"/>
      <sheetName val="pub co strat alt"/>
      <sheetName val="2005 new stores"/>
      <sheetName val="2006 new stores"/>
      <sheetName val="Memphis"/>
      <sheetName val="Tallahassee"/>
      <sheetName val="Daytona"/>
      <sheetName val="Titan"/>
    </sheetNames>
    <sheetDataSet>
      <sheetData sheetId="0" refreshError="1"/>
      <sheetData sheetId="1" refreshError="1">
        <row r="3">
          <cell r="A3" t="str">
            <v>_Total_208_209_210_Level7member_Name_00</v>
          </cell>
        </row>
        <row r="4">
          <cell r="A4" t="str">
            <v>_Bud210_Level7member_Name_00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CR 1ST &amp; 2ND QTR"/>
      <sheetName val="JNI 1ST &amp; 2ND QTR"/>
      <sheetName val="JNI 3RD &amp; 4TH QTR"/>
      <sheetName val="pcQueryData"/>
    </sheetNames>
    <sheetDataSet>
      <sheetData sheetId="0"/>
      <sheetData sheetId="1"/>
      <sheetData sheetId="2"/>
      <sheetData sheetId="3"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0XX"/>
      <sheetName val="COMPLN 1Q &amp; 2Q"/>
      <sheetName val="COMPLN Q3 &amp; Q4"/>
      <sheetName val="1300"/>
      <sheetName val="1320"/>
      <sheetName val="1320 susan"/>
      <sheetName val="1390"/>
      <sheetName val="1714&amp;1764"/>
      <sheetName val="1800"/>
      <sheetName val="1801"/>
      <sheetName val="1806"/>
      <sheetName val="pcQueryData"/>
    </sheetNames>
    <sheetDataSet>
      <sheetData sheetId="0"/>
      <sheetData sheetId="1"/>
      <sheetData sheetId="2"/>
      <sheetData sheetId="3"/>
      <sheetData sheetId="4"/>
      <sheetData sheetId="5"/>
      <sheetData sheetId="6"/>
      <sheetData sheetId="7"/>
      <sheetData sheetId="8"/>
      <sheetData sheetId="9"/>
      <sheetData sheetId="10"/>
      <sheetData sheetId="11"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cBookData"/>
      <sheetName val="pcQueryData"/>
      <sheetName val="_pcHiddenSheet2"/>
      <sheetName val="Report1"/>
      <sheetName val="6302"/>
      <sheetName val="_pcHiddenSheet3"/>
      <sheetName val="6303"/>
      <sheetName val="_pcHiddenSheet4"/>
      <sheetName val="6304"/>
      <sheetName val="_pcHiddenSheet5"/>
      <sheetName val="6305"/>
      <sheetName val="_pcHiddenSheet6"/>
      <sheetName val="6306"/>
      <sheetName val="_pcHiddenSheet7"/>
      <sheetName val="6288"/>
      <sheetName val="_pcHiddenSheet8"/>
      <sheetName val="6290"/>
      <sheetName val="_pcHiddenSheet9"/>
      <sheetName val="6292"/>
      <sheetName val="_pcHiddenSheet10"/>
      <sheetName val="6293"/>
      <sheetName val="_pcHiddenSheet11"/>
      <sheetName val="6296"/>
      <sheetName val="_pcHiddenSheet12"/>
      <sheetName val="6299"/>
      <sheetName val="_pcHiddenSheet13"/>
      <sheetName val="6287"/>
      <sheetName val="_pcHiddenSheet14"/>
      <sheetName val="6289"/>
      <sheetName val="_pcHiddenSheet15"/>
      <sheetName val="6291"/>
      <sheetName val="_pcHiddenSheet16"/>
      <sheetName val="6294"/>
      <sheetName val="_pcHiddenSheet17"/>
      <sheetName val="6295"/>
      <sheetName val="_pcHiddenSheet18"/>
      <sheetName val="6297"/>
      <sheetName val="_pcHiddenSheet19"/>
      <sheetName val="6298"/>
      <sheetName val="_pcHiddenSheet20"/>
      <sheetName val="6300"/>
      <sheetName val="_pcHiddenSheet21"/>
      <sheetName val="_pcHiddenSheet22"/>
      <sheetName val="6301"/>
    </sheetNames>
    <sheetDataSet>
      <sheetData sheetId="0" refreshError="1"/>
      <sheetData sheetId="1" refreshError="1">
        <row r="23">
          <cell r="A23" t="str">
            <v>_Total_208_209_210_for_Mobile_Level6member_Name_00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cBookData"/>
      <sheetName val="pcQueryData"/>
      <sheetName val="_pcHiddenSheet8"/>
      <sheetName val="Report1"/>
      <sheetName val="_pcHiddenSheet2"/>
      <sheetName val="6265"/>
      <sheetName val="_pcHiddenSheet3"/>
      <sheetName val="6266"/>
      <sheetName val="_pcHiddenSheet4"/>
      <sheetName val="6267"/>
      <sheetName val="_pcHiddenSheet5"/>
      <sheetName val="6268"/>
      <sheetName val="_pcHiddenSheet6"/>
      <sheetName val="6269"/>
      <sheetName val="_pcHiddenSheet7"/>
      <sheetName val="6270"/>
    </sheetNames>
    <sheetDataSet>
      <sheetData sheetId="0" refreshError="1"/>
      <sheetData sheetId="1" refreshError="1">
        <row r="9">
          <cell r="A9" t="str">
            <v>_Total_208_209_210_Level6member_Name_by_Fiscal_00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g Chart "/>
      <sheetName val="BS -LLC "/>
      <sheetName val="IS-LLC "/>
      <sheetName val="US Econ."/>
      <sheetName val="Int. Rates"/>
      <sheetName val="Proj IS "/>
      <sheetName val="NAV"/>
      <sheetName val="CE Equity"/>
      <sheetName val="Equity Factors"/>
      <sheetName val="MMIV"/>
      <sheetName val="SEC"/>
      <sheetName val="Silber"/>
      <sheetName val="FMV 1"/>
      <sheetName val="CFAI"/>
      <sheetName val="Sum"/>
      <sheetName val="Comp"/>
      <sheetName val="FMV"/>
      <sheetName val="Imp Vol"/>
      <sheetName val="Stock Vol"/>
      <sheetName val="Div Yld"/>
      <sheetName val="Put Val"/>
      <sheetName val="Call Val"/>
      <sheetName val="Hedge"/>
      <sheetName val="BS"/>
      <sheetName val="IS"/>
      <sheetName val="Norm dist"/>
      <sheetName val="Cap Rate"/>
      <sheetName val="credit rat"/>
      <sheetName val="inv grde"/>
      <sheetName val="Class B disc"/>
      <sheetName val="Class B DCF"/>
      <sheetName val="Class F DCF"/>
      <sheetName val="grid10"/>
      <sheetName val="Sheet1"/>
      <sheetName val="Sheet1 (2)"/>
      <sheetName val="Input"/>
      <sheetName val="Output"/>
      <sheetName val="Own"/>
      <sheetName val="Data"/>
      <sheetName val="ConsolDec03"/>
      <sheetName val="LBO Input"/>
      <sheetName val="DIL4"/>
    </sheetNames>
    <sheetDataSet>
      <sheetData sheetId="0" refreshError="1"/>
      <sheetData sheetId="1" refreshError="1"/>
      <sheetData sheetId="2"/>
      <sheetData sheetId="3" refreshError="1"/>
      <sheetData sheetId="4" refreshError="1"/>
      <sheetData sheetId="5"/>
      <sheetData sheetId="6"/>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ow r="7">
          <cell r="J7" t="e">
            <v>#NAME?</v>
          </cell>
        </row>
      </sheetData>
      <sheetData sheetId="37">
        <row r="7">
          <cell r="J7" t="e">
            <v>#NAME?</v>
          </cell>
        </row>
      </sheetData>
      <sheetData sheetId="38" refreshError="1"/>
      <sheetData sheetId="39" refreshError="1"/>
      <sheetData sheetId="40" refreshError="1"/>
      <sheetData sheetId="41"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 Econ."/>
      <sheetName val="Int. Rates"/>
      <sheetName val="Data"/>
      <sheetName val="Input"/>
      <sheetName val="DIL4"/>
      <sheetName val="Revenue Calculations"/>
      <sheetName val="Monthly Trend"/>
      <sheetName val="ConsolDec03"/>
      <sheetName val="FLEX Model IS"/>
      <sheetName val="APWIS"/>
      <sheetName val="matrix-quant"/>
      <sheetName val="g25"/>
    </sheetNames>
    <sheetDataSet>
      <sheetData sheetId="0"/>
      <sheetData sheetId="1"/>
      <sheetData sheetId="2">
        <row r="10">
          <cell r="T10">
            <v>1840.26</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 Rates"/>
      <sheetName val="US Econ."/>
      <sheetName val="Data"/>
      <sheetName val="Input"/>
      <sheetName val="10 YEAR CASH FLOW PROJECTIONS"/>
      <sheetName val="IS"/>
      <sheetName val="Balance Sheet"/>
      <sheetName val="Amort Transpoint"/>
    </sheetNames>
    <sheetDataSet>
      <sheetData sheetId="0"/>
      <sheetData sheetId="1"/>
      <sheetData sheetId="2"/>
      <sheetData sheetId="3" refreshError="1"/>
      <sheetData sheetId="4" refreshError="1"/>
      <sheetData sheetId="5" refreshError="1"/>
      <sheetData sheetId="6" refreshError="1"/>
      <sheetData sheetId="7"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come Stmt Driver"/>
      <sheetName val="Income Statement"/>
      <sheetName val="Sutton IncStmt"/>
      <sheetName val="TABLE"/>
      <sheetName val="CHART"/>
      <sheetName val="DATA"/>
      <sheetName val="SUMM"/>
      <sheetName val="COV"/>
      <sheetName val="IS"/>
      <sheetName val="BS"/>
      <sheetName val="CF"/>
      <sheetName val="ERET"/>
      <sheetName val="DRET"/>
      <sheetName val="DS"/>
      <sheetName val="FA"/>
      <sheetName val="Input"/>
      <sheetName val="DCF"/>
      <sheetName val="Amort Transpoint"/>
      <sheetName val="Data Input"/>
      <sheetName val="Input-IS"/>
      <sheetName val="Cons"/>
      <sheetName val="CHROME Comps"/>
      <sheetName val="Misc"/>
      <sheetName val="Template"/>
      <sheetName val="Depts LOOKU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1"/>
      <sheetName val="Cover Page"/>
      <sheetName val="Setup Menu"/>
      <sheetName val="NAV"/>
      <sheetName val="Distribution Calculation"/>
      <sheetName val="ROR Setup Menu "/>
      <sheetName val="LOC Setup"/>
      <sheetName val="LOM Setup"/>
      <sheetName val="Expected ROR Setup"/>
      <sheetName val="Inc. ROR for LOM"/>
      <sheetName val="Spare Buttons"/>
      <sheetName val="Inc. ROR for LOC"/>
      <sheetName val="ROR"/>
      <sheetName val="Partnership Terms"/>
      <sheetName val="Setup"/>
      <sheetName val="ROR Differentials"/>
      <sheetName val="Charts"/>
      <sheetName val="Chart Data"/>
      <sheetName val="ROR Differential Menu"/>
      <sheetName val="ROR Recap Worksheet"/>
      <sheetName val="ROR Recap"/>
      <sheetName val="Expected Returns by Asset Class"/>
      <sheetName val="Minimum Return for LOC"/>
      <sheetName val="Minimum Return for LOM"/>
      <sheetName val="Minimum Required Return"/>
      <sheetName val="Minimum ROR Data"/>
      <sheetName val="ROR Tables"/>
      <sheetName val="Maximum Return for LOC "/>
      <sheetName val="Maximum Return for LOM "/>
      <sheetName val="Maximum Required Return "/>
      <sheetName val="Maximum ROR Data"/>
      <sheetName val="Ass. Recap Worksheet"/>
      <sheetName val="FMV"/>
      <sheetName val="Tables Menu"/>
      <sheetName val="Historical Returns"/>
      <sheetName val="Tab 3"/>
      <sheetName val="Tab 3 (2)"/>
      <sheetName val="Minimum ROR Differential"/>
      <sheetName val="Maximum ROR Differential"/>
      <sheetName val="Tab 4"/>
      <sheetName val="Print Setup"/>
      <sheetName val="Cover"/>
      <sheetName val="NAV (2)"/>
      <sheetName val="Inc ROR for LOM (2)"/>
      <sheetName val="ROR (2)"/>
      <sheetName val="Inc ROR for LOC (2)"/>
      <sheetName val="Partnership Terms (2)"/>
      <sheetName val="Charts (2)"/>
      <sheetName val="Charts (3)"/>
      <sheetName val="Charts (4)"/>
      <sheetName val="Expected Returns by Asset C (2)"/>
      <sheetName val="Minimum Return for LOC (2)"/>
      <sheetName val="Minimum Return for LOM (2)"/>
      <sheetName val="Minimum Required Return (2)"/>
      <sheetName val="Maximum Return for LOC  (2)"/>
      <sheetName val="Maximum Return for LOM  (2)"/>
      <sheetName val="Maximum Required Return  (2)"/>
      <sheetName val="FMV (2)"/>
      <sheetName val="Historical Returns (2)"/>
      <sheetName val=" "/>
      <sheetName val="  "/>
      <sheetName val="Hist Return Data"/>
      <sheetName val="MIN MAX LOC"/>
      <sheetName val="LOM"/>
      <sheetName val="McCord"/>
      <sheetName val="McCord Stocks"/>
      <sheetName val="Sheet1"/>
      <sheetName val="Links &amp; Lists"/>
      <sheetName val="DS_Valuation_Measures"/>
      <sheetName val="DS_Industry_Specif"/>
      <sheetName val="Chart Data--Comparables"/>
      <sheetName val="Data Entry--Comparables"/>
      <sheetName val="Chart Data--Projections"/>
      <sheetName val="Assumptions"/>
      <sheetName val="Data"/>
      <sheetName val="Inpu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30">
          <cell r="B130">
            <v>10</v>
          </cell>
        </row>
      </sheetData>
      <sheetData sheetId="18"/>
      <sheetData sheetId="19">
        <row r="14">
          <cell r="B14" t="str">
            <v>Minimum</v>
          </cell>
        </row>
      </sheetData>
      <sheetData sheetId="20"/>
      <sheetData sheetId="21"/>
      <sheetData sheetId="22"/>
      <sheetData sheetId="23"/>
      <sheetData sheetId="24"/>
      <sheetData sheetId="25"/>
      <sheetData sheetId="26"/>
      <sheetData sheetId="27"/>
      <sheetData sheetId="28"/>
      <sheetData sheetId="29"/>
      <sheetData sheetId="30"/>
      <sheetData sheetId="31">
        <row r="14">
          <cell r="B14">
            <v>0</v>
          </cell>
        </row>
      </sheetData>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Page"/>
      <sheetName val="Consolidated Output"/>
      <sheetName val="Comp Sheet - Output"/>
      <sheetName val="__FDSCACHE__"/>
      <sheetName val="Comp Sheet - Input"/>
      <sheetName val="TSM Calc"/>
      <sheetName val="Source Sheet"/>
      <sheetName val="Data"/>
      <sheetName val="Pricing Assumptions"/>
      <sheetName val="CHROME Comps"/>
      <sheetName val="Inputs-Tables"/>
      <sheetName val="Purchase Calc."/>
      <sheetName val="Break-Even"/>
      <sheetName val="Balance Sheet"/>
      <sheetName val="matrix-quant"/>
      <sheetName val="CSFB Merger Model"/>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3"/>
      <sheetName val="Cov Matrix"/>
      <sheetName val="Cap-IQ"/>
      <sheetName val="Formulas"/>
      <sheetName val="Cov Matrix (2)"/>
      <sheetName val="_CIQHiddenCacheSheet"/>
      <sheetName val="Cov Matrix (3)"/>
      <sheetName val="JNI 3RD &amp; 4TH QTR"/>
    </sheetNames>
    <sheetDataSet>
      <sheetData sheetId="0" refreshError="1"/>
      <sheetData sheetId="1" refreshError="1"/>
      <sheetData sheetId="2">
        <row r="10">
          <cell r="A10">
            <v>41607</v>
          </cell>
          <cell r="B10">
            <v>10.88</v>
          </cell>
        </row>
        <row r="11">
          <cell r="A11">
            <v>41578</v>
          </cell>
          <cell r="B11">
            <v>10.9</v>
          </cell>
        </row>
        <row r="12">
          <cell r="A12">
            <v>41547</v>
          </cell>
          <cell r="B12">
            <v>10.82</v>
          </cell>
        </row>
        <row r="13">
          <cell r="A13">
            <v>41516</v>
          </cell>
          <cell r="B13">
            <v>10.65</v>
          </cell>
        </row>
        <row r="14">
          <cell r="A14">
            <v>41486</v>
          </cell>
          <cell r="B14">
            <v>10.79</v>
          </cell>
        </row>
        <row r="15">
          <cell r="A15">
            <v>41453</v>
          </cell>
          <cell r="B15">
            <v>10.76</v>
          </cell>
        </row>
        <row r="16">
          <cell r="A16">
            <v>41425</v>
          </cell>
          <cell r="B16">
            <v>11.07</v>
          </cell>
        </row>
        <row r="17">
          <cell r="A17">
            <v>41394</v>
          </cell>
          <cell r="B17">
            <v>11.34</v>
          </cell>
        </row>
        <row r="18">
          <cell r="A18">
            <v>41361</v>
          </cell>
          <cell r="B18">
            <v>11.24</v>
          </cell>
        </row>
        <row r="19">
          <cell r="A19">
            <v>41333</v>
          </cell>
          <cell r="B19">
            <v>11.23</v>
          </cell>
        </row>
        <row r="20">
          <cell r="A20">
            <v>41305</v>
          </cell>
          <cell r="B20">
            <v>11.19</v>
          </cell>
        </row>
        <row r="21">
          <cell r="A21">
            <v>41274</v>
          </cell>
          <cell r="B21">
            <v>11.25</v>
          </cell>
        </row>
        <row r="22">
          <cell r="A22">
            <v>41243</v>
          </cell>
          <cell r="B22">
            <v>11.62</v>
          </cell>
        </row>
        <row r="23">
          <cell r="A23">
            <v>41213</v>
          </cell>
          <cell r="B23">
            <v>11.59</v>
          </cell>
        </row>
        <row r="24">
          <cell r="A24">
            <v>41180</v>
          </cell>
          <cell r="B24">
            <v>11.58</v>
          </cell>
        </row>
        <row r="25">
          <cell r="A25">
            <v>41152</v>
          </cell>
          <cell r="B25">
            <v>11.5</v>
          </cell>
        </row>
        <row r="26">
          <cell r="A26">
            <v>41121</v>
          </cell>
          <cell r="B26">
            <v>11.47</v>
          </cell>
        </row>
        <row r="27">
          <cell r="A27">
            <v>41089</v>
          </cell>
          <cell r="B27">
            <v>11.3</v>
          </cell>
        </row>
        <row r="28">
          <cell r="A28">
            <v>41060</v>
          </cell>
          <cell r="B28">
            <v>11.28</v>
          </cell>
        </row>
        <row r="29">
          <cell r="A29">
            <v>41029</v>
          </cell>
          <cell r="B29">
            <v>11.22</v>
          </cell>
        </row>
        <row r="30">
          <cell r="A30">
            <v>40998</v>
          </cell>
          <cell r="B30">
            <v>11.09</v>
          </cell>
        </row>
        <row r="31">
          <cell r="A31">
            <v>40968</v>
          </cell>
          <cell r="B31">
            <v>11.12</v>
          </cell>
        </row>
        <row r="32">
          <cell r="A32">
            <v>40939</v>
          </cell>
          <cell r="B32">
            <v>11.12</v>
          </cell>
        </row>
        <row r="33">
          <cell r="A33">
            <v>40907</v>
          </cell>
          <cell r="B33">
            <v>10.87</v>
          </cell>
        </row>
        <row r="34">
          <cell r="A34">
            <v>40877</v>
          </cell>
          <cell r="B34">
            <v>10.78</v>
          </cell>
        </row>
        <row r="35">
          <cell r="A35">
            <v>40847</v>
          </cell>
          <cell r="B35">
            <v>10.91</v>
          </cell>
        </row>
        <row r="36">
          <cell r="A36">
            <v>40816</v>
          </cell>
          <cell r="B36">
            <v>10.79</v>
          </cell>
        </row>
        <row r="37">
          <cell r="A37">
            <v>40786</v>
          </cell>
          <cell r="B37">
            <v>11.01</v>
          </cell>
        </row>
        <row r="38">
          <cell r="A38">
            <v>40753</v>
          </cell>
          <cell r="B38">
            <v>11.1</v>
          </cell>
        </row>
        <row r="39">
          <cell r="A39">
            <v>40724</v>
          </cell>
          <cell r="B39">
            <v>10.99</v>
          </cell>
        </row>
        <row r="40">
          <cell r="A40">
            <v>40694</v>
          </cell>
          <cell r="B40">
            <v>11.06</v>
          </cell>
        </row>
        <row r="41">
          <cell r="A41">
            <v>40662</v>
          </cell>
          <cell r="B41">
            <v>11.03</v>
          </cell>
        </row>
        <row r="42">
          <cell r="A42">
            <v>40633</v>
          </cell>
          <cell r="B42">
            <v>10.88</v>
          </cell>
        </row>
        <row r="43">
          <cell r="A43">
            <v>40602</v>
          </cell>
          <cell r="B43">
            <v>10.88</v>
          </cell>
        </row>
        <row r="44">
          <cell r="A44">
            <v>40574</v>
          </cell>
          <cell r="B44">
            <v>10.85</v>
          </cell>
        </row>
        <row r="45">
          <cell r="A45">
            <v>40543</v>
          </cell>
          <cell r="B45">
            <v>10.85</v>
          </cell>
        </row>
        <row r="46">
          <cell r="A46">
            <v>40512</v>
          </cell>
          <cell r="B46">
            <v>11.49</v>
          </cell>
        </row>
        <row r="47">
          <cell r="A47">
            <v>40480</v>
          </cell>
          <cell r="B47">
            <v>11.69</v>
          </cell>
        </row>
        <row r="48">
          <cell r="A48">
            <v>40451</v>
          </cell>
          <cell r="B48">
            <v>11.6</v>
          </cell>
        </row>
        <row r="49">
          <cell r="A49">
            <v>40421</v>
          </cell>
          <cell r="B49">
            <v>11.54</v>
          </cell>
        </row>
        <row r="50">
          <cell r="A50">
            <v>40389</v>
          </cell>
          <cell r="B50">
            <v>11.4</v>
          </cell>
        </row>
        <row r="51">
          <cell r="A51">
            <v>40359</v>
          </cell>
          <cell r="B51">
            <v>11.26</v>
          </cell>
        </row>
        <row r="52">
          <cell r="A52">
            <v>40326</v>
          </cell>
          <cell r="B52">
            <v>11.1</v>
          </cell>
        </row>
        <row r="53">
          <cell r="A53">
            <v>40298</v>
          </cell>
          <cell r="B53">
            <v>11.13</v>
          </cell>
        </row>
        <row r="54">
          <cell r="A54">
            <v>40268</v>
          </cell>
          <cell r="B54">
            <v>11.04</v>
          </cell>
        </row>
        <row r="55">
          <cell r="A55">
            <v>40235</v>
          </cell>
          <cell r="B55">
            <v>10.99</v>
          </cell>
        </row>
        <row r="56">
          <cell r="A56">
            <v>40207</v>
          </cell>
          <cell r="B56">
            <v>10.96</v>
          </cell>
        </row>
        <row r="57">
          <cell r="A57">
            <v>40178</v>
          </cell>
          <cell r="B57">
            <v>10.8</v>
          </cell>
        </row>
        <row r="58">
          <cell r="A58">
            <v>40147</v>
          </cell>
          <cell r="B58">
            <v>11.04</v>
          </cell>
        </row>
        <row r="59">
          <cell r="A59">
            <v>40116</v>
          </cell>
          <cell r="B59">
            <v>10.94</v>
          </cell>
        </row>
        <row r="60">
          <cell r="A60">
            <v>40086</v>
          </cell>
          <cell r="B60">
            <v>10.92</v>
          </cell>
        </row>
        <row r="61">
          <cell r="A61">
            <v>40056</v>
          </cell>
          <cell r="B61">
            <v>10.78</v>
          </cell>
        </row>
        <row r="62">
          <cell r="A62">
            <v>40025</v>
          </cell>
          <cell r="B62">
            <v>10.63</v>
          </cell>
        </row>
        <row r="63">
          <cell r="A63">
            <v>39994</v>
          </cell>
          <cell r="B63">
            <v>10.45</v>
          </cell>
        </row>
        <row r="64">
          <cell r="A64">
            <v>39962</v>
          </cell>
          <cell r="B64">
            <v>10.43</v>
          </cell>
        </row>
        <row r="65">
          <cell r="A65">
            <v>39933</v>
          </cell>
          <cell r="B65">
            <v>10.220000000000001</v>
          </cell>
        </row>
        <row r="66">
          <cell r="A66">
            <v>39903</v>
          </cell>
          <cell r="B66">
            <v>10.130000000000001</v>
          </cell>
        </row>
        <row r="67">
          <cell r="A67">
            <v>39871</v>
          </cell>
          <cell r="B67">
            <v>10.012</v>
          </cell>
        </row>
        <row r="68">
          <cell r="A68">
            <v>39843</v>
          </cell>
          <cell r="B68">
            <v>10.15</v>
          </cell>
        </row>
        <row r="69">
          <cell r="A69">
            <v>39813</v>
          </cell>
          <cell r="B69">
            <v>10.14</v>
          </cell>
        </row>
        <row r="70">
          <cell r="A70">
            <v>39780</v>
          </cell>
          <cell r="B70">
            <v>10.3</v>
          </cell>
        </row>
        <row r="71">
          <cell r="A71">
            <v>39752</v>
          </cell>
          <cell r="B71">
            <v>10.14</v>
          </cell>
        </row>
        <row r="72">
          <cell r="A72">
            <v>39721</v>
          </cell>
          <cell r="B72">
            <v>10.28</v>
          </cell>
        </row>
        <row r="73">
          <cell r="A73">
            <v>39689</v>
          </cell>
          <cell r="B73">
            <v>10.66</v>
          </cell>
        </row>
        <row r="74">
          <cell r="A74">
            <v>39660</v>
          </cell>
          <cell r="B74">
            <v>10.6</v>
          </cell>
        </row>
        <row r="75">
          <cell r="A75">
            <v>39629</v>
          </cell>
          <cell r="B75">
            <v>10.63</v>
          </cell>
        </row>
        <row r="76">
          <cell r="A76">
            <v>39598</v>
          </cell>
          <cell r="B76">
            <v>10.77</v>
          </cell>
        </row>
        <row r="77">
          <cell r="A77">
            <v>39568</v>
          </cell>
          <cell r="B77">
            <v>10.91</v>
          </cell>
        </row>
        <row r="78">
          <cell r="A78">
            <v>39538</v>
          </cell>
          <cell r="B78">
            <v>10.91</v>
          </cell>
        </row>
        <row r="79">
          <cell r="A79">
            <v>39507</v>
          </cell>
          <cell r="B79">
            <v>10.97</v>
          </cell>
        </row>
        <row r="80">
          <cell r="A80">
            <v>39478</v>
          </cell>
          <cell r="B80">
            <v>11</v>
          </cell>
        </row>
        <row r="81">
          <cell r="A81">
            <v>39447</v>
          </cell>
          <cell r="B81">
            <v>10.69</v>
          </cell>
        </row>
        <row r="82">
          <cell r="A82">
            <v>39416</v>
          </cell>
          <cell r="B82">
            <v>10.76</v>
          </cell>
        </row>
        <row r="83">
          <cell r="A83">
            <v>39386</v>
          </cell>
          <cell r="B83">
            <v>10.56</v>
          </cell>
        </row>
        <row r="84">
          <cell r="A84">
            <v>39353</v>
          </cell>
          <cell r="B84">
            <v>10.49</v>
          </cell>
        </row>
        <row r="85">
          <cell r="A85">
            <v>39325</v>
          </cell>
          <cell r="B85">
            <v>10.33</v>
          </cell>
        </row>
        <row r="86">
          <cell r="A86">
            <v>39294</v>
          </cell>
          <cell r="B86">
            <v>10.24</v>
          </cell>
        </row>
        <row r="87">
          <cell r="A87">
            <v>39262</v>
          </cell>
          <cell r="B87">
            <v>10.16</v>
          </cell>
        </row>
        <row r="88">
          <cell r="A88">
            <v>39233</v>
          </cell>
          <cell r="B88">
            <v>10.220000000000001</v>
          </cell>
        </row>
        <row r="89">
          <cell r="A89">
            <v>39202</v>
          </cell>
          <cell r="B89">
            <v>10.41</v>
          </cell>
        </row>
        <row r="90">
          <cell r="A90">
            <v>39171</v>
          </cell>
          <cell r="B90">
            <v>10.43</v>
          </cell>
        </row>
        <row r="91">
          <cell r="A91">
            <v>39141</v>
          </cell>
          <cell r="B91">
            <v>10.45</v>
          </cell>
        </row>
        <row r="92">
          <cell r="A92">
            <v>39113</v>
          </cell>
          <cell r="B92">
            <v>10.32</v>
          </cell>
        </row>
        <row r="93">
          <cell r="A93">
            <v>39080</v>
          </cell>
          <cell r="B93">
            <v>10.38</v>
          </cell>
        </row>
        <row r="94">
          <cell r="A94">
            <v>39051</v>
          </cell>
          <cell r="B94">
            <v>10.55</v>
          </cell>
        </row>
        <row r="95">
          <cell r="A95">
            <v>39021</v>
          </cell>
          <cell r="B95">
            <v>10.47</v>
          </cell>
        </row>
        <row r="96">
          <cell r="A96">
            <v>38989</v>
          </cell>
          <cell r="B96">
            <v>10.45</v>
          </cell>
        </row>
        <row r="97">
          <cell r="A97">
            <v>38960</v>
          </cell>
          <cell r="B97">
            <v>10.41</v>
          </cell>
        </row>
        <row r="98">
          <cell r="A98">
            <v>38929</v>
          </cell>
          <cell r="B98">
            <v>10.3</v>
          </cell>
        </row>
        <row r="99">
          <cell r="A99">
            <v>38898</v>
          </cell>
          <cell r="B99">
            <v>10.18</v>
          </cell>
        </row>
        <row r="100">
          <cell r="A100">
            <v>38868</v>
          </cell>
          <cell r="B100">
            <v>10.23</v>
          </cell>
        </row>
        <row r="101">
          <cell r="A101">
            <v>38835</v>
          </cell>
          <cell r="B101">
            <v>10.3</v>
          </cell>
        </row>
        <row r="102">
          <cell r="A102">
            <v>38807</v>
          </cell>
          <cell r="B102">
            <v>10.33</v>
          </cell>
        </row>
        <row r="103">
          <cell r="A103">
            <v>38776</v>
          </cell>
          <cell r="B103">
            <v>10.48</v>
          </cell>
        </row>
        <row r="104">
          <cell r="A104">
            <v>38748</v>
          </cell>
          <cell r="B104">
            <v>10.48</v>
          </cell>
        </row>
        <row r="105">
          <cell r="A105">
            <v>38716</v>
          </cell>
          <cell r="B105">
            <v>10.5</v>
          </cell>
        </row>
        <row r="106">
          <cell r="A106">
            <v>38686</v>
          </cell>
          <cell r="B106">
            <v>10.52</v>
          </cell>
        </row>
        <row r="107">
          <cell r="A107">
            <v>38656</v>
          </cell>
          <cell r="B107">
            <v>10.52</v>
          </cell>
        </row>
        <row r="108">
          <cell r="A108">
            <v>38625</v>
          </cell>
          <cell r="B108">
            <v>10.65</v>
          </cell>
        </row>
        <row r="109">
          <cell r="A109">
            <v>38595</v>
          </cell>
          <cell r="B109">
            <v>10.8</v>
          </cell>
        </row>
        <row r="110">
          <cell r="A110">
            <v>38562</v>
          </cell>
          <cell r="B110">
            <v>10.69</v>
          </cell>
        </row>
        <row r="111">
          <cell r="A111">
            <v>38533</v>
          </cell>
          <cell r="B111">
            <v>10.81</v>
          </cell>
        </row>
        <row r="112">
          <cell r="A112">
            <v>38503</v>
          </cell>
          <cell r="B112">
            <v>10.79</v>
          </cell>
        </row>
        <row r="113">
          <cell r="A113">
            <v>38471</v>
          </cell>
          <cell r="B113">
            <v>10.7</v>
          </cell>
        </row>
        <row r="114">
          <cell r="A114">
            <v>38442</v>
          </cell>
          <cell r="B114">
            <v>10.57</v>
          </cell>
        </row>
        <row r="115">
          <cell r="A115">
            <v>38411</v>
          </cell>
          <cell r="B115">
            <v>10.62</v>
          </cell>
        </row>
        <row r="116">
          <cell r="A116">
            <v>38383</v>
          </cell>
          <cell r="B116">
            <v>10.68</v>
          </cell>
        </row>
        <row r="117">
          <cell r="A117">
            <v>38352</v>
          </cell>
          <cell r="B117">
            <v>10.67</v>
          </cell>
        </row>
        <row r="118">
          <cell r="A118">
            <v>38321</v>
          </cell>
          <cell r="B118">
            <v>10.95</v>
          </cell>
        </row>
        <row r="119">
          <cell r="A119">
            <v>38289</v>
          </cell>
          <cell r="B119">
            <v>11.01</v>
          </cell>
        </row>
        <row r="120">
          <cell r="A120">
            <v>38260</v>
          </cell>
          <cell r="B120">
            <v>10.92</v>
          </cell>
        </row>
        <row r="121">
          <cell r="A121">
            <v>38230</v>
          </cell>
          <cell r="B121">
            <v>10.92</v>
          </cell>
        </row>
        <row r="122">
          <cell r="A122">
            <v>38198</v>
          </cell>
          <cell r="B122">
            <v>10.73</v>
          </cell>
        </row>
        <row r="123">
          <cell r="A123">
            <v>38168</v>
          </cell>
          <cell r="B123">
            <v>10.64</v>
          </cell>
        </row>
        <row r="124">
          <cell r="A124">
            <v>38135</v>
          </cell>
          <cell r="B124">
            <v>10.61</v>
          </cell>
        </row>
        <row r="125">
          <cell r="A125">
            <v>38107</v>
          </cell>
          <cell r="B125">
            <v>10.67</v>
          </cell>
        </row>
        <row r="126">
          <cell r="A126">
            <v>38077</v>
          </cell>
          <cell r="B126">
            <v>10.94</v>
          </cell>
        </row>
        <row r="127">
          <cell r="A127">
            <v>38044</v>
          </cell>
          <cell r="B127">
            <v>10.87</v>
          </cell>
        </row>
        <row r="128">
          <cell r="A128">
            <v>38016</v>
          </cell>
          <cell r="B128">
            <v>10.76</v>
          </cell>
        </row>
        <row r="129">
          <cell r="A129">
            <v>37986</v>
          </cell>
          <cell r="B129">
            <v>10.71</v>
          </cell>
        </row>
        <row r="130">
          <cell r="A130">
            <v>37953</v>
          </cell>
          <cell r="B130">
            <v>10.79</v>
          </cell>
        </row>
      </sheetData>
      <sheetData sheetId="3" refreshError="1"/>
      <sheetData sheetId="4" refreshError="1"/>
      <sheetData sheetId="5" refreshError="1"/>
      <sheetData sheetId="6" refreshError="1"/>
      <sheetData sheetId="7"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CIQHiddenCacheSheet"/>
      <sheetName val="Cap-IQ"/>
      <sheetName val="Formulas"/>
      <sheetName val="1806"/>
    </sheetNames>
    <sheetDataSet>
      <sheetData sheetId="0" refreshError="1"/>
      <sheetData sheetId="1">
        <row r="8">
          <cell r="D8">
            <v>41285</v>
          </cell>
          <cell r="E8">
            <v>7.89</v>
          </cell>
          <cell r="G8">
            <v>41285</v>
          </cell>
          <cell r="H8">
            <v>1.35</v>
          </cell>
          <cell r="J8">
            <v>41285</v>
          </cell>
          <cell r="K8">
            <v>5.4</v>
          </cell>
          <cell r="M8">
            <v>41285</v>
          </cell>
          <cell r="N8">
            <v>13.47</v>
          </cell>
          <cell r="P8">
            <v>41285</v>
          </cell>
          <cell r="Q8">
            <v>13.56</v>
          </cell>
        </row>
        <row r="9">
          <cell r="D9">
            <v>41284</v>
          </cell>
          <cell r="E9">
            <v>7.94</v>
          </cell>
          <cell r="G9">
            <v>41284</v>
          </cell>
          <cell r="H9">
            <v>1.35</v>
          </cell>
          <cell r="J9">
            <v>41284</v>
          </cell>
          <cell r="K9">
            <v>5.53</v>
          </cell>
          <cell r="M9">
            <v>41284</v>
          </cell>
          <cell r="N9">
            <v>13.6</v>
          </cell>
          <cell r="P9">
            <v>41284</v>
          </cell>
          <cell r="Q9">
            <v>11.92</v>
          </cell>
        </row>
        <row r="10">
          <cell r="D10">
            <v>41283</v>
          </cell>
          <cell r="E10">
            <v>8.0299999999999994</v>
          </cell>
          <cell r="G10">
            <v>41283</v>
          </cell>
          <cell r="H10">
            <v>1.39</v>
          </cell>
          <cell r="J10">
            <v>41283</v>
          </cell>
          <cell r="K10">
            <v>5.66</v>
          </cell>
          <cell r="M10">
            <v>41283</v>
          </cell>
          <cell r="N10">
            <v>13.5</v>
          </cell>
          <cell r="P10">
            <v>41283</v>
          </cell>
          <cell r="Q10">
            <v>11.49</v>
          </cell>
        </row>
        <row r="11">
          <cell r="D11">
            <v>41282</v>
          </cell>
          <cell r="E11">
            <v>8.24</v>
          </cell>
          <cell r="G11">
            <v>41282</v>
          </cell>
          <cell r="H11">
            <v>1.33</v>
          </cell>
          <cell r="J11">
            <v>41282</v>
          </cell>
          <cell r="K11">
            <v>5.59</v>
          </cell>
          <cell r="M11">
            <v>41282</v>
          </cell>
          <cell r="N11">
            <v>13.31</v>
          </cell>
          <cell r="P11">
            <v>41282</v>
          </cell>
          <cell r="Q11">
            <v>11.91</v>
          </cell>
        </row>
        <row r="12">
          <cell r="D12">
            <v>41281</v>
          </cell>
          <cell r="E12">
            <v>8.2899999999999991</v>
          </cell>
          <cell r="G12">
            <v>41281</v>
          </cell>
          <cell r="H12">
            <v>1.3</v>
          </cell>
          <cell r="J12">
            <v>41281</v>
          </cell>
          <cell r="K12">
            <v>5.68</v>
          </cell>
          <cell r="M12">
            <v>41281</v>
          </cell>
          <cell r="N12">
            <v>13.5</v>
          </cell>
          <cell r="P12">
            <v>41281</v>
          </cell>
          <cell r="Q12">
            <v>11.95</v>
          </cell>
        </row>
        <row r="13">
          <cell r="D13">
            <v>41278</v>
          </cell>
          <cell r="E13">
            <v>8.32</v>
          </cell>
          <cell r="G13">
            <v>41278</v>
          </cell>
          <cell r="H13">
            <v>1.29</v>
          </cell>
          <cell r="J13">
            <v>41278</v>
          </cell>
          <cell r="K13">
            <v>5.7691999999999997</v>
          </cell>
          <cell r="M13">
            <v>41278</v>
          </cell>
          <cell r="N13">
            <v>13.68</v>
          </cell>
          <cell r="P13">
            <v>41278</v>
          </cell>
          <cell r="Q13">
            <v>11.95</v>
          </cell>
        </row>
        <row r="14">
          <cell r="D14">
            <v>41277</v>
          </cell>
          <cell r="E14">
            <v>8.2799999999999994</v>
          </cell>
          <cell r="G14">
            <v>41277</v>
          </cell>
          <cell r="H14">
            <v>1.29</v>
          </cell>
          <cell r="J14">
            <v>41277</v>
          </cell>
          <cell r="K14">
            <v>5.79</v>
          </cell>
          <cell r="M14">
            <v>41277</v>
          </cell>
          <cell r="N14">
            <v>13.54</v>
          </cell>
          <cell r="P14">
            <v>41277</v>
          </cell>
          <cell r="Q14">
            <v>11.47</v>
          </cell>
        </row>
        <row r="15">
          <cell r="D15">
            <v>41276</v>
          </cell>
          <cell r="E15">
            <v>8.19</v>
          </cell>
          <cell r="G15">
            <v>41276</v>
          </cell>
          <cell r="H15">
            <v>1.32</v>
          </cell>
          <cell r="J15">
            <v>41276</v>
          </cell>
          <cell r="K15">
            <v>5.66</v>
          </cell>
          <cell r="M15">
            <v>41276</v>
          </cell>
          <cell r="N15">
            <v>13.79</v>
          </cell>
          <cell r="P15">
            <v>41276</v>
          </cell>
          <cell r="Q15">
            <v>11.715</v>
          </cell>
        </row>
        <row r="16">
          <cell r="D16">
            <v>41274</v>
          </cell>
          <cell r="E16">
            <v>7.94</v>
          </cell>
          <cell r="G16">
            <v>41274</v>
          </cell>
          <cell r="H16">
            <v>1.33</v>
          </cell>
          <cell r="J16">
            <v>41274</v>
          </cell>
          <cell r="K16">
            <v>5.82</v>
          </cell>
          <cell r="M16">
            <v>41274</v>
          </cell>
          <cell r="N16">
            <v>13.14</v>
          </cell>
          <cell r="P16">
            <v>41274</v>
          </cell>
          <cell r="Q16">
            <v>11.87</v>
          </cell>
        </row>
        <row r="17">
          <cell r="D17">
            <v>41271</v>
          </cell>
          <cell r="E17">
            <v>7.72</v>
          </cell>
          <cell r="G17">
            <v>41271</v>
          </cell>
          <cell r="H17">
            <v>1.3</v>
          </cell>
          <cell r="J17">
            <v>41271</v>
          </cell>
          <cell r="K17">
            <v>5.63</v>
          </cell>
          <cell r="M17">
            <v>41271</v>
          </cell>
          <cell r="N17">
            <v>13.08</v>
          </cell>
          <cell r="P17">
            <v>41271</v>
          </cell>
          <cell r="Q17">
            <v>11.79</v>
          </cell>
        </row>
        <row r="18">
          <cell r="D18">
            <v>41270</v>
          </cell>
          <cell r="E18">
            <v>7.78</v>
          </cell>
          <cell r="G18">
            <v>41270</v>
          </cell>
          <cell r="H18">
            <v>1.28</v>
          </cell>
          <cell r="J18">
            <v>41270</v>
          </cell>
          <cell r="K18">
            <v>5.8</v>
          </cell>
          <cell r="M18">
            <v>41270</v>
          </cell>
          <cell r="N18">
            <v>13.11</v>
          </cell>
          <cell r="P18">
            <v>41270</v>
          </cell>
          <cell r="Q18">
            <v>11.76</v>
          </cell>
        </row>
        <row r="19">
          <cell r="D19">
            <v>41269</v>
          </cell>
          <cell r="E19">
            <v>7.6</v>
          </cell>
          <cell r="G19">
            <v>41269</v>
          </cell>
          <cell r="H19">
            <v>1.33</v>
          </cell>
          <cell r="J19">
            <v>41269</v>
          </cell>
          <cell r="K19">
            <v>5.78</v>
          </cell>
          <cell r="M19">
            <v>41269</v>
          </cell>
          <cell r="N19">
            <v>13.47</v>
          </cell>
          <cell r="P19">
            <v>41269</v>
          </cell>
          <cell r="Q19">
            <v>11.824999999999999</v>
          </cell>
        </row>
        <row r="20">
          <cell r="D20">
            <v>41267</v>
          </cell>
          <cell r="E20">
            <v>7.74</v>
          </cell>
          <cell r="G20">
            <v>41267</v>
          </cell>
          <cell r="H20">
            <v>1.42</v>
          </cell>
          <cell r="J20">
            <v>41267</v>
          </cell>
          <cell r="K20">
            <v>5.97</v>
          </cell>
          <cell r="M20">
            <v>41267</v>
          </cell>
          <cell r="N20">
            <v>13.34</v>
          </cell>
          <cell r="P20">
            <v>41267</v>
          </cell>
          <cell r="Q20">
            <v>10.61</v>
          </cell>
        </row>
        <row r="21">
          <cell r="D21">
            <v>41264</v>
          </cell>
          <cell r="E21">
            <v>7.89</v>
          </cell>
          <cell r="G21">
            <v>41264</v>
          </cell>
          <cell r="H21">
            <v>1.45</v>
          </cell>
          <cell r="J21">
            <v>41264</v>
          </cell>
          <cell r="K21">
            <v>5.88</v>
          </cell>
          <cell r="M21">
            <v>41264</v>
          </cell>
          <cell r="N21">
            <v>13.48</v>
          </cell>
          <cell r="P21">
            <v>41264</v>
          </cell>
          <cell r="Q21">
            <v>10.91</v>
          </cell>
        </row>
        <row r="22">
          <cell r="D22">
            <v>41263</v>
          </cell>
          <cell r="E22">
            <v>7.93</v>
          </cell>
          <cell r="G22">
            <v>41263</v>
          </cell>
          <cell r="H22">
            <v>1.42</v>
          </cell>
          <cell r="J22">
            <v>41263</v>
          </cell>
          <cell r="K22">
            <v>5.98</v>
          </cell>
          <cell r="M22">
            <v>41263</v>
          </cell>
          <cell r="N22">
            <v>13.29</v>
          </cell>
          <cell r="P22">
            <v>41263</v>
          </cell>
          <cell r="Q22">
            <v>14.12</v>
          </cell>
        </row>
        <row r="23">
          <cell r="D23">
            <v>41262</v>
          </cell>
          <cell r="E23">
            <v>7.93</v>
          </cell>
          <cell r="G23">
            <v>41262</v>
          </cell>
          <cell r="H23">
            <v>1.44</v>
          </cell>
          <cell r="J23">
            <v>41262</v>
          </cell>
          <cell r="K23">
            <v>5.85</v>
          </cell>
          <cell r="M23">
            <v>41262</v>
          </cell>
          <cell r="N23">
            <v>13.4</v>
          </cell>
          <cell r="P23">
            <v>41262</v>
          </cell>
          <cell r="Q23">
            <v>13.63</v>
          </cell>
        </row>
        <row r="24">
          <cell r="D24">
            <v>41261</v>
          </cell>
          <cell r="E24">
            <v>8</v>
          </cell>
          <cell r="G24">
            <v>41261</v>
          </cell>
          <cell r="H24">
            <v>1.44</v>
          </cell>
          <cell r="J24">
            <v>41261</v>
          </cell>
          <cell r="K24">
            <v>5.84</v>
          </cell>
          <cell r="M24">
            <v>41261</v>
          </cell>
          <cell r="N24">
            <v>13.4</v>
          </cell>
          <cell r="P24">
            <v>41261</v>
          </cell>
          <cell r="Q24">
            <v>13.72</v>
          </cell>
        </row>
        <row r="25">
          <cell r="D25">
            <v>41260</v>
          </cell>
          <cell r="E25">
            <v>7.96</v>
          </cell>
          <cell r="G25">
            <v>41260</v>
          </cell>
          <cell r="H25">
            <v>1.46</v>
          </cell>
          <cell r="J25">
            <v>41260</v>
          </cell>
          <cell r="K25">
            <v>6.04</v>
          </cell>
          <cell r="M25">
            <v>41260</v>
          </cell>
          <cell r="N25">
            <v>13.3</v>
          </cell>
          <cell r="P25">
            <v>41260</v>
          </cell>
          <cell r="Q25">
            <v>13.925000000000001</v>
          </cell>
        </row>
        <row r="26">
          <cell r="D26">
            <v>41257</v>
          </cell>
          <cell r="E26">
            <v>7.9</v>
          </cell>
          <cell r="G26">
            <v>41257</v>
          </cell>
          <cell r="H26">
            <v>1.47</v>
          </cell>
          <cell r="J26">
            <v>41257</v>
          </cell>
          <cell r="K26">
            <v>5.94</v>
          </cell>
          <cell r="M26">
            <v>41257</v>
          </cell>
          <cell r="N26">
            <v>13.08</v>
          </cell>
          <cell r="P26">
            <v>41257</v>
          </cell>
          <cell r="Q26">
            <v>14.04</v>
          </cell>
        </row>
        <row r="27">
          <cell r="D27">
            <v>41256</v>
          </cell>
          <cell r="E27">
            <v>7.99</v>
          </cell>
          <cell r="G27">
            <v>41256</v>
          </cell>
          <cell r="H27">
            <v>1.43</v>
          </cell>
          <cell r="J27">
            <v>41256</v>
          </cell>
          <cell r="K27">
            <v>6.21</v>
          </cell>
          <cell r="M27">
            <v>41256</v>
          </cell>
          <cell r="N27">
            <v>13.36</v>
          </cell>
          <cell r="P27">
            <v>41256</v>
          </cell>
          <cell r="Q27">
            <v>13.86</v>
          </cell>
        </row>
        <row r="28">
          <cell r="D28">
            <v>41255</v>
          </cell>
          <cell r="E28">
            <v>8</v>
          </cell>
          <cell r="G28">
            <v>41255</v>
          </cell>
          <cell r="H28">
            <v>1.33</v>
          </cell>
          <cell r="J28">
            <v>41255</v>
          </cell>
          <cell r="K28">
            <v>6.06</v>
          </cell>
          <cell r="M28">
            <v>41255</v>
          </cell>
          <cell r="N28">
            <v>13.52</v>
          </cell>
          <cell r="P28">
            <v>41255</v>
          </cell>
          <cell r="Q28">
            <v>13.31</v>
          </cell>
        </row>
        <row r="29">
          <cell r="D29">
            <v>41254</v>
          </cell>
          <cell r="E29">
            <v>7.93</v>
          </cell>
          <cell r="G29">
            <v>41254</v>
          </cell>
          <cell r="H29">
            <v>1.3</v>
          </cell>
          <cell r="J29">
            <v>41254</v>
          </cell>
          <cell r="K29">
            <v>6.19</v>
          </cell>
          <cell r="M29">
            <v>41254</v>
          </cell>
          <cell r="N29">
            <v>13.61</v>
          </cell>
          <cell r="P29">
            <v>41254</v>
          </cell>
          <cell r="Q29">
            <v>12.6</v>
          </cell>
        </row>
        <row r="30">
          <cell r="D30">
            <v>41253</v>
          </cell>
          <cell r="E30">
            <v>7.81</v>
          </cell>
          <cell r="G30">
            <v>41253</v>
          </cell>
          <cell r="H30">
            <v>1.28</v>
          </cell>
          <cell r="J30">
            <v>41253</v>
          </cell>
          <cell r="K30">
            <v>6.05</v>
          </cell>
          <cell r="M30">
            <v>41253</v>
          </cell>
          <cell r="N30">
            <v>13.45</v>
          </cell>
          <cell r="P30">
            <v>41253</v>
          </cell>
          <cell r="Q30">
            <v>11.88</v>
          </cell>
        </row>
        <row r="31">
          <cell r="D31">
            <v>41250</v>
          </cell>
          <cell r="E31">
            <v>7.95</v>
          </cell>
          <cell r="G31">
            <v>41250</v>
          </cell>
          <cell r="H31">
            <v>1.31</v>
          </cell>
          <cell r="J31">
            <v>41250</v>
          </cell>
          <cell r="K31">
            <v>6.39</v>
          </cell>
          <cell r="M31">
            <v>41250</v>
          </cell>
          <cell r="N31">
            <v>13.36</v>
          </cell>
          <cell r="P31">
            <v>41250</v>
          </cell>
          <cell r="Q31">
            <v>12.01</v>
          </cell>
        </row>
        <row r="32">
          <cell r="D32">
            <v>41249</v>
          </cell>
          <cell r="E32">
            <v>7.86</v>
          </cell>
          <cell r="G32">
            <v>41249</v>
          </cell>
          <cell r="H32">
            <v>1.36</v>
          </cell>
          <cell r="J32">
            <v>41249</v>
          </cell>
          <cell r="K32">
            <v>6.3</v>
          </cell>
          <cell r="M32">
            <v>41249</v>
          </cell>
          <cell r="N32">
            <v>12.66</v>
          </cell>
          <cell r="P32">
            <v>41249</v>
          </cell>
          <cell r="Q32">
            <v>11.89</v>
          </cell>
        </row>
        <row r="33">
          <cell r="D33">
            <v>41248</v>
          </cell>
          <cell r="E33">
            <v>7.81</v>
          </cell>
          <cell r="G33">
            <v>41248</v>
          </cell>
          <cell r="H33">
            <v>1.25</v>
          </cell>
          <cell r="J33">
            <v>41248</v>
          </cell>
          <cell r="K33">
            <v>6.34</v>
          </cell>
          <cell r="M33">
            <v>41248</v>
          </cell>
          <cell r="N33">
            <v>12.04</v>
          </cell>
          <cell r="P33">
            <v>41248</v>
          </cell>
          <cell r="Q33">
            <v>11.94</v>
          </cell>
        </row>
        <row r="34">
          <cell r="D34">
            <v>41247</v>
          </cell>
          <cell r="E34">
            <v>7.77</v>
          </cell>
          <cell r="G34">
            <v>41247</v>
          </cell>
          <cell r="H34">
            <v>1.29</v>
          </cell>
          <cell r="J34">
            <v>41247</v>
          </cell>
          <cell r="K34">
            <v>6.23</v>
          </cell>
          <cell r="M34">
            <v>41247</v>
          </cell>
          <cell r="N34">
            <v>11.7</v>
          </cell>
          <cell r="P34">
            <v>41247</v>
          </cell>
          <cell r="Q34">
            <v>11.555</v>
          </cell>
        </row>
        <row r="35">
          <cell r="D35">
            <v>41246</v>
          </cell>
          <cell r="E35">
            <v>7.77</v>
          </cell>
          <cell r="G35">
            <v>41246</v>
          </cell>
          <cell r="H35">
            <v>1.33</v>
          </cell>
          <cell r="J35">
            <v>41246</v>
          </cell>
          <cell r="K35">
            <v>6.05</v>
          </cell>
          <cell r="M35">
            <v>41246</v>
          </cell>
          <cell r="N35">
            <v>11.62</v>
          </cell>
          <cell r="P35">
            <v>41246</v>
          </cell>
          <cell r="Q35">
            <v>11.6</v>
          </cell>
        </row>
        <row r="36">
          <cell r="D36">
            <v>41243</v>
          </cell>
          <cell r="E36">
            <v>7.74</v>
          </cell>
          <cell r="G36">
            <v>41243</v>
          </cell>
          <cell r="H36">
            <v>1.36</v>
          </cell>
          <cell r="J36">
            <v>41243</v>
          </cell>
          <cell r="K36">
            <v>6.05</v>
          </cell>
          <cell r="M36">
            <v>41243</v>
          </cell>
          <cell r="N36">
            <v>11.28</v>
          </cell>
          <cell r="P36">
            <v>41243</v>
          </cell>
          <cell r="Q36">
            <v>11.6</v>
          </cell>
        </row>
        <row r="37">
          <cell r="D37">
            <v>41242</v>
          </cell>
          <cell r="E37">
            <v>7.85</v>
          </cell>
          <cell r="G37">
            <v>41242</v>
          </cell>
          <cell r="H37">
            <v>1.4</v>
          </cell>
          <cell r="J37">
            <v>41242</v>
          </cell>
          <cell r="K37">
            <v>6.01</v>
          </cell>
          <cell r="M37">
            <v>41242</v>
          </cell>
          <cell r="N37">
            <v>11.19</v>
          </cell>
          <cell r="P37">
            <v>41242</v>
          </cell>
          <cell r="Q37">
            <v>11.54</v>
          </cell>
        </row>
        <row r="38">
          <cell r="D38">
            <v>41241</v>
          </cell>
          <cell r="E38">
            <v>7.81</v>
          </cell>
          <cell r="G38">
            <v>41241</v>
          </cell>
          <cell r="H38">
            <v>1.35</v>
          </cell>
          <cell r="J38">
            <v>41241</v>
          </cell>
          <cell r="K38">
            <v>6.01</v>
          </cell>
          <cell r="M38">
            <v>41241</v>
          </cell>
          <cell r="N38">
            <v>11.05</v>
          </cell>
          <cell r="P38">
            <v>41241</v>
          </cell>
          <cell r="Q38">
            <v>11.1</v>
          </cell>
        </row>
        <row r="39">
          <cell r="D39">
            <v>41240</v>
          </cell>
          <cell r="E39">
            <v>7.96</v>
          </cell>
          <cell r="G39">
            <v>41240</v>
          </cell>
          <cell r="H39">
            <v>1.3</v>
          </cell>
          <cell r="J39">
            <v>41240</v>
          </cell>
          <cell r="K39">
            <v>5.92</v>
          </cell>
          <cell r="M39">
            <v>41240</v>
          </cell>
          <cell r="N39">
            <v>11.07</v>
          </cell>
          <cell r="P39">
            <v>41240</v>
          </cell>
          <cell r="Q39">
            <v>10.72</v>
          </cell>
        </row>
        <row r="40">
          <cell r="D40">
            <v>41239</v>
          </cell>
          <cell r="E40">
            <v>8.02</v>
          </cell>
          <cell r="G40">
            <v>41239</v>
          </cell>
          <cell r="H40">
            <v>1.21</v>
          </cell>
          <cell r="J40">
            <v>41239</v>
          </cell>
          <cell r="K40">
            <v>5.86</v>
          </cell>
          <cell r="M40">
            <v>41239</v>
          </cell>
          <cell r="N40">
            <v>11.02</v>
          </cell>
          <cell r="P40">
            <v>41239</v>
          </cell>
          <cell r="Q40">
            <v>11.98</v>
          </cell>
        </row>
        <row r="41">
          <cell r="D41">
            <v>41236</v>
          </cell>
          <cell r="E41">
            <v>8.1198999999999995</v>
          </cell>
          <cell r="G41">
            <v>41236</v>
          </cell>
          <cell r="H41">
            <v>1.25</v>
          </cell>
          <cell r="J41">
            <v>41236</v>
          </cell>
          <cell r="K41">
            <v>6.05</v>
          </cell>
          <cell r="M41">
            <v>41236</v>
          </cell>
          <cell r="N41">
            <v>10.93</v>
          </cell>
          <cell r="P41">
            <v>41236</v>
          </cell>
          <cell r="Q41">
            <v>11.66</v>
          </cell>
        </row>
        <row r="42">
          <cell r="D42">
            <v>41234</v>
          </cell>
          <cell r="E42">
            <v>7.91</v>
          </cell>
          <cell r="G42">
            <v>41234</v>
          </cell>
          <cell r="H42">
            <v>1.27</v>
          </cell>
          <cell r="J42">
            <v>41234</v>
          </cell>
          <cell r="K42">
            <v>5.88</v>
          </cell>
          <cell r="M42">
            <v>41234</v>
          </cell>
          <cell r="N42">
            <v>10.83</v>
          </cell>
          <cell r="P42">
            <v>41234</v>
          </cell>
          <cell r="Q42">
            <v>10.26</v>
          </cell>
        </row>
        <row r="43">
          <cell r="D43">
            <v>41233</v>
          </cell>
          <cell r="E43">
            <v>7.95</v>
          </cell>
          <cell r="G43">
            <v>41233</v>
          </cell>
          <cell r="H43">
            <v>1.29</v>
          </cell>
          <cell r="J43">
            <v>41233</v>
          </cell>
          <cell r="K43">
            <v>5.84</v>
          </cell>
          <cell r="M43">
            <v>41233</v>
          </cell>
          <cell r="N43">
            <v>10.67</v>
          </cell>
          <cell r="P43">
            <v>41233</v>
          </cell>
          <cell r="Q43">
            <v>9.7050000000000001</v>
          </cell>
        </row>
        <row r="44">
          <cell r="D44">
            <v>41232</v>
          </cell>
          <cell r="E44">
            <v>7.93</v>
          </cell>
          <cell r="G44">
            <v>41232</v>
          </cell>
          <cell r="H44">
            <v>1.26</v>
          </cell>
          <cell r="J44">
            <v>41232</v>
          </cell>
          <cell r="K44">
            <v>6.01</v>
          </cell>
          <cell r="M44">
            <v>41232</v>
          </cell>
          <cell r="N44">
            <v>10.71</v>
          </cell>
          <cell r="P44">
            <v>41232</v>
          </cell>
          <cell r="Q44">
            <v>9.59</v>
          </cell>
        </row>
        <row r="45">
          <cell r="D45">
            <v>41229</v>
          </cell>
          <cell r="E45">
            <v>7.57</v>
          </cell>
          <cell r="G45">
            <v>41229</v>
          </cell>
          <cell r="H45">
            <v>1.28</v>
          </cell>
          <cell r="J45">
            <v>41229</v>
          </cell>
          <cell r="K45">
            <v>5.91</v>
          </cell>
          <cell r="M45">
            <v>41229</v>
          </cell>
          <cell r="N45">
            <v>10.48</v>
          </cell>
          <cell r="P45">
            <v>41229</v>
          </cell>
          <cell r="Q45">
            <v>9.1999999999999993</v>
          </cell>
        </row>
        <row r="46">
          <cell r="D46">
            <v>41228</v>
          </cell>
          <cell r="E46">
            <v>7.52</v>
          </cell>
          <cell r="G46">
            <v>41228</v>
          </cell>
          <cell r="H46">
            <v>1.3</v>
          </cell>
          <cell r="J46">
            <v>41228</v>
          </cell>
          <cell r="K46">
            <v>5.74</v>
          </cell>
          <cell r="M46">
            <v>41228</v>
          </cell>
          <cell r="N46">
            <v>10.43</v>
          </cell>
          <cell r="P46">
            <v>41228</v>
          </cell>
          <cell r="Q46">
            <v>8.7899999999999991</v>
          </cell>
        </row>
        <row r="47">
          <cell r="D47">
            <v>41227</v>
          </cell>
          <cell r="E47">
            <v>7.73</v>
          </cell>
          <cell r="G47">
            <v>41227</v>
          </cell>
          <cell r="H47">
            <v>1.34</v>
          </cell>
          <cell r="J47">
            <v>41227</v>
          </cell>
          <cell r="K47">
            <v>5.55</v>
          </cell>
          <cell r="M47">
            <v>41227</v>
          </cell>
          <cell r="N47">
            <v>10.32</v>
          </cell>
          <cell r="P47">
            <v>41227</v>
          </cell>
          <cell r="Q47">
            <v>8.49</v>
          </cell>
        </row>
        <row r="48">
          <cell r="D48">
            <v>41226</v>
          </cell>
          <cell r="E48">
            <v>7.58</v>
          </cell>
          <cell r="G48">
            <v>41226</v>
          </cell>
          <cell r="H48">
            <v>1.37</v>
          </cell>
          <cell r="J48">
            <v>41226</v>
          </cell>
          <cell r="K48">
            <v>5.45</v>
          </cell>
          <cell r="M48">
            <v>41226</v>
          </cell>
          <cell r="N48">
            <v>10.58</v>
          </cell>
          <cell r="P48">
            <v>41226</v>
          </cell>
          <cell r="Q48">
            <v>8.4</v>
          </cell>
        </row>
        <row r="49">
          <cell r="D49">
            <v>41225</v>
          </cell>
          <cell r="E49">
            <v>7.87</v>
          </cell>
          <cell r="G49">
            <v>41225</v>
          </cell>
          <cell r="H49">
            <v>1.41</v>
          </cell>
          <cell r="J49">
            <v>41225</v>
          </cell>
          <cell r="K49">
            <v>5.83</v>
          </cell>
          <cell r="M49">
            <v>41225</v>
          </cell>
          <cell r="N49">
            <v>10.78</v>
          </cell>
          <cell r="P49">
            <v>41225</v>
          </cell>
          <cell r="Q49">
            <v>8.81</v>
          </cell>
        </row>
        <row r="50">
          <cell r="D50">
            <v>41222</v>
          </cell>
          <cell r="E50">
            <v>8.09</v>
          </cell>
          <cell r="G50">
            <v>41222</v>
          </cell>
          <cell r="H50">
            <v>1.35</v>
          </cell>
          <cell r="J50">
            <v>41222</v>
          </cell>
          <cell r="K50">
            <v>5.92</v>
          </cell>
          <cell r="M50">
            <v>41222</v>
          </cell>
          <cell r="N50">
            <v>10.89</v>
          </cell>
          <cell r="P50">
            <v>41222</v>
          </cell>
          <cell r="Q50">
            <v>8.5399999999999991</v>
          </cell>
        </row>
        <row r="51">
          <cell r="D51">
            <v>41221</v>
          </cell>
          <cell r="E51">
            <v>8.0399999999999991</v>
          </cell>
          <cell r="G51">
            <v>41221</v>
          </cell>
          <cell r="H51">
            <v>1.46</v>
          </cell>
          <cell r="J51">
            <v>41221</v>
          </cell>
          <cell r="K51">
            <v>5.72</v>
          </cell>
          <cell r="M51">
            <v>41221</v>
          </cell>
          <cell r="N51">
            <v>10.66</v>
          </cell>
          <cell r="P51">
            <v>41221</v>
          </cell>
          <cell r="Q51">
            <v>8.1999999999999993</v>
          </cell>
        </row>
        <row r="52">
          <cell r="D52">
            <v>41220</v>
          </cell>
          <cell r="E52">
            <v>8.2799999999999994</v>
          </cell>
          <cell r="G52">
            <v>41220</v>
          </cell>
          <cell r="H52">
            <v>1.71</v>
          </cell>
          <cell r="J52">
            <v>41220</v>
          </cell>
          <cell r="K52">
            <v>5.15</v>
          </cell>
          <cell r="M52">
            <v>41220</v>
          </cell>
          <cell r="N52">
            <v>10.93</v>
          </cell>
          <cell r="P52">
            <v>41220</v>
          </cell>
          <cell r="Q52">
            <v>8.24</v>
          </cell>
        </row>
        <row r="53">
          <cell r="D53">
            <v>41219</v>
          </cell>
          <cell r="E53">
            <v>8.26</v>
          </cell>
          <cell r="G53">
            <v>41219</v>
          </cell>
          <cell r="H53">
            <v>1.76</v>
          </cell>
          <cell r="J53">
            <v>41219</v>
          </cell>
          <cell r="K53">
            <v>5.0999999999999996</v>
          </cell>
          <cell r="M53">
            <v>41219</v>
          </cell>
          <cell r="N53">
            <v>11.47</v>
          </cell>
          <cell r="P53">
            <v>41219</v>
          </cell>
          <cell r="Q53">
            <v>9.06</v>
          </cell>
        </row>
        <row r="54">
          <cell r="D54">
            <v>41218</v>
          </cell>
          <cell r="E54">
            <v>8.27</v>
          </cell>
          <cell r="G54">
            <v>41218</v>
          </cell>
          <cell r="H54">
            <v>1.69</v>
          </cell>
          <cell r="J54">
            <v>41218</v>
          </cell>
          <cell r="K54">
            <v>5.07</v>
          </cell>
          <cell r="M54">
            <v>41218</v>
          </cell>
          <cell r="N54">
            <v>11.4</v>
          </cell>
          <cell r="P54">
            <v>41218</v>
          </cell>
          <cell r="Q54">
            <v>8.9</v>
          </cell>
        </row>
        <row r="55">
          <cell r="D55">
            <v>41215</v>
          </cell>
          <cell r="E55">
            <v>8.33</v>
          </cell>
          <cell r="G55">
            <v>41215</v>
          </cell>
          <cell r="H55">
            <v>1.63</v>
          </cell>
          <cell r="J55">
            <v>41215</v>
          </cell>
          <cell r="K55">
            <v>5.24</v>
          </cell>
          <cell r="M55">
            <v>41215</v>
          </cell>
          <cell r="N55">
            <v>11.41</v>
          </cell>
          <cell r="P55">
            <v>41215</v>
          </cell>
          <cell r="Q55">
            <v>8.7100000000000009</v>
          </cell>
        </row>
        <row r="56">
          <cell r="D56">
            <v>41214</v>
          </cell>
          <cell r="E56">
            <v>8.0299999999999994</v>
          </cell>
          <cell r="G56">
            <v>41214</v>
          </cell>
          <cell r="H56">
            <v>1.66</v>
          </cell>
          <cell r="J56">
            <v>41214</v>
          </cell>
          <cell r="K56">
            <v>5.22</v>
          </cell>
          <cell r="M56">
            <v>41214</v>
          </cell>
          <cell r="N56">
            <v>11.6</v>
          </cell>
          <cell r="P56">
            <v>41214</v>
          </cell>
          <cell r="Q56">
            <v>8.6999999999999993</v>
          </cell>
        </row>
        <row r="57">
          <cell r="D57">
            <v>41213</v>
          </cell>
          <cell r="E57">
            <v>8.07</v>
          </cell>
          <cell r="G57">
            <v>41213</v>
          </cell>
          <cell r="H57">
            <v>1.65</v>
          </cell>
          <cell r="J57">
            <v>41213</v>
          </cell>
          <cell r="K57">
            <v>5.25</v>
          </cell>
          <cell r="M57">
            <v>41213</v>
          </cell>
          <cell r="N57">
            <v>11.48</v>
          </cell>
          <cell r="P57">
            <v>41213</v>
          </cell>
          <cell r="Q57">
            <v>7.9249999999999998</v>
          </cell>
        </row>
        <row r="58">
          <cell r="D58">
            <v>41208</v>
          </cell>
          <cell r="E58">
            <v>7.9</v>
          </cell>
          <cell r="G58">
            <v>41208</v>
          </cell>
          <cell r="H58">
            <v>1.66</v>
          </cell>
          <cell r="J58">
            <v>41208</v>
          </cell>
          <cell r="K58">
            <v>5.25</v>
          </cell>
          <cell r="M58">
            <v>41208</v>
          </cell>
          <cell r="N58">
            <v>11.09</v>
          </cell>
          <cell r="P58">
            <v>41208</v>
          </cell>
          <cell r="Q58">
            <v>7.57</v>
          </cell>
        </row>
        <row r="59">
          <cell r="D59">
            <v>41207</v>
          </cell>
          <cell r="E59">
            <v>7.84</v>
          </cell>
          <cell r="G59">
            <v>41207</v>
          </cell>
          <cell r="H59">
            <v>1.73</v>
          </cell>
          <cell r="J59">
            <v>41207</v>
          </cell>
          <cell r="K59">
            <v>5.01</v>
          </cell>
          <cell r="M59">
            <v>41207</v>
          </cell>
          <cell r="N59">
            <v>11.22</v>
          </cell>
          <cell r="P59">
            <v>41207</v>
          </cell>
          <cell r="Q59">
            <v>7.71</v>
          </cell>
        </row>
        <row r="60">
          <cell r="D60">
            <v>41206</v>
          </cell>
          <cell r="E60">
            <v>8.0399999999999991</v>
          </cell>
          <cell r="G60">
            <v>41206</v>
          </cell>
          <cell r="H60">
            <v>1.77</v>
          </cell>
          <cell r="J60">
            <v>41206</v>
          </cell>
          <cell r="K60">
            <v>5.18</v>
          </cell>
          <cell r="M60">
            <v>41206</v>
          </cell>
          <cell r="N60">
            <v>11.17</v>
          </cell>
          <cell r="P60">
            <v>41206</v>
          </cell>
          <cell r="Q60">
            <v>7.52</v>
          </cell>
        </row>
        <row r="61">
          <cell r="D61">
            <v>41205</v>
          </cell>
          <cell r="E61">
            <v>7.94</v>
          </cell>
          <cell r="G61">
            <v>41205</v>
          </cell>
          <cell r="H61">
            <v>1.75</v>
          </cell>
          <cell r="J61">
            <v>41205</v>
          </cell>
          <cell r="K61">
            <v>5.0999999999999996</v>
          </cell>
          <cell r="M61">
            <v>41205</v>
          </cell>
          <cell r="N61">
            <v>11.11</v>
          </cell>
          <cell r="P61">
            <v>41205</v>
          </cell>
          <cell r="Q61">
            <v>7.6215999999999999</v>
          </cell>
        </row>
        <row r="62">
          <cell r="D62">
            <v>41204</v>
          </cell>
          <cell r="E62">
            <v>7.98</v>
          </cell>
          <cell r="G62">
            <v>41204</v>
          </cell>
          <cell r="H62">
            <v>1.7</v>
          </cell>
          <cell r="J62">
            <v>41204</v>
          </cell>
          <cell r="K62">
            <v>5.32</v>
          </cell>
          <cell r="M62">
            <v>41204</v>
          </cell>
          <cell r="N62">
            <v>10.97</v>
          </cell>
          <cell r="P62">
            <v>41204</v>
          </cell>
          <cell r="Q62">
            <v>7.69</v>
          </cell>
        </row>
        <row r="63">
          <cell r="D63">
            <v>41201</v>
          </cell>
          <cell r="E63">
            <v>7.91</v>
          </cell>
          <cell r="G63">
            <v>41201</v>
          </cell>
          <cell r="H63">
            <v>1.73</v>
          </cell>
          <cell r="J63">
            <v>41201</v>
          </cell>
          <cell r="K63">
            <v>5.42</v>
          </cell>
          <cell r="M63">
            <v>41201</v>
          </cell>
          <cell r="N63">
            <v>10.94</v>
          </cell>
          <cell r="P63">
            <v>41201</v>
          </cell>
          <cell r="Q63">
            <v>7.76</v>
          </cell>
        </row>
        <row r="64">
          <cell r="D64">
            <v>41200</v>
          </cell>
          <cell r="E64">
            <v>7.9314999999999998</v>
          </cell>
          <cell r="G64">
            <v>41200</v>
          </cell>
          <cell r="H64">
            <v>1.75</v>
          </cell>
          <cell r="J64">
            <v>41200</v>
          </cell>
          <cell r="K64">
            <v>5.64</v>
          </cell>
          <cell r="M64">
            <v>41200</v>
          </cell>
          <cell r="N64">
            <v>11.39</v>
          </cell>
          <cell r="P64">
            <v>41200</v>
          </cell>
          <cell r="Q64">
            <v>7.84</v>
          </cell>
        </row>
        <row r="65">
          <cell r="D65">
            <v>41199</v>
          </cell>
          <cell r="E65">
            <v>8.0500000000000007</v>
          </cell>
          <cell r="G65">
            <v>41199</v>
          </cell>
          <cell r="H65">
            <v>1.8</v>
          </cell>
          <cell r="J65">
            <v>41199</v>
          </cell>
          <cell r="K65">
            <v>5.77</v>
          </cell>
          <cell r="M65">
            <v>41199</v>
          </cell>
          <cell r="N65">
            <v>11.7</v>
          </cell>
          <cell r="P65">
            <v>41199</v>
          </cell>
          <cell r="Q65">
            <v>7.99</v>
          </cell>
        </row>
        <row r="66">
          <cell r="D66">
            <v>41198</v>
          </cell>
          <cell r="E66">
            <v>8</v>
          </cell>
          <cell r="G66">
            <v>41198</v>
          </cell>
          <cell r="H66">
            <v>1.78</v>
          </cell>
          <cell r="J66">
            <v>41198</v>
          </cell>
          <cell r="K66">
            <v>5.81</v>
          </cell>
          <cell r="M66">
            <v>41198</v>
          </cell>
          <cell r="N66">
            <v>11.43</v>
          </cell>
          <cell r="P66">
            <v>41198</v>
          </cell>
          <cell r="Q66">
            <v>7.83</v>
          </cell>
        </row>
        <row r="67">
          <cell r="D67">
            <v>41197</v>
          </cell>
          <cell r="E67">
            <v>7.92</v>
          </cell>
          <cell r="G67">
            <v>41197</v>
          </cell>
          <cell r="H67">
            <v>1.8</v>
          </cell>
          <cell r="J67">
            <v>41197</v>
          </cell>
          <cell r="K67">
            <v>6</v>
          </cell>
          <cell r="M67">
            <v>41197</v>
          </cell>
          <cell r="N67">
            <v>11.54</v>
          </cell>
          <cell r="P67">
            <v>41197</v>
          </cell>
          <cell r="Q67">
            <v>7.8</v>
          </cell>
        </row>
        <row r="68">
          <cell r="D68">
            <v>41194</v>
          </cell>
          <cell r="E68">
            <v>7.89</v>
          </cell>
          <cell r="G68">
            <v>41194</v>
          </cell>
          <cell r="H68">
            <v>1.77</v>
          </cell>
          <cell r="J68">
            <v>41194</v>
          </cell>
          <cell r="K68">
            <v>5.88</v>
          </cell>
          <cell r="M68">
            <v>41194</v>
          </cell>
          <cell r="N68">
            <v>11.04</v>
          </cell>
          <cell r="P68">
            <v>41194</v>
          </cell>
          <cell r="Q68">
            <v>7.8</v>
          </cell>
        </row>
        <row r="69">
          <cell r="D69">
            <v>41193</v>
          </cell>
          <cell r="E69">
            <v>7.85</v>
          </cell>
          <cell r="G69">
            <v>41193</v>
          </cell>
          <cell r="H69">
            <v>1.78</v>
          </cell>
          <cell r="J69">
            <v>41193</v>
          </cell>
          <cell r="K69">
            <v>5.86</v>
          </cell>
          <cell r="M69">
            <v>41193</v>
          </cell>
          <cell r="N69">
            <v>11.1</v>
          </cell>
          <cell r="P69">
            <v>41193</v>
          </cell>
          <cell r="Q69">
            <v>7.91</v>
          </cell>
        </row>
        <row r="70">
          <cell r="D70">
            <v>41192</v>
          </cell>
          <cell r="E70">
            <v>7.77</v>
          </cell>
          <cell r="G70">
            <v>41192</v>
          </cell>
          <cell r="H70">
            <v>1.77</v>
          </cell>
          <cell r="J70">
            <v>41192</v>
          </cell>
          <cell r="K70">
            <v>5.7</v>
          </cell>
          <cell r="M70">
            <v>41192</v>
          </cell>
          <cell r="N70">
            <v>11.23</v>
          </cell>
          <cell r="P70">
            <v>41192</v>
          </cell>
          <cell r="Q70">
            <v>7.76</v>
          </cell>
        </row>
        <row r="71">
          <cell r="D71">
            <v>41191</v>
          </cell>
          <cell r="E71">
            <v>7.86</v>
          </cell>
          <cell r="G71">
            <v>41191</v>
          </cell>
          <cell r="H71">
            <v>1.8</v>
          </cell>
          <cell r="J71">
            <v>41191</v>
          </cell>
          <cell r="K71">
            <v>5.84</v>
          </cell>
          <cell r="M71">
            <v>41191</v>
          </cell>
          <cell r="N71">
            <v>11.28</v>
          </cell>
          <cell r="P71">
            <v>41191</v>
          </cell>
          <cell r="Q71">
            <v>7.8</v>
          </cell>
        </row>
        <row r="72">
          <cell r="D72">
            <v>41190</v>
          </cell>
          <cell r="E72">
            <v>7.91</v>
          </cell>
          <cell r="G72">
            <v>41190</v>
          </cell>
          <cell r="H72">
            <v>1.85</v>
          </cell>
          <cell r="J72">
            <v>41190</v>
          </cell>
          <cell r="K72">
            <v>5.89</v>
          </cell>
          <cell r="M72">
            <v>41190</v>
          </cell>
          <cell r="N72">
            <v>11.525</v>
          </cell>
          <cell r="P72">
            <v>41190</v>
          </cell>
          <cell r="Q72">
            <v>8.24</v>
          </cell>
        </row>
        <row r="73">
          <cell r="D73">
            <v>41187</v>
          </cell>
          <cell r="E73">
            <v>7.98</v>
          </cell>
          <cell r="G73">
            <v>41187</v>
          </cell>
          <cell r="H73">
            <v>1.92</v>
          </cell>
          <cell r="J73">
            <v>41187</v>
          </cell>
          <cell r="K73">
            <v>6.04</v>
          </cell>
          <cell r="M73">
            <v>41187</v>
          </cell>
          <cell r="N73">
            <v>11.37</v>
          </cell>
          <cell r="P73">
            <v>41187</v>
          </cell>
          <cell r="Q73">
            <v>8.2200000000000006</v>
          </cell>
        </row>
        <row r="74">
          <cell r="D74">
            <v>41186</v>
          </cell>
          <cell r="E74">
            <v>7.91</v>
          </cell>
          <cell r="G74">
            <v>41186</v>
          </cell>
          <cell r="H74">
            <v>1.94</v>
          </cell>
          <cell r="J74">
            <v>41186</v>
          </cell>
          <cell r="K74">
            <v>6.01</v>
          </cell>
          <cell r="M74">
            <v>41186</v>
          </cell>
          <cell r="N74">
            <v>11.52</v>
          </cell>
          <cell r="P74">
            <v>41186</v>
          </cell>
          <cell r="Q74">
            <v>8.2249999999999996</v>
          </cell>
        </row>
        <row r="75">
          <cell r="D75">
            <v>41185</v>
          </cell>
          <cell r="E75">
            <v>7.98</v>
          </cell>
          <cell r="G75">
            <v>41185</v>
          </cell>
          <cell r="H75">
            <v>1.95</v>
          </cell>
          <cell r="J75">
            <v>41185</v>
          </cell>
          <cell r="K75">
            <v>5.85</v>
          </cell>
          <cell r="M75">
            <v>41185</v>
          </cell>
          <cell r="N75">
            <v>11.36</v>
          </cell>
          <cell r="P75">
            <v>41185</v>
          </cell>
          <cell r="Q75">
            <v>8.06</v>
          </cell>
        </row>
        <row r="76">
          <cell r="D76">
            <v>41184</v>
          </cell>
          <cell r="E76">
            <v>8.15</v>
          </cell>
          <cell r="G76">
            <v>41184</v>
          </cell>
          <cell r="H76">
            <v>1.93</v>
          </cell>
          <cell r="J76">
            <v>41184</v>
          </cell>
          <cell r="K76">
            <v>5.85</v>
          </cell>
          <cell r="M76">
            <v>41184</v>
          </cell>
          <cell r="N76">
            <v>11.48</v>
          </cell>
          <cell r="P76">
            <v>41184</v>
          </cell>
          <cell r="Q76">
            <v>8.27</v>
          </cell>
        </row>
        <row r="77">
          <cell r="D77">
            <v>41183</v>
          </cell>
          <cell r="E77">
            <v>7.93</v>
          </cell>
          <cell r="G77">
            <v>41183</v>
          </cell>
          <cell r="H77">
            <v>2.0099999999999998</v>
          </cell>
          <cell r="J77">
            <v>41183</v>
          </cell>
          <cell r="K77">
            <v>5.86</v>
          </cell>
          <cell r="M77">
            <v>41183</v>
          </cell>
          <cell r="N77">
            <v>11.49</v>
          </cell>
          <cell r="P77">
            <v>41183</v>
          </cell>
          <cell r="Q77">
            <v>7.86</v>
          </cell>
        </row>
        <row r="78">
          <cell r="D78">
            <v>41180</v>
          </cell>
          <cell r="E78">
            <v>7.78</v>
          </cell>
          <cell r="G78">
            <v>41180</v>
          </cell>
          <cell r="H78">
            <v>1.98</v>
          </cell>
          <cell r="J78">
            <v>41180</v>
          </cell>
          <cell r="K78">
            <v>5.76</v>
          </cell>
          <cell r="M78">
            <v>41180</v>
          </cell>
          <cell r="N78">
            <v>11.33</v>
          </cell>
          <cell r="P78">
            <v>41180</v>
          </cell>
          <cell r="Q78">
            <v>7.5</v>
          </cell>
        </row>
        <row r="79">
          <cell r="D79">
            <v>41179</v>
          </cell>
          <cell r="E79">
            <v>7.79</v>
          </cell>
          <cell r="G79">
            <v>41179</v>
          </cell>
          <cell r="H79">
            <v>2.0099999999999998</v>
          </cell>
          <cell r="J79">
            <v>41179</v>
          </cell>
          <cell r="K79">
            <v>5.6</v>
          </cell>
          <cell r="M79">
            <v>41179</v>
          </cell>
          <cell r="N79">
            <v>11.5</v>
          </cell>
          <cell r="P79">
            <v>41179</v>
          </cell>
          <cell r="Q79">
            <v>7.14</v>
          </cell>
        </row>
        <row r="80">
          <cell r="D80">
            <v>41178</v>
          </cell>
          <cell r="E80">
            <v>7.76</v>
          </cell>
          <cell r="G80">
            <v>41178</v>
          </cell>
          <cell r="H80">
            <v>1.93</v>
          </cell>
          <cell r="J80">
            <v>41178</v>
          </cell>
          <cell r="K80">
            <v>5.47</v>
          </cell>
          <cell r="M80">
            <v>41178</v>
          </cell>
          <cell r="N80">
            <v>11.1</v>
          </cell>
          <cell r="P80">
            <v>41178</v>
          </cell>
          <cell r="Q80">
            <v>7</v>
          </cell>
        </row>
        <row r="81">
          <cell r="D81">
            <v>41177</v>
          </cell>
          <cell r="E81">
            <v>7.74</v>
          </cell>
          <cell r="G81">
            <v>41177</v>
          </cell>
          <cell r="H81">
            <v>1.93</v>
          </cell>
          <cell r="J81">
            <v>41177</v>
          </cell>
          <cell r="K81">
            <v>5.6</v>
          </cell>
          <cell r="M81">
            <v>41177</v>
          </cell>
          <cell r="N81">
            <v>11.1</v>
          </cell>
          <cell r="P81">
            <v>41177</v>
          </cell>
          <cell r="Q81">
            <v>6.6</v>
          </cell>
        </row>
        <row r="82">
          <cell r="D82">
            <v>41176</v>
          </cell>
          <cell r="E82">
            <v>7.85</v>
          </cell>
          <cell r="G82">
            <v>41176</v>
          </cell>
          <cell r="H82">
            <v>1.93</v>
          </cell>
          <cell r="J82">
            <v>41176</v>
          </cell>
          <cell r="K82">
            <v>5.61</v>
          </cell>
          <cell r="M82">
            <v>41176</v>
          </cell>
          <cell r="N82">
            <v>10.95</v>
          </cell>
          <cell r="P82">
            <v>41176</v>
          </cell>
          <cell r="Q82">
            <v>6.3049999999999997</v>
          </cell>
        </row>
        <row r="83">
          <cell r="D83">
            <v>41173</v>
          </cell>
          <cell r="E83">
            <v>8.18</v>
          </cell>
          <cell r="G83">
            <v>41173</v>
          </cell>
          <cell r="H83">
            <v>1.92</v>
          </cell>
          <cell r="J83">
            <v>41173</v>
          </cell>
          <cell r="K83">
            <v>5.51</v>
          </cell>
          <cell r="M83">
            <v>41173</v>
          </cell>
          <cell r="N83">
            <v>10.99</v>
          </cell>
          <cell r="P83">
            <v>41173</v>
          </cell>
          <cell r="Q83">
            <v>6.4550000000000001</v>
          </cell>
        </row>
        <row r="84">
          <cell r="D84">
            <v>41172</v>
          </cell>
          <cell r="E84">
            <v>8.2799999999999994</v>
          </cell>
          <cell r="G84">
            <v>41172</v>
          </cell>
          <cell r="H84">
            <v>1.93</v>
          </cell>
          <cell r="J84">
            <v>41172</v>
          </cell>
          <cell r="K84">
            <v>5.27</v>
          </cell>
          <cell r="M84">
            <v>41172</v>
          </cell>
          <cell r="N84">
            <v>10.81</v>
          </cell>
          <cell r="P84">
            <v>41172</v>
          </cell>
          <cell r="Q84">
            <v>6.9053000000000004</v>
          </cell>
        </row>
        <row r="85">
          <cell r="D85">
            <v>41171</v>
          </cell>
          <cell r="E85">
            <v>8.2799999999999994</v>
          </cell>
          <cell r="G85">
            <v>41171</v>
          </cell>
          <cell r="H85">
            <v>1.97</v>
          </cell>
          <cell r="J85">
            <v>41171</v>
          </cell>
          <cell r="K85">
            <v>5.26</v>
          </cell>
          <cell r="M85">
            <v>41171</v>
          </cell>
          <cell r="N85">
            <v>10.75</v>
          </cell>
          <cell r="P85">
            <v>41171</v>
          </cell>
          <cell r="Q85">
            <v>7.21</v>
          </cell>
        </row>
        <row r="86">
          <cell r="D86">
            <v>41170</v>
          </cell>
          <cell r="E86">
            <v>8.2899999999999991</v>
          </cell>
          <cell r="G86">
            <v>41170</v>
          </cell>
          <cell r="H86">
            <v>1.94</v>
          </cell>
          <cell r="J86">
            <v>41170</v>
          </cell>
          <cell r="K86">
            <v>5.13</v>
          </cell>
          <cell r="M86">
            <v>41170</v>
          </cell>
          <cell r="N86">
            <v>10.47</v>
          </cell>
          <cell r="P86">
            <v>41170</v>
          </cell>
          <cell r="Q86">
            <v>7.415</v>
          </cell>
        </row>
        <row r="87">
          <cell r="D87">
            <v>41169</v>
          </cell>
          <cell r="E87">
            <v>8.36</v>
          </cell>
          <cell r="G87">
            <v>41169</v>
          </cell>
          <cell r="H87">
            <v>1.91</v>
          </cell>
          <cell r="J87">
            <v>41169</v>
          </cell>
          <cell r="K87">
            <v>5.16</v>
          </cell>
          <cell r="M87">
            <v>41169</v>
          </cell>
          <cell r="N87">
            <v>10.46</v>
          </cell>
          <cell r="P87">
            <v>41169</v>
          </cell>
          <cell r="Q87">
            <v>7.25</v>
          </cell>
        </row>
        <row r="88">
          <cell r="D88">
            <v>41166</v>
          </cell>
          <cell r="E88">
            <v>8.39</v>
          </cell>
          <cell r="G88">
            <v>41166</v>
          </cell>
          <cell r="H88">
            <v>1.98</v>
          </cell>
          <cell r="J88">
            <v>41166</v>
          </cell>
          <cell r="K88">
            <v>5.1449999999999996</v>
          </cell>
          <cell r="M88">
            <v>41166</v>
          </cell>
          <cell r="N88">
            <v>10.119999999999999</v>
          </cell>
          <cell r="P88">
            <v>41166</v>
          </cell>
          <cell r="Q88">
            <v>7.56</v>
          </cell>
        </row>
        <row r="89">
          <cell r="D89">
            <v>41165</v>
          </cell>
          <cell r="E89">
            <v>8.67</v>
          </cell>
          <cell r="G89">
            <v>41165</v>
          </cell>
          <cell r="H89">
            <v>2.04</v>
          </cell>
          <cell r="J89">
            <v>41165</v>
          </cell>
          <cell r="K89">
            <v>5.15</v>
          </cell>
          <cell r="M89">
            <v>41165</v>
          </cell>
          <cell r="N89">
            <v>10.35</v>
          </cell>
          <cell r="P89">
            <v>41165</v>
          </cell>
          <cell r="Q89">
            <v>7.4249999999999998</v>
          </cell>
        </row>
        <row r="90">
          <cell r="D90">
            <v>41164</v>
          </cell>
          <cell r="E90">
            <v>8.6199999999999992</v>
          </cell>
          <cell r="G90">
            <v>41164</v>
          </cell>
          <cell r="H90">
            <v>1.92</v>
          </cell>
          <cell r="J90">
            <v>41164</v>
          </cell>
          <cell r="K90">
            <v>5.13</v>
          </cell>
          <cell r="M90">
            <v>41164</v>
          </cell>
          <cell r="N90">
            <v>10.31</v>
          </cell>
          <cell r="P90">
            <v>41164</v>
          </cell>
          <cell r="Q90">
            <v>7.42</v>
          </cell>
        </row>
        <row r="91">
          <cell r="D91">
            <v>41163</v>
          </cell>
          <cell r="E91">
            <v>8.42</v>
          </cell>
          <cell r="G91">
            <v>41163</v>
          </cell>
          <cell r="H91">
            <v>1.86</v>
          </cell>
          <cell r="J91">
            <v>41163</v>
          </cell>
          <cell r="K91">
            <v>5.15</v>
          </cell>
          <cell r="M91">
            <v>41163</v>
          </cell>
          <cell r="N91">
            <v>10.36</v>
          </cell>
          <cell r="P91">
            <v>41163</v>
          </cell>
          <cell r="Q91">
            <v>7.46</v>
          </cell>
        </row>
        <row r="92">
          <cell r="D92">
            <v>41162</v>
          </cell>
          <cell r="E92">
            <v>8.4350000000000005</v>
          </cell>
          <cell r="G92">
            <v>41162</v>
          </cell>
          <cell r="H92">
            <v>1.87</v>
          </cell>
          <cell r="J92">
            <v>41162</v>
          </cell>
          <cell r="K92">
            <v>5.17</v>
          </cell>
          <cell r="M92">
            <v>41162</v>
          </cell>
          <cell r="N92">
            <v>10.46</v>
          </cell>
          <cell r="P92">
            <v>41162</v>
          </cell>
          <cell r="Q92">
            <v>7.15</v>
          </cell>
        </row>
        <row r="93">
          <cell r="D93">
            <v>41159</v>
          </cell>
          <cell r="E93">
            <v>8.68</v>
          </cell>
          <cell r="G93">
            <v>41159</v>
          </cell>
          <cell r="H93">
            <v>1.88</v>
          </cell>
          <cell r="J93">
            <v>41159</v>
          </cell>
          <cell r="K93">
            <v>5</v>
          </cell>
          <cell r="M93">
            <v>41159</v>
          </cell>
          <cell r="N93">
            <v>10.59</v>
          </cell>
          <cell r="P93">
            <v>41159</v>
          </cell>
          <cell r="Q93">
            <v>7.19</v>
          </cell>
        </row>
        <row r="94">
          <cell r="D94">
            <v>41158</v>
          </cell>
          <cell r="E94">
            <v>8.3800000000000008</v>
          </cell>
          <cell r="G94">
            <v>41158</v>
          </cell>
          <cell r="H94">
            <v>1.83</v>
          </cell>
          <cell r="J94">
            <v>41158</v>
          </cell>
          <cell r="K94">
            <v>5.04</v>
          </cell>
          <cell r="M94">
            <v>41158</v>
          </cell>
          <cell r="N94">
            <v>10.87</v>
          </cell>
          <cell r="P94">
            <v>41158</v>
          </cell>
          <cell r="Q94">
            <v>6.7149999999999999</v>
          </cell>
        </row>
        <row r="95">
          <cell r="D95">
            <v>41157</v>
          </cell>
          <cell r="E95">
            <v>8.41</v>
          </cell>
          <cell r="G95">
            <v>41157</v>
          </cell>
          <cell r="H95">
            <v>1.91</v>
          </cell>
          <cell r="J95">
            <v>41157</v>
          </cell>
          <cell r="K95">
            <v>5.09</v>
          </cell>
          <cell r="M95">
            <v>41157</v>
          </cell>
          <cell r="N95">
            <v>10.49</v>
          </cell>
          <cell r="P95">
            <v>41157</v>
          </cell>
          <cell r="Q95">
            <v>6.52</v>
          </cell>
        </row>
        <row r="96">
          <cell r="D96">
            <v>41156</v>
          </cell>
          <cell r="E96">
            <v>8.4</v>
          </cell>
          <cell r="G96">
            <v>41156</v>
          </cell>
          <cell r="H96">
            <v>2.02</v>
          </cell>
          <cell r="J96">
            <v>41156</v>
          </cell>
          <cell r="K96">
            <v>5.0789999999999997</v>
          </cell>
          <cell r="M96">
            <v>41156</v>
          </cell>
          <cell r="N96">
            <v>10.6</v>
          </cell>
          <cell r="P96">
            <v>41156</v>
          </cell>
          <cell r="Q96">
            <v>6.6449999999999996</v>
          </cell>
        </row>
        <row r="97">
          <cell r="D97">
            <v>41152</v>
          </cell>
          <cell r="E97">
            <v>8.68</v>
          </cell>
          <cell r="G97">
            <v>41152</v>
          </cell>
          <cell r="H97">
            <v>2.0299999999999998</v>
          </cell>
          <cell r="J97">
            <v>41152</v>
          </cell>
          <cell r="K97">
            <v>4.9800000000000004</v>
          </cell>
          <cell r="M97">
            <v>41152</v>
          </cell>
          <cell r="N97">
            <v>10.42</v>
          </cell>
          <cell r="P97">
            <v>41152</v>
          </cell>
          <cell r="Q97">
            <v>6.69</v>
          </cell>
        </row>
        <row r="98">
          <cell r="D98">
            <v>41151</v>
          </cell>
          <cell r="E98">
            <v>8.6999999999999993</v>
          </cell>
          <cell r="G98">
            <v>41151</v>
          </cell>
          <cell r="H98">
            <v>2.0299999999999998</v>
          </cell>
          <cell r="J98">
            <v>41151</v>
          </cell>
          <cell r="K98">
            <v>4.92</v>
          </cell>
          <cell r="M98">
            <v>41151</v>
          </cell>
          <cell r="N98">
            <v>10.34</v>
          </cell>
          <cell r="P98">
            <v>41151</v>
          </cell>
          <cell r="Q98">
            <v>6.71</v>
          </cell>
        </row>
        <row r="99">
          <cell r="D99">
            <v>41150</v>
          </cell>
          <cell r="E99">
            <v>8.6</v>
          </cell>
          <cell r="G99">
            <v>41150</v>
          </cell>
          <cell r="H99">
            <v>2.06</v>
          </cell>
          <cell r="J99">
            <v>41150</v>
          </cell>
          <cell r="K99">
            <v>4.75</v>
          </cell>
          <cell r="M99">
            <v>41150</v>
          </cell>
          <cell r="N99">
            <v>10.45</v>
          </cell>
          <cell r="P99">
            <v>41150</v>
          </cell>
          <cell r="Q99">
            <v>6.91</v>
          </cell>
        </row>
        <row r="100">
          <cell r="D100">
            <v>41149</v>
          </cell>
          <cell r="E100">
            <v>8.9499999999999993</v>
          </cell>
          <cell r="G100">
            <v>41149</v>
          </cell>
          <cell r="H100">
            <v>2.08</v>
          </cell>
          <cell r="J100">
            <v>41149</v>
          </cell>
          <cell r="K100">
            <v>4.76</v>
          </cell>
          <cell r="M100">
            <v>41149</v>
          </cell>
          <cell r="N100">
            <v>10.5</v>
          </cell>
          <cell r="P100">
            <v>41149</v>
          </cell>
          <cell r="Q100">
            <v>7.02</v>
          </cell>
        </row>
        <row r="101">
          <cell r="D101">
            <v>41148</v>
          </cell>
          <cell r="E101">
            <v>8.82</v>
          </cell>
          <cell r="G101">
            <v>41148</v>
          </cell>
          <cell r="H101">
            <v>2.02</v>
          </cell>
          <cell r="J101">
            <v>41148</v>
          </cell>
          <cell r="K101">
            <v>4.76</v>
          </cell>
          <cell r="M101">
            <v>41148</v>
          </cell>
          <cell r="N101">
            <v>10.4</v>
          </cell>
          <cell r="P101">
            <v>41148</v>
          </cell>
          <cell r="Q101">
            <v>7.07</v>
          </cell>
        </row>
        <row r="102">
          <cell r="D102">
            <v>41145</v>
          </cell>
          <cell r="E102">
            <v>8.81</v>
          </cell>
          <cell r="G102">
            <v>41145</v>
          </cell>
          <cell r="H102">
            <v>2.11</v>
          </cell>
          <cell r="J102">
            <v>41145</v>
          </cell>
          <cell r="K102">
            <v>4.67</v>
          </cell>
          <cell r="M102">
            <v>41145</v>
          </cell>
          <cell r="N102">
            <v>10.4</v>
          </cell>
          <cell r="P102">
            <v>41145</v>
          </cell>
          <cell r="Q102">
            <v>6.94</v>
          </cell>
        </row>
        <row r="103">
          <cell r="D103">
            <v>41144</v>
          </cell>
          <cell r="E103">
            <v>8.75</v>
          </cell>
          <cell r="G103">
            <v>41144</v>
          </cell>
          <cell r="H103">
            <v>2.1</v>
          </cell>
          <cell r="J103">
            <v>41144</v>
          </cell>
          <cell r="K103">
            <v>4.71</v>
          </cell>
          <cell r="M103">
            <v>41144</v>
          </cell>
          <cell r="N103">
            <v>10.43</v>
          </cell>
          <cell r="P103">
            <v>41144</v>
          </cell>
          <cell r="Q103">
            <v>7.0650000000000004</v>
          </cell>
        </row>
        <row r="104">
          <cell r="D104">
            <v>41143</v>
          </cell>
          <cell r="E104">
            <v>9</v>
          </cell>
          <cell r="G104">
            <v>41143</v>
          </cell>
          <cell r="H104">
            <v>2.13</v>
          </cell>
          <cell r="J104">
            <v>41143</v>
          </cell>
          <cell r="K104">
            <v>4.7699999999999996</v>
          </cell>
          <cell r="M104">
            <v>41143</v>
          </cell>
          <cell r="N104">
            <v>10.44</v>
          </cell>
          <cell r="P104">
            <v>41143</v>
          </cell>
          <cell r="Q104">
            <v>7.07</v>
          </cell>
        </row>
        <row r="105">
          <cell r="D105">
            <v>41142</v>
          </cell>
          <cell r="E105">
            <v>8.93</v>
          </cell>
          <cell r="G105">
            <v>41142</v>
          </cell>
          <cell r="H105">
            <v>2.1</v>
          </cell>
          <cell r="J105">
            <v>41142</v>
          </cell>
          <cell r="K105">
            <v>4.66</v>
          </cell>
          <cell r="M105">
            <v>41142</v>
          </cell>
          <cell r="N105">
            <v>10.54</v>
          </cell>
          <cell r="P105">
            <v>41142</v>
          </cell>
          <cell r="Q105">
            <v>7.16</v>
          </cell>
        </row>
        <row r="106">
          <cell r="D106">
            <v>41141</v>
          </cell>
          <cell r="E106">
            <v>9.08</v>
          </cell>
          <cell r="G106">
            <v>41141</v>
          </cell>
          <cell r="H106">
            <v>2.15</v>
          </cell>
          <cell r="J106">
            <v>41141</v>
          </cell>
          <cell r="K106">
            <v>4.8600000000000003</v>
          </cell>
          <cell r="M106">
            <v>41141</v>
          </cell>
          <cell r="N106">
            <v>10.49</v>
          </cell>
          <cell r="P106">
            <v>41141</v>
          </cell>
          <cell r="Q106">
            <v>7.35</v>
          </cell>
        </row>
        <row r="107">
          <cell r="D107">
            <v>41138</v>
          </cell>
          <cell r="E107">
            <v>9.27</v>
          </cell>
          <cell r="G107">
            <v>41138</v>
          </cell>
          <cell r="H107">
            <v>2.13</v>
          </cell>
          <cell r="J107">
            <v>41138</v>
          </cell>
          <cell r="K107">
            <v>4.51</v>
          </cell>
          <cell r="M107">
            <v>41138</v>
          </cell>
          <cell r="N107">
            <v>10.46</v>
          </cell>
          <cell r="P107">
            <v>41138</v>
          </cell>
          <cell r="Q107">
            <v>7.47</v>
          </cell>
        </row>
        <row r="108">
          <cell r="D108">
            <v>41137</v>
          </cell>
          <cell r="E108">
            <v>9.32</v>
          </cell>
          <cell r="G108">
            <v>41137</v>
          </cell>
          <cell r="H108">
            <v>2.13</v>
          </cell>
          <cell r="J108">
            <v>41137</v>
          </cell>
          <cell r="K108">
            <v>4.58</v>
          </cell>
          <cell r="M108">
            <v>41137</v>
          </cell>
          <cell r="N108">
            <v>10.039999999999999</v>
          </cell>
          <cell r="P108">
            <v>41137</v>
          </cell>
          <cell r="Q108">
            <v>7.5</v>
          </cell>
        </row>
        <row r="109">
          <cell r="D109">
            <v>41136</v>
          </cell>
          <cell r="E109">
            <v>9.2100000000000009</v>
          </cell>
          <cell r="G109">
            <v>41136</v>
          </cell>
          <cell r="H109">
            <v>2.14</v>
          </cell>
          <cell r="J109">
            <v>41136</v>
          </cell>
          <cell r="K109">
            <v>4.4400000000000004</v>
          </cell>
          <cell r="M109">
            <v>41136</v>
          </cell>
          <cell r="N109">
            <v>9.99</v>
          </cell>
          <cell r="P109">
            <v>41136</v>
          </cell>
          <cell r="Q109">
            <v>7.52</v>
          </cell>
        </row>
        <row r="110">
          <cell r="D110">
            <v>41135</v>
          </cell>
          <cell r="E110">
            <v>9.1300000000000008</v>
          </cell>
          <cell r="G110">
            <v>41135</v>
          </cell>
          <cell r="H110">
            <v>2.15</v>
          </cell>
          <cell r="J110">
            <v>41135</v>
          </cell>
          <cell r="K110">
            <v>4.42</v>
          </cell>
          <cell r="M110">
            <v>41135</v>
          </cell>
          <cell r="N110">
            <v>9.8699999999999992</v>
          </cell>
          <cell r="P110">
            <v>41135</v>
          </cell>
          <cell r="Q110">
            <v>7.56</v>
          </cell>
        </row>
        <row r="111">
          <cell r="D111">
            <v>41134</v>
          </cell>
          <cell r="E111">
            <v>9.1</v>
          </cell>
          <cell r="G111">
            <v>41134</v>
          </cell>
          <cell r="H111">
            <v>2.1800000000000002</v>
          </cell>
          <cell r="J111">
            <v>41134</v>
          </cell>
          <cell r="K111">
            <v>4.38</v>
          </cell>
          <cell r="M111">
            <v>41134</v>
          </cell>
          <cell r="N111">
            <v>9.8800000000000008</v>
          </cell>
          <cell r="P111">
            <v>41134</v>
          </cell>
          <cell r="Q111">
            <v>8.07</v>
          </cell>
        </row>
        <row r="112">
          <cell r="D112">
            <v>41131</v>
          </cell>
          <cell r="E112">
            <v>9.49</v>
          </cell>
          <cell r="G112">
            <v>41131</v>
          </cell>
          <cell r="H112">
            <v>2.21</v>
          </cell>
          <cell r="J112">
            <v>41131</v>
          </cell>
          <cell r="K112">
            <v>4.32</v>
          </cell>
          <cell r="M112">
            <v>41131</v>
          </cell>
          <cell r="N112">
            <v>9.9499999999999993</v>
          </cell>
          <cell r="P112">
            <v>41131</v>
          </cell>
          <cell r="Q112">
            <v>8.2899999999999991</v>
          </cell>
        </row>
        <row r="113">
          <cell r="D113">
            <v>41130</v>
          </cell>
          <cell r="E113">
            <v>9.4600000000000009</v>
          </cell>
          <cell r="G113">
            <v>41130</v>
          </cell>
          <cell r="H113">
            <v>2.13</v>
          </cell>
          <cell r="J113">
            <v>41130</v>
          </cell>
          <cell r="K113">
            <v>4.2699999999999996</v>
          </cell>
          <cell r="M113">
            <v>41130</v>
          </cell>
          <cell r="N113">
            <v>10.050000000000001</v>
          </cell>
          <cell r="P113">
            <v>41130</v>
          </cell>
          <cell r="Q113">
            <v>7.8</v>
          </cell>
        </row>
        <row r="114">
          <cell r="D114">
            <v>41129</v>
          </cell>
          <cell r="E114">
            <v>9.41</v>
          </cell>
          <cell r="G114">
            <v>41129</v>
          </cell>
          <cell r="H114">
            <v>2.14</v>
          </cell>
          <cell r="J114">
            <v>41129</v>
          </cell>
          <cell r="K114">
            <v>4.3</v>
          </cell>
          <cell r="M114">
            <v>41129</v>
          </cell>
          <cell r="N114">
            <v>9.98</v>
          </cell>
          <cell r="P114">
            <v>41129</v>
          </cell>
          <cell r="Q114">
            <v>7.62</v>
          </cell>
        </row>
        <row r="115">
          <cell r="D115">
            <v>41128</v>
          </cell>
          <cell r="E115">
            <v>9.08</v>
          </cell>
          <cell r="G115">
            <v>41128</v>
          </cell>
          <cell r="H115">
            <v>2.52</v>
          </cell>
          <cell r="J115">
            <v>41128</v>
          </cell>
          <cell r="K115">
            <v>4.29</v>
          </cell>
          <cell r="M115">
            <v>41128</v>
          </cell>
          <cell r="N115">
            <v>10.09</v>
          </cell>
          <cell r="P115">
            <v>41128</v>
          </cell>
          <cell r="Q115">
            <v>7.31</v>
          </cell>
        </row>
        <row r="116">
          <cell r="D116">
            <v>41127</v>
          </cell>
          <cell r="E116">
            <v>9.1</v>
          </cell>
          <cell r="G116">
            <v>41127</v>
          </cell>
          <cell r="H116">
            <v>2.35</v>
          </cell>
          <cell r="J116">
            <v>41127</v>
          </cell>
          <cell r="K116">
            <v>4.3600000000000003</v>
          </cell>
          <cell r="M116">
            <v>41127</v>
          </cell>
          <cell r="N116">
            <v>10.029999999999999</v>
          </cell>
          <cell r="P116">
            <v>41127</v>
          </cell>
          <cell r="Q116">
            <v>7.26</v>
          </cell>
        </row>
        <row r="117">
          <cell r="D117">
            <v>41124</v>
          </cell>
          <cell r="E117">
            <v>8.84</v>
          </cell>
          <cell r="G117">
            <v>41124</v>
          </cell>
          <cell r="H117">
            <v>2.36</v>
          </cell>
          <cell r="J117">
            <v>41124</v>
          </cell>
          <cell r="K117">
            <v>4.29</v>
          </cell>
          <cell r="M117">
            <v>41124</v>
          </cell>
          <cell r="N117">
            <v>9.7899999999999991</v>
          </cell>
          <cell r="P117">
            <v>41124</v>
          </cell>
          <cell r="Q117">
            <v>6.99</v>
          </cell>
        </row>
        <row r="118">
          <cell r="D118">
            <v>41123</v>
          </cell>
          <cell r="E118">
            <v>9.3800000000000008</v>
          </cell>
          <cell r="G118">
            <v>41123</v>
          </cell>
          <cell r="H118">
            <v>2.34</v>
          </cell>
          <cell r="J118">
            <v>41123</v>
          </cell>
          <cell r="K118">
            <v>4.2300000000000004</v>
          </cell>
          <cell r="M118">
            <v>41123</v>
          </cell>
          <cell r="N118">
            <v>9.6</v>
          </cell>
          <cell r="P118">
            <v>41123</v>
          </cell>
          <cell r="Q118">
            <v>6.95</v>
          </cell>
        </row>
        <row r="119">
          <cell r="D119">
            <v>41122</v>
          </cell>
          <cell r="E119">
            <v>9.52</v>
          </cell>
          <cell r="G119">
            <v>41122</v>
          </cell>
          <cell r="H119">
            <v>2.36</v>
          </cell>
          <cell r="J119">
            <v>41122</v>
          </cell>
          <cell r="K119">
            <v>4.28</v>
          </cell>
          <cell r="M119">
            <v>41122</v>
          </cell>
          <cell r="N119">
            <v>9.6</v>
          </cell>
          <cell r="P119">
            <v>41122</v>
          </cell>
          <cell r="Q119">
            <v>7.117</v>
          </cell>
        </row>
        <row r="120">
          <cell r="D120">
            <v>41121</v>
          </cell>
          <cell r="E120">
            <v>9.3699999999999992</v>
          </cell>
          <cell r="G120">
            <v>41121</v>
          </cell>
          <cell r="H120">
            <v>2.36</v>
          </cell>
          <cell r="J120">
            <v>41121</v>
          </cell>
          <cell r="K120">
            <v>4.3</v>
          </cell>
          <cell r="M120">
            <v>41121</v>
          </cell>
          <cell r="N120">
            <v>9.51</v>
          </cell>
          <cell r="P120">
            <v>41121</v>
          </cell>
          <cell r="Q120">
            <v>7.15</v>
          </cell>
        </row>
        <row r="121">
          <cell r="D121">
            <v>41120</v>
          </cell>
          <cell r="E121">
            <v>9.3800000000000008</v>
          </cell>
          <cell r="G121">
            <v>41120</v>
          </cell>
          <cell r="H121">
            <v>2.41</v>
          </cell>
          <cell r="J121">
            <v>41120</v>
          </cell>
          <cell r="K121">
            <v>4.3</v>
          </cell>
          <cell r="M121">
            <v>41120</v>
          </cell>
          <cell r="N121">
            <v>9.61</v>
          </cell>
          <cell r="P121">
            <v>41120</v>
          </cell>
          <cell r="Q121">
            <v>7.23</v>
          </cell>
        </row>
        <row r="122">
          <cell r="D122">
            <v>41117</v>
          </cell>
          <cell r="E122">
            <v>9.6</v>
          </cell>
          <cell r="G122">
            <v>41117</v>
          </cell>
          <cell r="H122">
            <v>2.46</v>
          </cell>
          <cell r="J122">
            <v>41117</v>
          </cell>
          <cell r="K122">
            <v>4.2699999999999996</v>
          </cell>
          <cell r="M122">
            <v>41117</v>
          </cell>
          <cell r="N122">
            <v>9.5500000000000007</v>
          </cell>
          <cell r="P122">
            <v>41117</v>
          </cell>
          <cell r="Q122">
            <v>7.375</v>
          </cell>
        </row>
        <row r="123">
          <cell r="D123">
            <v>41116</v>
          </cell>
          <cell r="E123">
            <v>8.98</v>
          </cell>
          <cell r="G123">
            <v>41116</v>
          </cell>
          <cell r="H123">
            <v>2.4700000000000002</v>
          </cell>
          <cell r="J123">
            <v>41116</v>
          </cell>
          <cell r="K123">
            <v>4.2699999999999996</v>
          </cell>
          <cell r="M123">
            <v>41116</v>
          </cell>
          <cell r="N123">
            <v>9.33</v>
          </cell>
          <cell r="P123">
            <v>41116</v>
          </cell>
          <cell r="Q123">
            <v>6.9649999999999999</v>
          </cell>
        </row>
        <row r="124">
          <cell r="D124">
            <v>41115</v>
          </cell>
          <cell r="E124">
            <v>8.81</v>
          </cell>
          <cell r="G124">
            <v>41115</v>
          </cell>
          <cell r="H124">
            <v>2.4500000000000002</v>
          </cell>
          <cell r="J124">
            <v>41115</v>
          </cell>
          <cell r="K124">
            <v>4.26</v>
          </cell>
          <cell r="M124">
            <v>41115</v>
          </cell>
          <cell r="N124">
            <v>9.6</v>
          </cell>
          <cell r="P124">
            <v>41115</v>
          </cell>
          <cell r="Q124">
            <v>6.81</v>
          </cell>
        </row>
        <row r="125">
          <cell r="D125">
            <v>41114</v>
          </cell>
          <cell r="E125">
            <v>8.81</v>
          </cell>
          <cell r="G125">
            <v>41114</v>
          </cell>
          <cell r="H125">
            <v>2.42</v>
          </cell>
          <cell r="J125">
            <v>41114</v>
          </cell>
          <cell r="K125">
            <v>4.33</v>
          </cell>
          <cell r="M125">
            <v>41114</v>
          </cell>
          <cell r="N125">
            <v>9.27</v>
          </cell>
          <cell r="P125">
            <v>41114</v>
          </cell>
          <cell r="Q125">
            <v>6.93</v>
          </cell>
        </row>
        <row r="126">
          <cell r="D126">
            <v>41113</v>
          </cell>
          <cell r="E126">
            <v>9.0649999999999995</v>
          </cell>
          <cell r="G126">
            <v>41113</v>
          </cell>
          <cell r="H126">
            <v>2.46</v>
          </cell>
          <cell r="J126">
            <v>41113</v>
          </cell>
          <cell r="K126">
            <v>4.3499999999999996</v>
          </cell>
          <cell r="M126">
            <v>41113</v>
          </cell>
          <cell r="N126">
            <v>9.49</v>
          </cell>
          <cell r="P126">
            <v>41113</v>
          </cell>
          <cell r="Q126">
            <v>6.86</v>
          </cell>
        </row>
        <row r="127">
          <cell r="D127">
            <v>41110</v>
          </cell>
          <cell r="E127">
            <v>9.36</v>
          </cell>
          <cell r="G127">
            <v>41110</v>
          </cell>
          <cell r="H127">
            <v>2.5099999999999998</v>
          </cell>
          <cell r="J127">
            <v>41110</v>
          </cell>
          <cell r="K127">
            <v>4.3499999999999996</v>
          </cell>
          <cell r="M127">
            <v>41110</v>
          </cell>
          <cell r="N127">
            <v>9.5</v>
          </cell>
          <cell r="P127">
            <v>41110</v>
          </cell>
          <cell r="Q127">
            <v>6.7750000000000004</v>
          </cell>
        </row>
        <row r="128">
          <cell r="D128">
            <v>41109</v>
          </cell>
          <cell r="E128">
            <v>9.5299999999999994</v>
          </cell>
          <cell r="G128">
            <v>41109</v>
          </cell>
          <cell r="H128">
            <v>2.52</v>
          </cell>
          <cell r="J128">
            <v>41109</v>
          </cell>
          <cell r="K128">
            <v>4.3899999999999997</v>
          </cell>
          <cell r="M128">
            <v>41109</v>
          </cell>
          <cell r="N128">
            <v>9.68</v>
          </cell>
          <cell r="P128">
            <v>41109</v>
          </cell>
          <cell r="Q128">
            <v>6.96</v>
          </cell>
        </row>
        <row r="129">
          <cell r="D129">
            <v>41108</v>
          </cell>
          <cell r="E129">
            <v>9.5500000000000007</v>
          </cell>
          <cell r="G129">
            <v>41108</v>
          </cell>
          <cell r="H129">
            <v>2.5299999999999998</v>
          </cell>
          <cell r="J129">
            <v>41108</v>
          </cell>
          <cell r="K129">
            <v>4.3499999999999996</v>
          </cell>
          <cell r="M129">
            <v>41108</v>
          </cell>
          <cell r="N129">
            <v>9.6999999999999993</v>
          </cell>
          <cell r="P129">
            <v>41108</v>
          </cell>
          <cell r="Q129">
            <v>6.95</v>
          </cell>
        </row>
        <row r="130">
          <cell r="D130">
            <v>41107</v>
          </cell>
          <cell r="E130">
            <v>9.4600000000000009</v>
          </cell>
          <cell r="G130">
            <v>41107</v>
          </cell>
          <cell r="H130">
            <v>2.52</v>
          </cell>
          <cell r="J130">
            <v>41107</v>
          </cell>
          <cell r="K130">
            <v>4.3899999999999997</v>
          </cell>
          <cell r="M130">
            <v>41107</v>
          </cell>
          <cell r="N130">
            <v>9.5399999999999991</v>
          </cell>
          <cell r="P130">
            <v>41107</v>
          </cell>
          <cell r="Q130">
            <v>6.92</v>
          </cell>
        </row>
        <row r="131">
          <cell r="D131">
            <v>41106</v>
          </cell>
          <cell r="E131">
            <v>9.25</v>
          </cell>
          <cell r="G131">
            <v>41106</v>
          </cell>
          <cell r="H131">
            <v>2.52</v>
          </cell>
          <cell r="J131">
            <v>41106</v>
          </cell>
          <cell r="K131">
            <v>4.3499999999999996</v>
          </cell>
          <cell r="M131">
            <v>41106</v>
          </cell>
          <cell r="N131">
            <v>9.61</v>
          </cell>
          <cell r="P131">
            <v>41106</v>
          </cell>
          <cell r="Q131">
            <v>6.9950000000000001</v>
          </cell>
        </row>
        <row r="132">
          <cell r="D132">
            <v>41103</v>
          </cell>
          <cell r="E132">
            <v>8.8949999999999996</v>
          </cell>
          <cell r="G132">
            <v>41103</v>
          </cell>
          <cell r="H132">
            <v>2.52</v>
          </cell>
          <cell r="J132">
            <v>41103</v>
          </cell>
          <cell r="K132">
            <v>4.38</v>
          </cell>
          <cell r="M132">
            <v>41103</v>
          </cell>
          <cell r="N132">
            <v>9.74</v>
          </cell>
          <cell r="P132">
            <v>41103</v>
          </cell>
          <cell r="Q132">
            <v>7.2450000000000001</v>
          </cell>
        </row>
        <row r="133">
          <cell r="D133">
            <v>41102</v>
          </cell>
          <cell r="E133">
            <v>8.73</v>
          </cell>
          <cell r="G133">
            <v>41102</v>
          </cell>
          <cell r="H133">
            <v>2.5099999999999998</v>
          </cell>
          <cell r="J133">
            <v>41102</v>
          </cell>
          <cell r="K133">
            <v>4.37</v>
          </cell>
          <cell r="M133">
            <v>41102</v>
          </cell>
          <cell r="N133">
            <v>9.44</v>
          </cell>
          <cell r="P133">
            <v>41102</v>
          </cell>
          <cell r="Q133">
            <v>7.42</v>
          </cell>
        </row>
        <row r="134">
          <cell r="D134">
            <v>41101</v>
          </cell>
          <cell r="E134">
            <v>9.0399999999999991</v>
          </cell>
          <cell r="G134">
            <v>41101</v>
          </cell>
          <cell r="H134">
            <v>2.5</v>
          </cell>
          <cell r="J134">
            <v>41101</v>
          </cell>
          <cell r="K134">
            <v>4.26</v>
          </cell>
          <cell r="M134">
            <v>41101</v>
          </cell>
          <cell r="N134">
            <v>9.51</v>
          </cell>
          <cell r="P134">
            <v>41101</v>
          </cell>
          <cell r="Q134">
            <v>7.4</v>
          </cell>
        </row>
        <row r="135">
          <cell r="D135">
            <v>41100</v>
          </cell>
          <cell r="E135">
            <v>9.1</v>
          </cell>
          <cell r="G135">
            <v>41100</v>
          </cell>
          <cell r="H135">
            <v>2.5299999999999998</v>
          </cell>
          <cell r="J135">
            <v>41100</v>
          </cell>
          <cell r="K135">
            <v>4.2300000000000004</v>
          </cell>
          <cell r="M135">
            <v>41100</v>
          </cell>
          <cell r="N135">
            <v>9.4</v>
          </cell>
          <cell r="P135">
            <v>41100</v>
          </cell>
          <cell r="Q135">
            <v>7.29</v>
          </cell>
        </row>
        <row r="136">
          <cell r="D136">
            <v>41099</v>
          </cell>
          <cell r="E136">
            <v>9.18</v>
          </cell>
          <cell r="G136">
            <v>41099</v>
          </cell>
          <cell r="H136">
            <v>2.56</v>
          </cell>
          <cell r="J136">
            <v>41099</v>
          </cell>
          <cell r="K136">
            <v>4.33</v>
          </cell>
          <cell r="M136">
            <v>41099</v>
          </cell>
          <cell r="N136">
            <v>9.7100000000000009</v>
          </cell>
          <cell r="P136">
            <v>41099</v>
          </cell>
          <cell r="Q136">
            <v>7.67</v>
          </cell>
        </row>
        <row r="137">
          <cell r="D137">
            <v>41096</v>
          </cell>
          <cell r="E137">
            <v>9.15</v>
          </cell>
          <cell r="G137">
            <v>41096</v>
          </cell>
          <cell r="H137">
            <v>2.57</v>
          </cell>
          <cell r="J137">
            <v>41096</v>
          </cell>
          <cell r="K137">
            <v>4.3600000000000003</v>
          </cell>
          <cell r="M137">
            <v>41096</v>
          </cell>
          <cell r="N137">
            <v>9.73</v>
          </cell>
          <cell r="P137">
            <v>41096</v>
          </cell>
          <cell r="Q137">
            <v>8.1</v>
          </cell>
        </row>
        <row r="138">
          <cell r="D138">
            <v>41095</v>
          </cell>
          <cell r="E138">
            <v>9.1300000000000008</v>
          </cell>
          <cell r="G138">
            <v>41095</v>
          </cell>
          <cell r="H138">
            <v>2.63</v>
          </cell>
          <cell r="J138">
            <v>41095</v>
          </cell>
          <cell r="K138">
            <v>4.38</v>
          </cell>
          <cell r="M138">
            <v>41095</v>
          </cell>
          <cell r="N138">
            <v>9.65</v>
          </cell>
          <cell r="P138">
            <v>41095</v>
          </cell>
          <cell r="Q138">
            <v>7.69</v>
          </cell>
        </row>
        <row r="139">
          <cell r="D139">
            <v>41093</v>
          </cell>
          <cell r="E139">
            <v>9.0350000000000001</v>
          </cell>
          <cell r="G139">
            <v>41093</v>
          </cell>
          <cell r="H139">
            <v>2.56</v>
          </cell>
          <cell r="J139">
            <v>41093</v>
          </cell>
          <cell r="K139">
            <v>4.4000000000000004</v>
          </cell>
          <cell r="M139">
            <v>41093</v>
          </cell>
          <cell r="N139">
            <v>9.73</v>
          </cell>
          <cell r="P139">
            <v>41093</v>
          </cell>
          <cell r="Q139">
            <v>7.35</v>
          </cell>
        </row>
        <row r="140">
          <cell r="D140">
            <v>41092</v>
          </cell>
          <cell r="E140">
            <v>9.1300000000000008</v>
          </cell>
          <cell r="G140">
            <v>41092</v>
          </cell>
          <cell r="H140">
            <v>2.61</v>
          </cell>
          <cell r="J140">
            <v>41092</v>
          </cell>
          <cell r="K140">
            <v>4.38</v>
          </cell>
          <cell r="M140">
            <v>41092</v>
          </cell>
          <cell r="N140">
            <v>9.4600000000000009</v>
          </cell>
          <cell r="P140">
            <v>41092</v>
          </cell>
          <cell r="Q140">
            <v>7.49</v>
          </cell>
        </row>
        <row r="141">
          <cell r="D141">
            <v>41089</v>
          </cell>
          <cell r="E141">
            <v>9.0299999999999994</v>
          </cell>
          <cell r="G141">
            <v>41089</v>
          </cell>
          <cell r="H141">
            <v>2.4900000000000002</v>
          </cell>
          <cell r="J141">
            <v>41089</v>
          </cell>
          <cell r="K141">
            <v>4.375</v>
          </cell>
          <cell r="M141">
            <v>41089</v>
          </cell>
          <cell r="N141">
            <v>9.3000000000000007</v>
          </cell>
          <cell r="P141">
            <v>41089</v>
          </cell>
          <cell r="Q141">
            <v>7.39</v>
          </cell>
        </row>
        <row r="142">
          <cell r="D142">
            <v>41088</v>
          </cell>
          <cell r="E142">
            <v>9.02</v>
          </cell>
          <cell r="G142">
            <v>41088</v>
          </cell>
          <cell r="H142">
            <v>2.44</v>
          </cell>
          <cell r="J142">
            <v>41088</v>
          </cell>
          <cell r="K142">
            <v>4.3899999999999997</v>
          </cell>
          <cell r="M142">
            <v>41088</v>
          </cell>
          <cell r="N142">
            <v>9.17</v>
          </cell>
          <cell r="P142">
            <v>41088</v>
          </cell>
          <cell r="Q142">
            <v>9.1300000000000008</v>
          </cell>
        </row>
        <row r="143">
          <cell r="D143">
            <v>41087</v>
          </cell>
          <cell r="E143">
            <v>9.24</v>
          </cell>
          <cell r="G143">
            <v>41087</v>
          </cell>
          <cell r="H143">
            <v>2.4700000000000002</v>
          </cell>
          <cell r="J143">
            <v>41087</v>
          </cell>
          <cell r="K143">
            <v>4.37</v>
          </cell>
          <cell r="M143">
            <v>41087</v>
          </cell>
          <cell r="N143">
            <v>9.33</v>
          </cell>
          <cell r="P143">
            <v>41087</v>
          </cell>
          <cell r="Q143">
            <v>9.18</v>
          </cell>
        </row>
        <row r="144">
          <cell r="D144">
            <v>41086</v>
          </cell>
          <cell r="E144">
            <v>9.44</v>
          </cell>
          <cell r="G144">
            <v>41086</v>
          </cell>
          <cell r="H144">
            <v>2.35</v>
          </cell>
          <cell r="J144">
            <v>41086</v>
          </cell>
          <cell r="K144">
            <v>4.4400000000000004</v>
          </cell>
          <cell r="M144">
            <v>41086</v>
          </cell>
          <cell r="N144">
            <v>9.19</v>
          </cell>
          <cell r="P144">
            <v>41086</v>
          </cell>
          <cell r="Q144">
            <v>8.9649999999999999</v>
          </cell>
        </row>
        <row r="145">
          <cell r="D145">
            <v>41085</v>
          </cell>
          <cell r="E145">
            <v>9.2799999999999994</v>
          </cell>
          <cell r="G145">
            <v>41085</v>
          </cell>
          <cell r="H145">
            <v>2.36</v>
          </cell>
          <cell r="J145">
            <v>41085</v>
          </cell>
          <cell r="K145">
            <v>4.32</v>
          </cell>
          <cell r="M145">
            <v>41085</v>
          </cell>
          <cell r="N145">
            <v>8.98</v>
          </cell>
          <cell r="P145">
            <v>41085</v>
          </cell>
          <cell r="Q145">
            <v>9.1050000000000004</v>
          </cell>
        </row>
        <row r="146">
          <cell r="D146">
            <v>41082</v>
          </cell>
          <cell r="E146">
            <v>9.3699999999999992</v>
          </cell>
          <cell r="G146">
            <v>41082</v>
          </cell>
          <cell r="H146">
            <v>2.3199999999999998</v>
          </cell>
          <cell r="J146">
            <v>41082</v>
          </cell>
          <cell r="K146">
            <v>4.67</v>
          </cell>
          <cell r="M146">
            <v>41082</v>
          </cell>
          <cell r="N146">
            <v>9.17</v>
          </cell>
          <cell r="P146">
            <v>41082</v>
          </cell>
          <cell r="Q146">
            <v>9.8550000000000004</v>
          </cell>
        </row>
        <row r="147">
          <cell r="D147">
            <v>41081</v>
          </cell>
          <cell r="E147">
            <v>9.49</v>
          </cell>
          <cell r="G147">
            <v>41081</v>
          </cell>
          <cell r="H147">
            <v>2.31</v>
          </cell>
          <cell r="J147">
            <v>41081</v>
          </cell>
          <cell r="K147">
            <v>4.54</v>
          </cell>
          <cell r="M147">
            <v>41081</v>
          </cell>
          <cell r="N147">
            <v>8.86</v>
          </cell>
          <cell r="P147">
            <v>41081</v>
          </cell>
          <cell r="Q147">
            <v>10.065</v>
          </cell>
        </row>
        <row r="148">
          <cell r="D148">
            <v>41080</v>
          </cell>
          <cell r="E148">
            <v>9.61</v>
          </cell>
          <cell r="G148">
            <v>41080</v>
          </cell>
          <cell r="H148">
            <v>2.4300000000000002</v>
          </cell>
          <cell r="J148">
            <v>41080</v>
          </cell>
          <cell r="K148">
            <v>4.78</v>
          </cell>
          <cell r="M148">
            <v>41080</v>
          </cell>
          <cell r="N148">
            <v>9.15</v>
          </cell>
          <cell r="P148">
            <v>41080</v>
          </cell>
          <cell r="Q148">
            <v>10.33</v>
          </cell>
        </row>
        <row r="149">
          <cell r="D149">
            <v>41079</v>
          </cell>
          <cell r="E149">
            <v>9.66</v>
          </cell>
          <cell r="G149">
            <v>41079</v>
          </cell>
          <cell r="H149">
            <v>2.4500000000000002</v>
          </cell>
          <cell r="J149">
            <v>41079</v>
          </cell>
          <cell r="K149">
            <v>4.9400000000000004</v>
          </cell>
          <cell r="M149">
            <v>41079</v>
          </cell>
          <cell r="N149">
            <v>9.24</v>
          </cell>
          <cell r="P149">
            <v>41079</v>
          </cell>
          <cell r="Q149">
            <v>10.744999999999999</v>
          </cell>
        </row>
        <row r="150">
          <cell r="D150">
            <v>41078</v>
          </cell>
          <cell r="E150">
            <v>9.4700000000000006</v>
          </cell>
          <cell r="G150">
            <v>41078</v>
          </cell>
          <cell r="H150">
            <v>2.42</v>
          </cell>
          <cell r="J150">
            <v>41078</v>
          </cell>
          <cell r="K150">
            <v>4.5599999999999996</v>
          </cell>
          <cell r="M150">
            <v>41078</v>
          </cell>
          <cell r="N150">
            <v>9.06</v>
          </cell>
          <cell r="P150">
            <v>41078</v>
          </cell>
          <cell r="Q150">
            <v>10.6</v>
          </cell>
        </row>
        <row r="151">
          <cell r="D151">
            <v>41075</v>
          </cell>
          <cell r="E151">
            <v>9.16</v>
          </cell>
          <cell r="G151">
            <v>41075</v>
          </cell>
          <cell r="H151">
            <v>2.5</v>
          </cell>
          <cell r="J151">
            <v>41075</v>
          </cell>
          <cell r="K151">
            <v>4.4800000000000004</v>
          </cell>
          <cell r="M151">
            <v>41075</v>
          </cell>
          <cell r="N151">
            <v>9.14</v>
          </cell>
          <cell r="P151">
            <v>41075</v>
          </cell>
          <cell r="Q151">
            <v>10.89</v>
          </cell>
        </row>
        <row r="152">
          <cell r="D152">
            <v>41074</v>
          </cell>
          <cell r="E152">
            <v>9.11</v>
          </cell>
          <cell r="G152">
            <v>41074</v>
          </cell>
          <cell r="H152">
            <v>2.35</v>
          </cell>
          <cell r="J152">
            <v>41074</v>
          </cell>
          <cell r="K152">
            <v>4.3099999999999996</v>
          </cell>
          <cell r="M152">
            <v>41074</v>
          </cell>
          <cell r="N152">
            <v>9.17</v>
          </cell>
          <cell r="P152">
            <v>41074</v>
          </cell>
          <cell r="Q152">
            <v>10.4</v>
          </cell>
        </row>
        <row r="153">
          <cell r="D153">
            <v>41073</v>
          </cell>
          <cell r="E153">
            <v>9.06</v>
          </cell>
          <cell r="G153">
            <v>41073</v>
          </cell>
          <cell r="H153">
            <v>2.33</v>
          </cell>
          <cell r="J153">
            <v>41073</v>
          </cell>
          <cell r="K153">
            <v>4.22</v>
          </cell>
          <cell r="M153">
            <v>41073</v>
          </cell>
          <cell r="N153">
            <v>9.0500000000000007</v>
          </cell>
          <cell r="P153">
            <v>41073</v>
          </cell>
          <cell r="Q153">
            <v>10.664999999999999</v>
          </cell>
        </row>
        <row r="154">
          <cell r="D154">
            <v>41072</v>
          </cell>
          <cell r="E154">
            <v>9.3000000000000007</v>
          </cell>
          <cell r="G154">
            <v>41072</v>
          </cell>
          <cell r="H154">
            <v>2.33</v>
          </cell>
          <cell r="J154">
            <v>41072</v>
          </cell>
          <cell r="K154">
            <v>4.2</v>
          </cell>
          <cell r="M154">
            <v>41072</v>
          </cell>
          <cell r="N154">
            <v>9.2100000000000009</v>
          </cell>
          <cell r="P154">
            <v>41072</v>
          </cell>
          <cell r="Q154">
            <v>10.61</v>
          </cell>
        </row>
        <row r="155">
          <cell r="D155">
            <v>41071</v>
          </cell>
          <cell r="E155">
            <v>9.33</v>
          </cell>
          <cell r="G155">
            <v>41071</v>
          </cell>
          <cell r="H155">
            <v>2.3199999999999998</v>
          </cell>
          <cell r="J155">
            <v>41071</v>
          </cell>
          <cell r="K155">
            <v>4.17</v>
          </cell>
          <cell r="M155">
            <v>41071</v>
          </cell>
          <cell r="N155">
            <v>8.9700000000000006</v>
          </cell>
          <cell r="P155">
            <v>41071</v>
          </cell>
          <cell r="Q155">
            <v>10.355</v>
          </cell>
        </row>
        <row r="156">
          <cell r="D156">
            <v>41068</v>
          </cell>
          <cell r="E156">
            <v>9.59</v>
          </cell>
          <cell r="G156">
            <v>41068</v>
          </cell>
          <cell r="H156">
            <v>2.42</v>
          </cell>
          <cell r="J156">
            <v>41068</v>
          </cell>
          <cell r="K156">
            <v>4.46</v>
          </cell>
          <cell r="M156">
            <v>41068</v>
          </cell>
          <cell r="N156">
            <v>9.08</v>
          </cell>
          <cell r="P156">
            <v>41068</v>
          </cell>
          <cell r="Q156">
            <v>10.88</v>
          </cell>
        </row>
        <row r="157">
          <cell r="D157">
            <v>41067</v>
          </cell>
          <cell r="E157">
            <v>9.33</v>
          </cell>
          <cell r="G157">
            <v>41067</v>
          </cell>
          <cell r="H157">
            <v>2.36</v>
          </cell>
          <cell r="J157">
            <v>41067</v>
          </cell>
          <cell r="K157">
            <v>4.3499999999999996</v>
          </cell>
          <cell r="M157">
            <v>41067</v>
          </cell>
          <cell r="N157">
            <v>9.16</v>
          </cell>
          <cell r="P157">
            <v>41067</v>
          </cell>
          <cell r="Q157">
            <v>10.72</v>
          </cell>
        </row>
        <row r="158">
          <cell r="D158">
            <v>41066</v>
          </cell>
          <cell r="E158">
            <v>9.19</v>
          </cell>
          <cell r="G158">
            <v>41066</v>
          </cell>
          <cell r="H158">
            <v>2.42</v>
          </cell>
          <cell r="J158">
            <v>41066</v>
          </cell>
          <cell r="K158">
            <v>4.18</v>
          </cell>
          <cell r="M158">
            <v>41066</v>
          </cell>
          <cell r="N158">
            <v>9.23</v>
          </cell>
          <cell r="P158">
            <v>41066</v>
          </cell>
          <cell r="Q158">
            <v>10.34</v>
          </cell>
        </row>
        <row r="159">
          <cell r="D159">
            <v>41065</v>
          </cell>
          <cell r="E159">
            <v>8.8000000000000007</v>
          </cell>
          <cell r="G159">
            <v>41065</v>
          </cell>
          <cell r="H159">
            <v>2.31</v>
          </cell>
          <cell r="J159">
            <v>41065</v>
          </cell>
          <cell r="K159">
            <v>4.07</v>
          </cell>
          <cell r="M159">
            <v>41065</v>
          </cell>
          <cell r="N159">
            <v>9.0299999999999994</v>
          </cell>
          <cell r="P159">
            <v>41065</v>
          </cell>
          <cell r="Q159">
            <v>9.9849999999999994</v>
          </cell>
        </row>
        <row r="160">
          <cell r="D160">
            <v>41064</v>
          </cell>
          <cell r="E160">
            <v>8.64</v>
          </cell>
          <cell r="G160">
            <v>41064</v>
          </cell>
          <cell r="H160">
            <v>2.23</v>
          </cell>
          <cell r="J160">
            <v>41064</v>
          </cell>
          <cell r="K160">
            <v>4.04</v>
          </cell>
          <cell r="M160">
            <v>41064</v>
          </cell>
          <cell r="N160">
            <v>8.9700000000000006</v>
          </cell>
          <cell r="P160">
            <v>41064</v>
          </cell>
          <cell r="Q160">
            <v>9.66</v>
          </cell>
        </row>
        <row r="161">
          <cell r="D161">
            <v>41061</v>
          </cell>
          <cell r="E161">
            <v>8.75</v>
          </cell>
          <cell r="G161">
            <v>41061</v>
          </cell>
          <cell r="H161">
            <v>2.08</v>
          </cell>
          <cell r="J161">
            <v>41061</v>
          </cell>
          <cell r="K161">
            <v>4.3499999999999996</v>
          </cell>
          <cell r="M161">
            <v>41061</v>
          </cell>
          <cell r="N161">
            <v>8.73</v>
          </cell>
          <cell r="P161">
            <v>41061</v>
          </cell>
          <cell r="Q161">
            <v>10.26</v>
          </cell>
        </row>
        <row r="162">
          <cell r="D162">
            <v>41060</v>
          </cell>
          <cell r="E162">
            <v>8.98</v>
          </cell>
          <cell r="G162">
            <v>41060</v>
          </cell>
          <cell r="H162">
            <v>2.0699999999999998</v>
          </cell>
          <cell r="J162">
            <v>41060</v>
          </cell>
          <cell r="K162">
            <v>4.2</v>
          </cell>
          <cell r="M162">
            <v>41060</v>
          </cell>
          <cell r="N162">
            <v>9.1199999999999992</v>
          </cell>
          <cell r="P162">
            <v>41060</v>
          </cell>
          <cell r="Q162">
            <v>10.33</v>
          </cell>
        </row>
        <row r="163">
          <cell r="D163">
            <v>41059</v>
          </cell>
          <cell r="E163">
            <v>8.93</v>
          </cell>
          <cell r="G163">
            <v>41059</v>
          </cell>
          <cell r="H163">
            <v>2.06</v>
          </cell>
          <cell r="J163">
            <v>41059</v>
          </cell>
          <cell r="K163">
            <v>4.38</v>
          </cell>
          <cell r="M163">
            <v>41059</v>
          </cell>
          <cell r="N163">
            <v>8.92</v>
          </cell>
          <cell r="P163">
            <v>41059</v>
          </cell>
          <cell r="Q163">
            <v>10.351000000000001</v>
          </cell>
        </row>
        <row r="164">
          <cell r="D164">
            <v>41058</v>
          </cell>
          <cell r="E164">
            <v>8.65</v>
          </cell>
          <cell r="G164">
            <v>41058</v>
          </cell>
          <cell r="H164">
            <v>2.11</v>
          </cell>
          <cell r="J164">
            <v>41058</v>
          </cell>
          <cell r="K164">
            <v>4.47</v>
          </cell>
          <cell r="M164">
            <v>41058</v>
          </cell>
          <cell r="N164">
            <v>8.98</v>
          </cell>
          <cell r="P164">
            <v>41058</v>
          </cell>
          <cell r="Q164">
            <v>11.23</v>
          </cell>
        </row>
        <row r="165">
          <cell r="D165">
            <v>41054</v>
          </cell>
          <cell r="E165">
            <v>8.4600000000000009</v>
          </cell>
          <cell r="G165">
            <v>41054</v>
          </cell>
          <cell r="H165">
            <v>2.11</v>
          </cell>
          <cell r="J165">
            <v>41054</v>
          </cell>
          <cell r="K165">
            <v>4.66</v>
          </cell>
          <cell r="M165">
            <v>41054</v>
          </cell>
          <cell r="N165">
            <v>8.77</v>
          </cell>
          <cell r="P165">
            <v>41054</v>
          </cell>
          <cell r="Q165">
            <v>11</v>
          </cell>
        </row>
        <row r="166">
          <cell r="D166">
            <v>41053</v>
          </cell>
          <cell r="E166">
            <v>8.35</v>
          </cell>
          <cell r="G166">
            <v>41053</v>
          </cell>
          <cell r="H166">
            <v>2.08</v>
          </cell>
          <cell r="J166">
            <v>41053</v>
          </cell>
          <cell r="K166">
            <v>4.3899999999999997</v>
          </cell>
          <cell r="M166">
            <v>41053</v>
          </cell>
          <cell r="N166">
            <v>8.5500000000000007</v>
          </cell>
          <cell r="P166">
            <v>41053</v>
          </cell>
          <cell r="Q166">
            <v>10.71</v>
          </cell>
        </row>
        <row r="167">
          <cell r="D167">
            <v>41052</v>
          </cell>
          <cell r="E167">
            <v>8.2799999999999994</v>
          </cell>
          <cell r="G167">
            <v>41052</v>
          </cell>
          <cell r="H167">
            <v>2.08</v>
          </cell>
          <cell r="J167">
            <v>41052</v>
          </cell>
          <cell r="K167">
            <v>4.32</v>
          </cell>
          <cell r="M167">
            <v>41052</v>
          </cell>
          <cell r="N167">
            <v>8.6</v>
          </cell>
          <cell r="P167">
            <v>41052</v>
          </cell>
          <cell r="Q167">
            <v>11.09</v>
          </cell>
        </row>
        <row r="168">
          <cell r="D168">
            <v>41051</v>
          </cell>
          <cell r="E168">
            <v>8.2799999999999994</v>
          </cell>
          <cell r="G168">
            <v>41051</v>
          </cell>
          <cell r="H168">
            <v>2.09</v>
          </cell>
          <cell r="J168">
            <v>41051</v>
          </cell>
          <cell r="K168">
            <v>4.2</v>
          </cell>
          <cell r="M168">
            <v>41051</v>
          </cell>
          <cell r="N168">
            <v>8.5500000000000007</v>
          </cell>
          <cell r="P168">
            <v>41051</v>
          </cell>
          <cell r="Q168">
            <v>11.06</v>
          </cell>
        </row>
        <row r="169">
          <cell r="D169">
            <v>41050</v>
          </cell>
          <cell r="E169">
            <v>8.1</v>
          </cell>
          <cell r="G169">
            <v>41050</v>
          </cell>
          <cell r="H169">
            <v>2.09</v>
          </cell>
          <cell r="J169">
            <v>41050</v>
          </cell>
          <cell r="K169">
            <v>4.03</v>
          </cell>
          <cell r="M169">
            <v>41050</v>
          </cell>
          <cell r="N169">
            <v>8.99</v>
          </cell>
          <cell r="P169">
            <v>41050</v>
          </cell>
          <cell r="Q169">
            <v>11.5</v>
          </cell>
        </row>
        <row r="170">
          <cell r="D170">
            <v>41047</v>
          </cell>
          <cell r="E170">
            <v>8.1</v>
          </cell>
          <cell r="G170">
            <v>41047</v>
          </cell>
          <cell r="H170">
            <v>2.0699999999999998</v>
          </cell>
          <cell r="J170">
            <v>41047</v>
          </cell>
          <cell r="K170">
            <v>4.04</v>
          </cell>
          <cell r="M170">
            <v>41047</v>
          </cell>
          <cell r="N170">
            <v>8.92</v>
          </cell>
          <cell r="P170">
            <v>41047</v>
          </cell>
          <cell r="Q170">
            <v>10.99</v>
          </cell>
        </row>
        <row r="171">
          <cell r="D171">
            <v>41046</v>
          </cell>
          <cell r="E171">
            <v>8.08</v>
          </cell>
          <cell r="G171">
            <v>41046</v>
          </cell>
          <cell r="H171">
            <v>2.11</v>
          </cell>
          <cell r="J171">
            <v>41046</v>
          </cell>
          <cell r="K171">
            <v>4.0199999999999996</v>
          </cell>
          <cell r="M171">
            <v>41046</v>
          </cell>
          <cell r="N171">
            <v>8.58</v>
          </cell>
          <cell r="P171">
            <v>41046</v>
          </cell>
          <cell r="Q171">
            <v>11.38</v>
          </cell>
        </row>
        <row r="172">
          <cell r="D172">
            <v>41045</v>
          </cell>
          <cell r="E172">
            <v>7.85</v>
          </cell>
          <cell r="G172">
            <v>41045</v>
          </cell>
          <cell r="H172">
            <v>2.15</v>
          </cell>
          <cell r="J172">
            <v>41045</v>
          </cell>
          <cell r="K172">
            <v>4.08</v>
          </cell>
          <cell r="M172">
            <v>41045</v>
          </cell>
          <cell r="N172">
            <v>8.85</v>
          </cell>
          <cell r="P172">
            <v>41045</v>
          </cell>
          <cell r="Q172">
            <v>11.02</v>
          </cell>
        </row>
        <row r="173">
          <cell r="D173">
            <v>41044</v>
          </cell>
          <cell r="E173">
            <v>7.96</v>
          </cell>
          <cell r="G173">
            <v>41044</v>
          </cell>
          <cell r="H173">
            <v>2.16</v>
          </cell>
          <cell r="J173">
            <v>41044</v>
          </cell>
          <cell r="K173">
            <v>3.97</v>
          </cell>
          <cell r="M173">
            <v>41044</v>
          </cell>
          <cell r="N173">
            <v>8.93</v>
          </cell>
          <cell r="P173">
            <v>41044</v>
          </cell>
          <cell r="Q173">
            <v>11.1</v>
          </cell>
        </row>
        <row r="174">
          <cell r="D174">
            <v>41043</v>
          </cell>
          <cell r="E174">
            <v>7.7</v>
          </cell>
          <cell r="G174">
            <v>41043</v>
          </cell>
          <cell r="H174">
            <v>2.17</v>
          </cell>
          <cell r="J174">
            <v>41043</v>
          </cell>
          <cell r="K174">
            <v>4.41</v>
          </cell>
          <cell r="M174">
            <v>41043</v>
          </cell>
          <cell r="N174">
            <v>9.3000000000000007</v>
          </cell>
          <cell r="P174">
            <v>41043</v>
          </cell>
          <cell r="Q174">
            <v>11.8</v>
          </cell>
        </row>
        <row r="175">
          <cell r="D175">
            <v>41040</v>
          </cell>
          <cell r="E175">
            <v>7.56</v>
          </cell>
          <cell r="G175">
            <v>41040</v>
          </cell>
          <cell r="H175">
            <v>2.2400000000000002</v>
          </cell>
          <cell r="J175">
            <v>41040</v>
          </cell>
          <cell r="K175">
            <v>4.45</v>
          </cell>
          <cell r="M175">
            <v>41040</v>
          </cell>
          <cell r="N175">
            <v>9.09</v>
          </cell>
          <cell r="P175">
            <v>41040</v>
          </cell>
          <cell r="Q175">
            <v>11.8</v>
          </cell>
        </row>
        <row r="176">
          <cell r="D176">
            <v>41039</v>
          </cell>
          <cell r="E176">
            <v>7.54</v>
          </cell>
          <cell r="G176">
            <v>41039</v>
          </cell>
          <cell r="H176">
            <v>2.2400000000000002</v>
          </cell>
          <cell r="J176">
            <v>41039</v>
          </cell>
          <cell r="K176">
            <v>4.54</v>
          </cell>
          <cell r="M176">
            <v>41039</v>
          </cell>
          <cell r="N176">
            <v>9.0500000000000007</v>
          </cell>
          <cell r="P176">
            <v>41039</v>
          </cell>
          <cell r="Q176">
            <v>11.8</v>
          </cell>
        </row>
        <row r="177">
          <cell r="D177">
            <v>41038</v>
          </cell>
          <cell r="E177">
            <v>7.49</v>
          </cell>
          <cell r="G177">
            <v>41038</v>
          </cell>
          <cell r="H177">
            <v>2.13</v>
          </cell>
          <cell r="J177">
            <v>41038</v>
          </cell>
          <cell r="K177">
            <v>4.51</v>
          </cell>
          <cell r="M177">
            <v>41038</v>
          </cell>
          <cell r="N177">
            <v>9</v>
          </cell>
          <cell r="P177">
            <v>41038</v>
          </cell>
          <cell r="Q177">
            <v>11.91</v>
          </cell>
        </row>
        <row r="178">
          <cell r="D178">
            <v>41037</v>
          </cell>
          <cell r="E178">
            <v>7.53</v>
          </cell>
          <cell r="G178">
            <v>41037</v>
          </cell>
          <cell r="H178">
            <v>1.99</v>
          </cell>
          <cell r="J178">
            <v>41037</v>
          </cell>
          <cell r="K178">
            <v>4.55</v>
          </cell>
          <cell r="M178">
            <v>41037</v>
          </cell>
          <cell r="N178">
            <v>9.0299999999999994</v>
          </cell>
          <cell r="P178">
            <v>41037</v>
          </cell>
          <cell r="Q178">
            <v>12.01</v>
          </cell>
        </row>
        <row r="179">
          <cell r="D179">
            <v>41036</v>
          </cell>
          <cell r="E179">
            <v>7.58</v>
          </cell>
          <cell r="G179">
            <v>41036</v>
          </cell>
          <cell r="H179">
            <v>1.96</v>
          </cell>
          <cell r="J179">
            <v>41036</v>
          </cell>
          <cell r="K179">
            <v>5.57</v>
          </cell>
          <cell r="M179">
            <v>41036</v>
          </cell>
          <cell r="N179">
            <v>8.75</v>
          </cell>
          <cell r="P179">
            <v>41036</v>
          </cell>
          <cell r="Q179">
            <v>11.82</v>
          </cell>
        </row>
        <row r="180">
          <cell r="D180">
            <v>41033</v>
          </cell>
          <cell r="E180">
            <v>7.43</v>
          </cell>
          <cell r="G180">
            <v>41033</v>
          </cell>
          <cell r="H180">
            <v>1.99</v>
          </cell>
          <cell r="J180">
            <v>41033</v>
          </cell>
          <cell r="K180">
            <v>6.03</v>
          </cell>
          <cell r="M180">
            <v>41033</v>
          </cell>
          <cell r="N180">
            <v>8.5299999999999994</v>
          </cell>
          <cell r="P180">
            <v>41033</v>
          </cell>
          <cell r="Q180">
            <v>12.01</v>
          </cell>
        </row>
        <row r="181">
          <cell r="D181">
            <v>41032</v>
          </cell>
          <cell r="E181">
            <v>7.04</v>
          </cell>
          <cell r="G181">
            <v>41032</v>
          </cell>
          <cell r="H181">
            <v>2.11</v>
          </cell>
          <cell r="J181">
            <v>41032</v>
          </cell>
          <cell r="K181">
            <v>6.08</v>
          </cell>
          <cell r="M181">
            <v>41032</v>
          </cell>
          <cell r="N181">
            <v>8.84</v>
          </cell>
          <cell r="P181">
            <v>41032</v>
          </cell>
          <cell r="Q181">
            <v>12.04</v>
          </cell>
        </row>
        <row r="182">
          <cell r="D182">
            <v>41031</v>
          </cell>
          <cell r="E182">
            <v>6.88</v>
          </cell>
          <cell r="G182">
            <v>41031</v>
          </cell>
          <cell r="H182">
            <v>2.81</v>
          </cell>
          <cell r="J182">
            <v>41031</v>
          </cell>
          <cell r="K182">
            <v>6.14</v>
          </cell>
          <cell r="M182">
            <v>41031</v>
          </cell>
          <cell r="N182">
            <v>9</v>
          </cell>
          <cell r="P182">
            <v>41031</v>
          </cell>
          <cell r="Q182">
            <v>12.8</v>
          </cell>
        </row>
        <row r="183">
          <cell r="D183">
            <v>41030</v>
          </cell>
          <cell r="E183">
            <v>6.9</v>
          </cell>
          <cell r="G183">
            <v>41030</v>
          </cell>
          <cell r="H183">
            <v>2.92</v>
          </cell>
          <cell r="J183">
            <v>41030</v>
          </cell>
          <cell r="K183">
            <v>5.95</v>
          </cell>
          <cell r="M183">
            <v>41030</v>
          </cell>
          <cell r="N183">
            <v>9.14</v>
          </cell>
          <cell r="P183">
            <v>41030</v>
          </cell>
          <cell r="Q183">
            <v>13.48</v>
          </cell>
        </row>
        <row r="184">
          <cell r="D184">
            <v>41029</v>
          </cell>
          <cell r="E184">
            <v>6.81</v>
          </cell>
          <cell r="G184">
            <v>41029</v>
          </cell>
          <cell r="H184">
            <v>2.89</v>
          </cell>
          <cell r="J184">
            <v>41029</v>
          </cell>
          <cell r="K184">
            <v>6.06</v>
          </cell>
          <cell r="M184">
            <v>41029</v>
          </cell>
          <cell r="N184">
            <v>9.48</v>
          </cell>
          <cell r="P184">
            <v>41029</v>
          </cell>
          <cell r="Q184">
            <v>14.3</v>
          </cell>
        </row>
        <row r="185">
          <cell r="D185">
            <v>41026</v>
          </cell>
          <cell r="E185">
            <v>6.87</v>
          </cell>
          <cell r="G185">
            <v>41026</v>
          </cell>
          <cell r="H185">
            <v>2.9</v>
          </cell>
          <cell r="J185">
            <v>41026</v>
          </cell>
          <cell r="K185">
            <v>6.39</v>
          </cell>
          <cell r="M185">
            <v>41026</v>
          </cell>
          <cell r="N185">
            <v>9.68</v>
          </cell>
          <cell r="P185">
            <v>41026</v>
          </cell>
          <cell r="Q185">
            <v>14.03</v>
          </cell>
        </row>
        <row r="186">
          <cell r="D186">
            <v>41025</v>
          </cell>
          <cell r="E186">
            <v>6.74</v>
          </cell>
          <cell r="G186">
            <v>41025</v>
          </cell>
          <cell r="H186">
            <v>3.02</v>
          </cell>
          <cell r="J186">
            <v>41025</v>
          </cell>
          <cell r="K186">
            <v>6.18</v>
          </cell>
          <cell r="M186">
            <v>41025</v>
          </cell>
          <cell r="N186">
            <v>9.69</v>
          </cell>
          <cell r="P186">
            <v>41025</v>
          </cell>
          <cell r="Q186">
            <v>14.14</v>
          </cell>
        </row>
        <row r="187">
          <cell r="D187">
            <v>41024</v>
          </cell>
          <cell r="E187">
            <v>6.84</v>
          </cell>
          <cell r="G187">
            <v>41024</v>
          </cell>
          <cell r="H187">
            <v>3.03</v>
          </cell>
          <cell r="J187">
            <v>41024</v>
          </cell>
          <cell r="K187">
            <v>6.01</v>
          </cell>
          <cell r="M187">
            <v>41024</v>
          </cell>
          <cell r="N187">
            <v>9.76</v>
          </cell>
          <cell r="P187">
            <v>41024</v>
          </cell>
          <cell r="Q187">
            <v>13.65</v>
          </cell>
        </row>
        <row r="188">
          <cell r="D188">
            <v>41023</v>
          </cell>
          <cell r="E188">
            <v>6.88</v>
          </cell>
          <cell r="G188">
            <v>41023</v>
          </cell>
          <cell r="H188">
            <v>2.92</v>
          </cell>
          <cell r="J188">
            <v>41023</v>
          </cell>
          <cell r="K188">
            <v>6.09</v>
          </cell>
          <cell r="M188">
            <v>41023</v>
          </cell>
          <cell r="N188">
            <v>9.57</v>
          </cell>
          <cell r="P188">
            <v>41023</v>
          </cell>
          <cell r="Q188">
            <v>13.25</v>
          </cell>
        </row>
        <row r="189">
          <cell r="D189">
            <v>41022</v>
          </cell>
          <cell r="E189">
            <v>6.8</v>
          </cell>
          <cell r="G189">
            <v>41022</v>
          </cell>
          <cell r="H189">
            <v>2.87</v>
          </cell>
          <cell r="J189">
            <v>41022</v>
          </cell>
          <cell r="K189">
            <v>6.18</v>
          </cell>
          <cell r="M189">
            <v>41022</v>
          </cell>
          <cell r="N189">
            <v>9.39</v>
          </cell>
          <cell r="P189">
            <v>41022</v>
          </cell>
          <cell r="Q189">
            <v>13.08</v>
          </cell>
        </row>
        <row r="190">
          <cell r="D190">
            <v>41019</v>
          </cell>
          <cell r="E190">
            <v>6.85</v>
          </cell>
          <cell r="G190">
            <v>41019</v>
          </cell>
          <cell r="H190">
            <v>2.98</v>
          </cell>
          <cell r="J190">
            <v>41019</v>
          </cell>
          <cell r="K190">
            <v>6.29</v>
          </cell>
          <cell r="M190">
            <v>41019</v>
          </cell>
          <cell r="N190">
            <v>9.67</v>
          </cell>
          <cell r="P190">
            <v>41019</v>
          </cell>
          <cell r="Q190">
            <v>13.34</v>
          </cell>
        </row>
        <row r="191">
          <cell r="D191">
            <v>41018</v>
          </cell>
          <cell r="E191">
            <v>6.86</v>
          </cell>
          <cell r="G191">
            <v>41018</v>
          </cell>
          <cell r="H191">
            <v>2.97</v>
          </cell>
          <cell r="J191">
            <v>41018</v>
          </cell>
          <cell r="K191">
            <v>6.15</v>
          </cell>
          <cell r="M191">
            <v>41018</v>
          </cell>
          <cell r="N191">
            <v>9.61</v>
          </cell>
          <cell r="P191">
            <v>41018</v>
          </cell>
          <cell r="Q191">
            <v>13.47</v>
          </cell>
        </row>
        <row r="192">
          <cell r="D192">
            <v>41017</v>
          </cell>
          <cell r="E192">
            <v>6.89</v>
          </cell>
          <cell r="G192">
            <v>41017</v>
          </cell>
          <cell r="H192">
            <v>3.02</v>
          </cell>
          <cell r="J192">
            <v>41017</v>
          </cell>
          <cell r="K192">
            <v>6.14</v>
          </cell>
          <cell r="M192">
            <v>41017</v>
          </cell>
          <cell r="N192">
            <v>9.66</v>
          </cell>
          <cell r="P192">
            <v>41017</v>
          </cell>
          <cell r="Q192">
            <v>13.2</v>
          </cell>
        </row>
        <row r="193">
          <cell r="D193">
            <v>41016</v>
          </cell>
          <cell r="E193">
            <v>6.85</v>
          </cell>
          <cell r="G193">
            <v>41016</v>
          </cell>
          <cell r="H193">
            <v>2.94</v>
          </cell>
          <cell r="J193">
            <v>41016</v>
          </cell>
          <cell r="K193">
            <v>6.03</v>
          </cell>
          <cell r="M193">
            <v>41016</v>
          </cell>
          <cell r="N193">
            <v>9.7449999999999992</v>
          </cell>
          <cell r="P193">
            <v>41016</v>
          </cell>
          <cell r="Q193">
            <v>13.41</v>
          </cell>
        </row>
        <row r="194">
          <cell r="D194">
            <v>41015</v>
          </cell>
          <cell r="E194">
            <v>6.85</v>
          </cell>
          <cell r="G194">
            <v>41015</v>
          </cell>
          <cell r="H194">
            <v>2.95</v>
          </cell>
          <cell r="J194">
            <v>41015</v>
          </cell>
          <cell r="K194">
            <v>5.93</v>
          </cell>
          <cell r="M194">
            <v>41015</v>
          </cell>
          <cell r="N194">
            <v>9.4700000000000006</v>
          </cell>
          <cell r="P194">
            <v>41015</v>
          </cell>
          <cell r="Q194">
            <v>13.42</v>
          </cell>
        </row>
        <row r="195">
          <cell r="D195">
            <v>41012</v>
          </cell>
          <cell r="E195">
            <v>6.97</v>
          </cell>
          <cell r="G195">
            <v>41012</v>
          </cell>
          <cell r="H195">
            <v>2.97</v>
          </cell>
          <cell r="J195">
            <v>41012</v>
          </cell>
          <cell r="K195">
            <v>6.03</v>
          </cell>
          <cell r="M195">
            <v>41012</v>
          </cell>
          <cell r="N195">
            <v>9.0399999999999991</v>
          </cell>
          <cell r="P195">
            <v>41012</v>
          </cell>
          <cell r="Q195">
            <v>12.89</v>
          </cell>
        </row>
        <row r="196">
          <cell r="D196">
            <v>41011</v>
          </cell>
          <cell r="E196">
            <v>7.08</v>
          </cell>
          <cell r="G196">
            <v>41011</v>
          </cell>
          <cell r="H196">
            <v>3.06</v>
          </cell>
          <cell r="J196">
            <v>41011</v>
          </cell>
          <cell r="K196">
            <v>6.05</v>
          </cell>
          <cell r="M196">
            <v>41011</v>
          </cell>
          <cell r="N196">
            <v>9.48</v>
          </cell>
          <cell r="P196">
            <v>41011</v>
          </cell>
          <cell r="Q196">
            <v>13.345000000000001</v>
          </cell>
        </row>
        <row r="197">
          <cell r="D197">
            <v>41010</v>
          </cell>
          <cell r="E197">
            <v>6.98</v>
          </cell>
          <cell r="G197">
            <v>41010</v>
          </cell>
          <cell r="H197">
            <v>3.05</v>
          </cell>
          <cell r="J197">
            <v>41010</v>
          </cell>
          <cell r="K197">
            <v>6</v>
          </cell>
          <cell r="M197">
            <v>41010</v>
          </cell>
          <cell r="N197">
            <v>9.36</v>
          </cell>
          <cell r="P197">
            <v>41010</v>
          </cell>
          <cell r="Q197">
            <v>13.05</v>
          </cell>
        </row>
        <row r="198">
          <cell r="D198">
            <v>41009</v>
          </cell>
          <cell r="E198">
            <v>7.05</v>
          </cell>
          <cell r="G198">
            <v>41009</v>
          </cell>
          <cell r="H198">
            <v>2.96</v>
          </cell>
          <cell r="J198">
            <v>41009</v>
          </cell>
          <cell r="K198">
            <v>6.04</v>
          </cell>
          <cell r="M198">
            <v>41009</v>
          </cell>
          <cell r="N198">
            <v>8.89</v>
          </cell>
          <cell r="P198">
            <v>41009</v>
          </cell>
          <cell r="Q198">
            <v>12.93</v>
          </cell>
        </row>
        <row r="199">
          <cell r="D199">
            <v>41008</v>
          </cell>
          <cell r="E199">
            <v>7.3</v>
          </cell>
          <cell r="G199">
            <v>41008</v>
          </cell>
          <cell r="H199">
            <v>3.06</v>
          </cell>
          <cell r="J199">
            <v>41008</v>
          </cell>
          <cell r="K199">
            <v>5.98</v>
          </cell>
          <cell r="M199">
            <v>41008</v>
          </cell>
          <cell r="N199">
            <v>9.1999999999999993</v>
          </cell>
          <cell r="P199">
            <v>41008</v>
          </cell>
          <cell r="Q199">
            <v>13.02</v>
          </cell>
        </row>
        <row r="200">
          <cell r="D200">
            <v>41004</v>
          </cell>
          <cell r="E200">
            <v>7.51</v>
          </cell>
          <cell r="G200">
            <v>41004</v>
          </cell>
          <cell r="H200">
            <v>3.05</v>
          </cell>
          <cell r="J200">
            <v>41004</v>
          </cell>
          <cell r="K200">
            <v>5.92</v>
          </cell>
          <cell r="M200">
            <v>41004</v>
          </cell>
          <cell r="N200">
            <v>9.64</v>
          </cell>
          <cell r="P200">
            <v>41004</v>
          </cell>
          <cell r="Q200">
            <v>12.67</v>
          </cell>
        </row>
        <row r="201">
          <cell r="D201">
            <v>41003</v>
          </cell>
          <cell r="E201">
            <v>7.375</v>
          </cell>
          <cell r="G201">
            <v>41003</v>
          </cell>
          <cell r="H201">
            <v>3.14</v>
          </cell>
          <cell r="J201">
            <v>41003</v>
          </cell>
          <cell r="K201">
            <v>6.01</v>
          </cell>
          <cell r="M201">
            <v>41003</v>
          </cell>
          <cell r="N201">
            <v>9.59</v>
          </cell>
          <cell r="P201">
            <v>41003</v>
          </cell>
          <cell r="Q201">
            <v>12.76</v>
          </cell>
        </row>
        <row r="202">
          <cell r="D202">
            <v>41002</v>
          </cell>
          <cell r="E202">
            <v>7.46</v>
          </cell>
          <cell r="G202">
            <v>41002</v>
          </cell>
          <cell r="H202">
            <v>3.23</v>
          </cell>
          <cell r="J202">
            <v>41002</v>
          </cell>
          <cell r="K202">
            <v>6.08</v>
          </cell>
          <cell r="M202">
            <v>41002</v>
          </cell>
          <cell r="N202">
            <v>9.9600000000000009</v>
          </cell>
          <cell r="P202">
            <v>41002</v>
          </cell>
          <cell r="Q202">
            <v>13.01</v>
          </cell>
        </row>
        <row r="203">
          <cell r="D203">
            <v>41001</v>
          </cell>
          <cell r="E203">
            <v>7.5</v>
          </cell>
          <cell r="G203">
            <v>41001</v>
          </cell>
          <cell r="H203">
            <v>3.31</v>
          </cell>
          <cell r="J203">
            <v>41001</v>
          </cell>
          <cell r="K203">
            <v>6.03</v>
          </cell>
          <cell r="M203">
            <v>41001</v>
          </cell>
          <cell r="N203">
            <v>10.15</v>
          </cell>
          <cell r="P203">
            <v>41001</v>
          </cell>
          <cell r="Q203">
            <v>14.37</v>
          </cell>
        </row>
        <row r="204">
          <cell r="D204">
            <v>40998</v>
          </cell>
          <cell r="E204">
            <v>7.32</v>
          </cell>
          <cell r="G204">
            <v>40998</v>
          </cell>
          <cell r="H204">
            <v>3.35</v>
          </cell>
          <cell r="J204">
            <v>40998</v>
          </cell>
          <cell r="K204">
            <v>5.98</v>
          </cell>
          <cell r="M204">
            <v>40998</v>
          </cell>
          <cell r="N204">
            <v>9.7799999999999994</v>
          </cell>
          <cell r="P204">
            <v>40998</v>
          </cell>
          <cell r="Q204">
            <v>14.7</v>
          </cell>
        </row>
        <row r="205">
          <cell r="D205">
            <v>40997</v>
          </cell>
          <cell r="E205">
            <v>7.36</v>
          </cell>
          <cell r="G205">
            <v>40997</v>
          </cell>
          <cell r="H205">
            <v>3.5</v>
          </cell>
          <cell r="J205">
            <v>40997</v>
          </cell>
          <cell r="K205">
            <v>5.93</v>
          </cell>
          <cell r="M205">
            <v>40997</v>
          </cell>
          <cell r="N205">
            <v>9.89</v>
          </cell>
          <cell r="P205">
            <v>40997</v>
          </cell>
          <cell r="Q205">
            <v>13.73</v>
          </cell>
        </row>
        <row r="206">
          <cell r="D206">
            <v>40996</v>
          </cell>
          <cell r="E206">
            <v>7.31</v>
          </cell>
          <cell r="G206">
            <v>40996</v>
          </cell>
          <cell r="H206">
            <v>3.34</v>
          </cell>
          <cell r="J206">
            <v>40996</v>
          </cell>
          <cell r="K206">
            <v>5.9</v>
          </cell>
          <cell r="M206">
            <v>40996</v>
          </cell>
          <cell r="N206">
            <v>9.9600000000000009</v>
          </cell>
          <cell r="P206">
            <v>40996</v>
          </cell>
          <cell r="Q206">
            <v>13.67</v>
          </cell>
        </row>
        <row r="207">
          <cell r="D207">
            <v>40995</v>
          </cell>
          <cell r="E207">
            <v>7.35</v>
          </cell>
          <cell r="G207">
            <v>40995</v>
          </cell>
          <cell r="H207">
            <v>3.43</v>
          </cell>
          <cell r="J207">
            <v>40995</v>
          </cell>
          <cell r="K207">
            <v>5.8400999999999996</v>
          </cell>
          <cell r="M207">
            <v>40995</v>
          </cell>
          <cell r="N207">
            <v>10.06</v>
          </cell>
          <cell r="P207">
            <v>40995</v>
          </cell>
          <cell r="Q207">
            <v>13.89</v>
          </cell>
        </row>
        <row r="208">
          <cell r="D208">
            <v>40994</v>
          </cell>
          <cell r="E208">
            <v>7.26</v>
          </cell>
          <cell r="G208">
            <v>40994</v>
          </cell>
          <cell r="H208">
            <v>3.48</v>
          </cell>
          <cell r="J208">
            <v>40994</v>
          </cell>
          <cell r="K208">
            <v>5.93</v>
          </cell>
          <cell r="M208">
            <v>40994</v>
          </cell>
          <cell r="N208">
            <v>9.93</v>
          </cell>
          <cell r="P208">
            <v>40994</v>
          </cell>
          <cell r="Q208">
            <v>14.04</v>
          </cell>
        </row>
        <row r="209">
          <cell r="D209">
            <v>40991</v>
          </cell>
          <cell r="E209">
            <v>6.97</v>
          </cell>
          <cell r="G209">
            <v>40991</v>
          </cell>
          <cell r="H209">
            <v>3.32</v>
          </cell>
          <cell r="J209">
            <v>40991</v>
          </cell>
          <cell r="K209">
            <v>5.86</v>
          </cell>
          <cell r="M209">
            <v>40991</v>
          </cell>
          <cell r="N209">
            <v>10.029999999999999</v>
          </cell>
          <cell r="P209">
            <v>40991</v>
          </cell>
          <cell r="Q209">
            <v>13.66</v>
          </cell>
        </row>
        <row r="210">
          <cell r="D210">
            <v>40990</v>
          </cell>
          <cell r="E210">
            <v>6.86</v>
          </cell>
          <cell r="G210">
            <v>40990</v>
          </cell>
          <cell r="H210">
            <v>3.32</v>
          </cell>
          <cell r="J210">
            <v>40990</v>
          </cell>
          <cell r="K210">
            <v>5.79</v>
          </cell>
          <cell r="M210">
            <v>40990</v>
          </cell>
          <cell r="N210">
            <v>9.9600000000000009</v>
          </cell>
          <cell r="P210">
            <v>40990</v>
          </cell>
          <cell r="Q210">
            <v>13.78</v>
          </cell>
        </row>
        <row r="211">
          <cell r="D211">
            <v>40989</v>
          </cell>
          <cell r="E211">
            <v>7.02</v>
          </cell>
          <cell r="G211">
            <v>40989</v>
          </cell>
          <cell r="H211">
            <v>3.38</v>
          </cell>
          <cell r="J211">
            <v>40989</v>
          </cell>
          <cell r="K211">
            <v>5.66</v>
          </cell>
          <cell r="M211">
            <v>40989</v>
          </cell>
          <cell r="N211">
            <v>10.039999999999999</v>
          </cell>
          <cell r="P211">
            <v>40989</v>
          </cell>
          <cell r="Q211">
            <v>14.04</v>
          </cell>
        </row>
        <row r="212">
          <cell r="D212">
            <v>40988</v>
          </cell>
          <cell r="E212">
            <v>7.09</v>
          </cell>
          <cell r="G212">
            <v>40988</v>
          </cell>
          <cell r="H212">
            <v>3.26</v>
          </cell>
          <cell r="J212">
            <v>40988</v>
          </cell>
          <cell r="K212">
            <v>5.65</v>
          </cell>
          <cell r="M212">
            <v>40988</v>
          </cell>
          <cell r="N212">
            <v>10.029999999999999</v>
          </cell>
          <cell r="P212">
            <v>40988</v>
          </cell>
          <cell r="Q212">
            <v>14.11</v>
          </cell>
        </row>
        <row r="213">
          <cell r="D213">
            <v>40987</v>
          </cell>
          <cell r="E213">
            <v>7.1</v>
          </cell>
          <cell r="G213">
            <v>40987</v>
          </cell>
          <cell r="H213">
            <v>3.35</v>
          </cell>
          <cell r="J213">
            <v>40987</v>
          </cell>
          <cell r="K213">
            <v>5.8</v>
          </cell>
          <cell r="M213">
            <v>40987</v>
          </cell>
          <cell r="N213">
            <v>10.47</v>
          </cell>
          <cell r="P213">
            <v>40987</v>
          </cell>
          <cell r="Q213">
            <v>14.47</v>
          </cell>
        </row>
        <row r="214">
          <cell r="D214">
            <v>40984</v>
          </cell>
          <cell r="E214">
            <v>7.17</v>
          </cell>
          <cell r="G214">
            <v>40984</v>
          </cell>
          <cell r="H214">
            <v>3.31</v>
          </cell>
          <cell r="J214">
            <v>40984</v>
          </cell>
          <cell r="K214">
            <v>5.8</v>
          </cell>
          <cell r="M214">
            <v>40984</v>
          </cell>
          <cell r="N214">
            <v>10.24</v>
          </cell>
          <cell r="P214">
            <v>40984</v>
          </cell>
          <cell r="Q214">
            <v>14.38</v>
          </cell>
        </row>
        <row r="215">
          <cell r="D215">
            <v>40983</v>
          </cell>
          <cell r="E215">
            <v>7.01</v>
          </cell>
          <cell r="G215">
            <v>40983</v>
          </cell>
          <cell r="H215">
            <v>3.24</v>
          </cell>
          <cell r="J215">
            <v>40983</v>
          </cell>
          <cell r="K215">
            <v>5.92</v>
          </cell>
          <cell r="M215">
            <v>40983</v>
          </cell>
          <cell r="N215">
            <v>10.3</v>
          </cell>
          <cell r="P215">
            <v>40983</v>
          </cell>
          <cell r="Q215">
            <v>13.45</v>
          </cell>
        </row>
        <row r="216">
          <cell r="D216">
            <v>40982</v>
          </cell>
          <cell r="E216">
            <v>7.17</v>
          </cell>
          <cell r="G216">
            <v>40982</v>
          </cell>
          <cell r="H216">
            <v>3.24</v>
          </cell>
          <cell r="J216">
            <v>40982</v>
          </cell>
          <cell r="K216">
            <v>6.02</v>
          </cell>
          <cell r="M216">
            <v>40982</v>
          </cell>
          <cell r="N216">
            <v>10.3</v>
          </cell>
          <cell r="P216">
            <v>40982</v>
          </cell>
          <cell r="Q216">
            <v>13.15</v>
          </cell>
        </row>
        <row r="217">
          <cell r="D217">
            <v>40981</v>
          </cell>
          <cell r="E217">
            <v>7.42</v>
          </cell>
          <cell r="G217">
            <v>40981</v>
          </cell>
          <cell r="H217">
            <v>3.3</v>
          </cell>
          <cell r="J217">
            <v>40981</v>
          </cell>
          <cell r="K217">
            <v>6.06</v>
          </cell>
          <cell r="M217">
            <v>40981</v>
          </cell>
          <cell r="N217">
            <v>10.86</v>
          </cell>
          <cell r="P217">
            <v>40981</v>
          </cell>
          <cell r="Q217">
            <v>13.49</v>
          </cell>
        </row>
        <row r="218">
          <cell r="D218">
            <v>40980</v>
          </cell>
          <cell r="E218">
            <v>7.39</v>
          </cell>
          <cell r="G218">
            <v>40980</v>
          </cell>
          <cell r="H218">
            <v>3.32</v>
          </cell>
          <cell r="J218">
            <v>40980</v>
          </cell>
          <cell r="K218">
            <v>5.99</v>
          </cell>
          <cell r="M218">
            <v>40980</v>
          </cell>
          <cell r="N218">
            <v>10.64</v>
          </cell>
          <cell r="P218">
            <v>40980</v>
          </cell>
          <cell r="Q218">
            <v>13.11</v>
          </cell>
        </row>
        <row r="219">
          <cell r="D219">
            <v>40977</v>
          </cell>
          <cell r="E219">
            <v>7.43</v>
          </cell>
          <cell r="G219">
            <v>40977</v>
          </cell>
          <cell r="H219">
            <v>3.33</v>
          </cell>
          <cell r="J219">
            <v>40977</v>
          </cell>
          <cell r="K219">
            <v>5.99</v>
          </cell>
          <cell r="M219">
            <v>40977</v>
          </cell>
          <cell r="N219">
            <v>10.44</v>
          </cell>
          <cell r="P219">
            <v>40977</v>
          </cell>
          <cell r="Q219">
            <v>13.58</v>
          </cell>
        </row>
        <row r="220">
          <cell r="D220">
            <v>40976</v>
          </cell>
          <cell r="E220">
            <v>7.38</v>
          </cell>
          <cell r="G220">
            <v>40976</v>
          </cell>
          <cell r="H220">
            <v>3.44</v>
          </cell>
          <cell r="J220">
            <v>40976</v>
          </cell>
          <cell r="K220">
            <v>6.1</v>
          </cell>
          <cell r="M220">
            <v>40976</v>
          </cell>
          <cell r="N220">
            <v>10.220000000000001</v>
          </cell>
          <cell r="P220">
            <v>40976</v>
          </cell>
          <cell r="Q220">
            <v>13.195</v>
          </cell>
        </row>
        <row r="221">
          <cell r="D221">
            <v>40975</v>
          </cell>
          <cell r="E221">
            <v>7.22</v>
          </cell>
          <cell r="G221">
            <v>40975</v>
          </cell>
          <cell r="H221">
            <v>3.37</v>
          </cell>
          <cell r="J221">
            <v>40975</v>
          </cell>
          <cell r="K221">
            <v>6</v>
          </cell>
          <cell r="M221">
            <v>40975</v>
          </cell>
          <cell r="N221">
            <v>10.19</v>
          </cell>
          <cell r="P221">
            <v>40975</v>
          </cell>
          <cell r="Q221">
            <v>12.9</v>
          </cell>
        </row>
        <row r="222">
          <cell r="D222">
            <v>40974</v>
          </cell>
          <cell r="E222">
            <v>7.24</v>
          </cell>
          <cell r="G222">
            <v>40974</v>
          </cell>
          <cell r="H222">
            <v>3.46</v>
          </cell>
          <cell r="J222">
            <v>40974</v>
          </cell>
          <cell r="K222">
            <v>5.83</v>
          </cell>
          <cell r="M222">
            <v>40974</v>
          </cell>
          <cell r="N222">
            <v>10.029999999999999</v>
          </cell>
          <cell r="P222">
            <v>40974</v>
          </cell>
          <cell r="Q222">
            <v>13.125</v>
          </cell>
        </row>
        <row r="223">
          <cell r="D223">
            <v>40973</v>
          </cell>
          <cell r="E223">
            <v>7.6</v>
          </cell>
          <cell r="G223">
            <v>40973</v>
          </cell>
          <cell r="H223">
            <v>3.47</v>
          </cell>
          <cell r="J223">
            <v>40973</v>
          </cell>
          <cell r="K223">
            <v>5.97</v>
          </cell>
          <cell r="M223">
            <v>40973</v>
          </cell>
          <cell r="N223">
            <v>10.039999999999999</v>
          </cell>
          <cell r="P223">
            <v>40973</v>
          </cell>
          <cell r="Q223">
            <v>13.32</v>
          </cell>
        </row>
        <row r="224">
          <cell r="D224">
            <v>40970</v>
          </cell>
          <cell r="E224">
            <v>7.68</v>
          </cell>
          <cell r="G224">
            <v>40970</v>
          </cell>
          <cell r="H224">
            <v>3.53</v>
          </cell>
          <cell r="J224">
            <v>40970</v>
          </cell>
          <cell r="K224">
            <v>5.62</v>
          </cell>
          <cell r="M224">
            <v>40970</v>
          </cell>
          <cell r="N224">
            <v>9.89</v>
          </cell>
          <cell r="P224">
            <v>40970</v>
          </cell>
          <cell r="Q224">
            <v>13.79</v>
          </cell>
        </row>
        <row r="225">
          <cell r="D225">
            <v>40969</v>
          </cell>
          <cell r="E225">
            <v>7.76</v>
          </cell>
          <cell r="G225">
            <v>40969</v>
          </cell>
          <cell r="H225">
            <v>3.6</v>
          </cell>
          <cell r="J225">
            <v>40969</v>
          </cell>
          <cell r="K225">
            <v>6.34</v>
          </cell>
          <cell r="M225">
            <v>40969</v>
          </cell>
          <cell r="N225">
            <v>10</v>
          </cell>
          <cell r="P225">
            <v>40969</v>
          </cell>
          <cell r="Q225">
            <v>13.58</v>
          </cell>
        </row>
        <row r="226">
          <cell r="D226">
            <v>40968</v>
          </cell>
          <cell r="E226">
            <v>7.71</v>
          </cell>
          <cell r="G226">
            <v>40968</v>
          </cell>
          <cell r="H226">
            <v>3.43</v>
          </cell>
          <cell r="J226">
            <v>40968</v>
          </cell>
          <cell r="K226">
            <v>6.16</v>
          </cell>
          <cell r="M226">
            <v>40968</v>
          </cell>
          <cell r="N226">
            <v>9.73</v>
          </cell>
          <cell r="P226">
            <v>40968</v>
          </cell>
          <cell r="Q226">
            <v>14.164999999999999</v>
          </cell>
        </row>
        <row r="227">
          <cell r="D227">
            <v>40967</v>
          </cell>
          <cell r="E227">
            <v>7.64</v>
          </cell>
          <cell r="G227">
            <v>40967</v>
          </cell>
          <cell r="H227">
            <v>3.27</v>
          </cell>
          <cell r="J227">
            <v>40967</v>
          </cell>
          <cell r="K227">
            <v>6.09</v>
          </cell>
          <cell r="M227">
            <v>40967</v>
          </cell>
          <cell r="N227">
            <v>9.8699999999999992</v>
          </cell>
          <cell r="P227">
            <v>40967</v>
          </cell>
          <cell r="Q227">
            <v>14.5</v>
          </cell>
        </row>
        <row r="228">
          <cell r="D228">
            <v>40966</v>
          </cell>
          <cell r="E228">
            <v>7.62</v>
          </cell>
          <cell r="G228">
            <v>40966</v>
          </cell>
          <cell r="H228">
            <v>3.27</v>
          </cell>
          <cell r="J228">
            <v>40966</v>
          </cell>
          <cell r="K228">
            <v>6.11</v>
          </cell>
          <cell r="M228">
            <v>40966</v>
          </cell>
          <cell r="N228">
            <v>9.73</v>
          </cell>
          <cell r="P228">
            <v>40966</v>
          </cell>
          <cell r="Q228">
            <v>14.42</v>
          </cell>
        </row>
        <row r="229">
          <cell r="D229">
            <v>40963</v>
          </cell>
          <cell r="E229">
            <v>7.59</v>
          </cell>
          <cell r="G229">
            <v>40963</v>
          </cell>
          <cell r="H229">
            <v>3.36</v>
          </cell>
          <cell r="J229">
            <v>40963</v>
          </cell>
          <cell r="K229">
            <v>6.13</v>
          </cell>
          <cell r="M229">
            <v>40963</v>
          </cell>
          <cell r="N229">
            <v>9.65</v>
          </cell>
          <cell r="P229">
            <v>40963</v>
          </cell>
          <cell r="Q229">
            <v>14.72</v>
          </cell>
        </row>
        <row r="230">
          <cell r="D230">
            <v>40962</v>
          </cell>
          <cell r="E230">
            <v>7.62</v>
          </cell>
          <cell r="G230">
            <v>40962</v>
          </cell>
          <cell r="H230">
            <v>3.28</v>
          </cell>
          <cell r="J230">
            <v>40962</v>
          </cell>
          <cell r="K230">
            <v>6.12</v>
          </cell>
          <cell r="M230">
            <v>40962</v>
          </cell>
          <cell r="N230">
            <v>9.65</v>
          </cell>
          <cell r="P230">
            <v>40962</v>
          </cell>
          <cell r="Q230">
            <v>14.67</v>
          </cell>
        </row>
        <row r="231">
          <cell r="D231">
            <v>40961</v>
          </cell>
          <cell r="E231">
            <v>7.43</v>
          </cell>
          <cell r="G231">
            <v>40961</v>
          </cell>
          <cell r="H231">
            <v>3.27</v>
          </cell>
          <cell r="J231">
            <v>40961</v>
          </cell>
          <cell r="K231">
            <v>6.09</v>
          </cell>
          <cell r="M231">
            <v>40961</v>
          </cell>
          <cell r="N231">
            <v>9.23</v>
          </cell>
          <cell r="P231">
            <v>40961</v>
          </cell>
          <cell r="Q231">
            <v>14.66</v>
          </cell>
        </row>
        <row r="232">
          <cell r="D232">
            <v>40960</v>
          </cell>
          <cell r="E232">
            <v>7.49</v>
          </cell>
          <cell r="G232">
            <v>40960</v>
          </cell>
          <cell r="H232">
            <v>3.65</v>
          </cell>
          <cell r="J232">
            <v>40960</v>
          </cell>
          <cell r="K232">
            <v>6.3</v>
          </cell>
          <cell r="M232">
            <v>40960</v>
          </cell>
          <cell r="N232">
            <v>9.1999999999999993</v>
          </cell>
          <cell r="P232">
            <v>40960</v>
          </cell>
          <cell r="Q232">
            <v>14.88</v>
          </cell>
        </row>
        <row r="233">
          <cell r="D233">
            <v>40956</v>
          </cell>
          <cell r="E233">
            <v>7.64</v>
          </cell>
          <cell r="G233">
            <v>40956</v>
          </cell>
          <cell r="H233">
            <v>3.62</v>
          </cell>
          <cell r="J233">
            <v>40956</v>
          </cell>
          <cell r="K233">
            <v>6</v>
          </cell>
          <cell r="M233">
            <v>40956</v>
          </cell>
          <cell r="N233">
            <v>9.73</v>
          </cell>
          <cell r="P233">
            <v>40956</v>
          </cell>
          <cell r="Q233">
            <v>15.07</v>
          </cell>
        </row>
        <row r="234">
          <cell r="D234">
            <v>40955</v>
          </cell>
          <cell r="E234">
            <v>7.99</v>
          </cell>
          <cell r="G234">
            <v>40955</v>
          </cell>
          <cell r="H234">
            <v>3.58</v>
          </cell>
          <cell r="J234">
            <v>40955</v>
          </cell>
          <cell r="K234">
            <v>5.31</v>
          </cell>
          <cell r="M234">
            <v>40955</v>
          </cell>
          <cell r="N234">
            <v>9.5500000000000007</v>
          </cell>
          <cell r="P234">
            <v>40955</v>
          </cell>
          <cell r="Q234">
            <v>15.39</v>
          </cell>
        </row>
        <row r="235">
          <cell r="D235">
            <v>40954</v>
          </cell>
          <cell r="E235">
            <v>7.74</v>
          </cell>
          <cell r="G235">
            <v>40954</v>
          </cell>
          <cell r="H235">
            <v>3.48</v>
          </cell>
          <cell r="J235">
            <v>40954</v>
          </cell>
          <cell r="K235">
            <v>5.4</v>
          </cell>
          <cell r="M235">
            <v>40954</v>
          </cell>
          <cell r="N235">
            <v>9.27</v>
          </cell>
          <cell r="P235">
            <v>40954</v>
          </cell>
          <cell r="Q235">
            <v>14.8</v>
          </cell>
        </row>
        <row r="236">
          <cell r="D236">
            <v>40953</v>
          </cell>
          <cell r="E236">
            <v>7.89</v>
          </cell>
          <cell r="G236">
            <v>40953</v>
          </cell>
          <cell r="H236">
            <v>3.47</v>
          </cell>
          <cell r="J236">
            <v>40953</v>
          </cell>
          <cell r="K236">
            <v>5.51</v>
          </cell>
          <cell r="M236">
            <v>40953</v>
          </cell>
          <cell r="N236">
            <v>9.34</v>
          </cell>
          <cell r="P236">
            <v>40953</v>
          </cell>
          <cell r="Q236">
            <v>14.57</v>
          </cell>
        </row>
        <row r="237">
          <cell r="D237">
            <v>40952</v>
          </cell>
          <cell r="E237">
            <v>7.94</v>
          </cell>
          <cell r="G237">
            <v>40952</v>
          </cell>
          <cell r="H237">
            <v>3.42</v>
          </cell>
          <cell r="J237">
            <v>40952</v>
          </cell>
          <cell r="K237">
            <v>5.25</v>
          </cell>
          <cell r="M237">
            <v>40952</v>
          </cell>
          <cell r="N237">
            <v>9.4499999999999993</v>
          </cell>
          <cell r="P237">
            <v>40952</v>
          </cell>
          <cell r="Q237">
            <v>14.9</v>
          </cell>
        </row>
        <row r="238">
          <cell r="D238">
            <v>40949</v>
          </cell>
          <cell r="E238">
            <v>7.97</v>
          </cell>
          <cell r="G238">
            <v>40949</v>
          </cell>
          <cell r="H238">
            <v>3.28</v>
          </cell>
          <cell r="J238">
            <v>40949</v>
          </cell>
          <cell r="K238">
            <v>5.38</v>
          </cell>
          <cell r="M238">
            <v>40949</v>
          </cell>
          <cell r="N238">
            <v>9.11</v>
          </cell>
          <cell r="P238">
            <v>40949</v>
          </cell>
          <cell r="Q238">
            <v>15.44</v>
          </cell>
        </row>
        <row r="239">
          <cell r="D239">
            <v>40948</v>
          </cell>
          <cell r="E239">
            <v>7.52</v>
          </cell>
          <cell r="G239">
            <v>40948</v>
          </cell>
          <cell r="H239">
            <v>3.34</v>
          </cell>
          <cell r="J239">
            <v>40948</v>
          </cell>
          <cell r="K239">
            <v>5.33</v>
          </cell>
          <cell r="M239">
            <v>40948</v>
          </cell>
          <cell r="N239">
            <v>9.2100000000000009</v>
          </cell>
          <cell r="P239">
            <v>40948</v>
          </cell>
          <cell r="Q239">
            <v>15.9</v>
          </cell>
        </row>
        <row r="240">
          <cell r="D240">
            <v>40947</v>
          </cell>
          <cell r="E240">
            <v>7.31</v>
          </cell>
          <cell r="G240">
            <v>40947</v>
          </cell>
          <cell r="H240">
            <v>3.34</v>
          </cell>
          <cell r="J240">
            <v>40947</v>
          </cell>
          <cell r="K240">
            <v>5.55</v>
          </cell>
          <cell r="M240">
            <v>40947</v>
          </cell>
          <cell r="N240">
            <v>9.0399999999999991</v>
          </cell>
          <cell r="P240">
            <v>40947</v>
          </cell>
          <cell r="Q240">
            <v>16.489999999999998</v>
          </cell>
        </row>
        <row r="241">
          <cell r="D241">
            <v>40946</v>
          </cell>
          <cell r="E241">
            <v>7.31</v>
          </cell>
          <cell r="G241">
            <v>40946</v>
          </cell>
          <cell r="H241">
            <v>3.36</v>
          </cell>
          <cell r="J241">
            <v>40946</v>
          </cell>
          <cell r="K241">
            <v>5.53</v>
          </cell>
          <cell r="M241">
            <v>40946</v>
          </cell>
          <cell r="N241">
            <v>9.06</v>
          </cell>
          <cell r="P241">
            <v>40946</v>
          </cell>
          <cell r="Q241">
            <v>16.71</v>
          </cell>
        </row>
        <row r="242">
          <cell r="D242">
            <v>40945</v>
          </cell>
          <cell r="E242">
            <v>7.4</v>
          </cell>
          <cell r="G242">
            <v>40945</v>
          </cell>
          <cell r="H242">
            <v>3.4</v>
          </cell>
          <cell r="J242">
            <v>40945</v>
          </cell>
          <cell r="K242">
            <v>5.59</v>
          </cell>
          <cell r="M242">
            <v>40945</v>
          </cell>
          <cell r="N242">
            <v>9.08</v>
          </cell>
          <cell r="P242">
            <v>40945</v>
          </cell>
          <cell r="Q242">
            <v>16.574999999999999</v>
          </cell>
        </row>
        <row r="243">
          <cell r="D243">
            <v>40942</v>
          </cell>
          <cell r="E243">
            <v>7.53</v>
          </cell>
          <cell r="G243">
            <v>40942</v>
          </cell>
          <cell r="H243">
            <v>3.28</v>
          </cell>
          <cell r="J243">
            <v>40942</v>
          </cell>
          <cell r="K243">
            <v>5.56</v>
          </cell>
          <cell r="M243">
            <v>40942</v>
          </cell>
          <cell r="N243">
            <v>9.0500000000000007</v>
          </cell>
          <cell r="P243">
            <v>40942</v>
          </cell>
          <cell r="Q243">
            <v>16.88</v>
          </cell>
        </row>
        <row r="244">
          <cell r="D244">
            <v>40941</v>
          </cell>
          <cell r="E244">
            <v>7.35</v>
          </cell>
          <cell r="G244">
            <v>40941</v>
          </cell>
          <cell r="H244">
            <v>3</v>
          </cell>
          <cell r="J244">
            <v>40941</v>
          </cell>
          <cell r="K244">
            <v>5.4</v>
          </cell>
          <cell r="M244">
            <v>40941</v>
          </cell>
          <cell r="N244">
            <v>8.9499999999999993</v>
          </cell>
          <cell r="P244">
            <v>40941</v>
          </cell>
          <cell r="Q244">
            <v>17.21</v>
          </cell>
        </row>
        <row r="245">
          <cell r="D245">
            <v>40940</v>
          </cell>
          <cell r="E245">
            <v>7.31</v>
          </cell>
          <cell r="G245">
            <v>40940</v>
          </cell>
          <cell r="H245">
            <v>2.98</v>
          </cell>
          <cell r="J245">
            <v>40940</v>
          </cell>
          <cell r="K245">
            <v>5.2</v>
          </cell>
          <cell r="M245">
            <v>40940</v>
          </cell>
          <cell r="N245">
            <v>8.7899999999999991</v>
          </cell>
          <cell r="P245">
            <v>40940</v>
          </cell>
          <cell r="Q245">
            <v>16.7</v>
          </cell>
        </row>
        <row r="246">
          <cell r="D246">
            <v>40939</v>
          </cell>
          <cell r="E246">
            <v>7.23</v>
          </cell>
          <cell r="G246">
            <v>40939</v>
          </cell>
          <cell r="H246">
            <v>2.86</v>
          </cell>
          <cell r="J246">
            <v>40939</v>
          </cell>
          <cell r="K246">
            <v>5.15</v>
          </cell>
          <cell r="M246">
            <v>40939</v>
          </cell>
          <cell r="N246">
            <v>8.56</v>
          </cell>
          <cell r="P246">
            <v>40939</v>
          </cell>
          <cell r="Q246">
            <v>16.63</v>
          </cell>
        </row>
        <row r="247">
          <cell r="D247">
            <v>40938</v>
          </cell>
          <cell r="E247">
            <v>7.26</v>
          </cell>
          <cell r="G247">
            <v>40938</v>
          </cell>
          <cell r="H247">
            <v>2.86</v>
          </cell>
          <cell r="J247">
            <v>40938</v>
          </cell>
          <cell r="K247">
            <v>5.03</v>
          </cell>
          <cell r="M247">
            <v>40938</v>
          </cell>
          <cell r="N247">
            <v>8.52</v>
          </cell>
          <cell r="P247">
            <v>40938</v>
          </cell>
          <cell r="Q247">
            <v>17.02</v>
          </cell>
        </row>
        <row r="248">
          <cell r="D248">
            <v>40935</v>
          </cell>
          <cell r="E248">
            <v>7.24</v>
          </cell>
          <cell r="G248">
            <v>40935</v>
          </cell>
          <cell r="H248">
            <v>2.93</v>
          </cell>
          <cell r="J248">
            <v>40935</v>
          </cell>
          <cell r="K248">
            <v>5.0599999999999996</v>
          </cell>
          <cell r="M248">
            <v>40935</v>
          </cell>
          <cell r="N248">
            <v>8.64</v>
          </cell>
          <cell r="P248">
            <v>40935</v>
          </cell>
          <cell r="Q248">
            <v>16.8</v>
          </cell>
        </row>
        <row r="249">
          <cell r="D249">
            <v>40934</v>
          </cell>
          <cell r="E249">
            <v>7.18</v>
          </cell>
          <cell r="G249">
            <v>40934</v>
          </cell>
          <cell r="H249">
            <v>2.92</v>
          </cell>
          <cell r="J249">
            <v>40934</v>
          </cell>
          <cell r="K249">
            <v>5.09</v>
          </cell>
          <cell r="M249">
            <v>40934</v>
          </cell>
          <cell r="N249">
            <v>8.51</v>
          </cell>
          <cell r="P249">
            <v>40934</v>
          </cell>
          <cell r="Q249">
            <v>16.260000000000002</v>
          </cell>
        </row>
        <row r="250">
          <cell r="D250">
            <v>40933</v>
          </cell>
          <cell r="E250">
            <v>7.31</v>
          </cell>
          <cell r="G250">
            <v>40933</v>
          </cell>
          <cell r="H250">
            <v>2.98</v>
          </cell>
          <cell r="J250">
            <v>40933</v>
          </cell>
          <cell r="K250">
            <v>5.08</v>
          </cell>
          <cell r="M250">
            <v>40933</v>
          </cell>
          <cell r="N250">
            <v>8.6800999999999995</v>
          </cell>
          <cell r="P250">
            <v>40933</v>
          </cell>
          <cell r="Q250">
            <v>16.3</v>
          </cell>
        </row>
        <row r="251">
          <cell r="D251">
            <v>40932</v>
          </cell>
          <cell r="E251">
            <v>7.28</v>
          </cell>
          <cell r="G251">
            <v>40932</v>
          </cell>
          <cell r="H251">
            <v>3</v>
          </cell>
          <cell r="J251">
            <v>40932</v>
          </cell>
          <cell r="K251">
            <v>5.3</v>
          </cell>
          <cell r="M251">
            <v>40932</v>
          </cell>
          <cell r="N251">
            <v>8.73</v>
          </cell>
          <cell r="P251">
            <v>40932</v>
          </cell>
          <cell r="Q251">
            <v>15.01</v>
          </cell>
        </row>
        <row r="252">
          <cell r="D252">
            <v>40931</v>
          </cell>
          <cell r="E252">
            <v>7.27</v>
          </cell>
          <cell r="G252">
            <v>40931</v>
          </cell>
          <cell r="H252">
            <v>3</v>
          </cell>
          <cell r="J252">
            <v>40931</v>
          </cell>
          <cell r="K252">
            <v>5.39</v>
          </cell>
          <cell r="M252">
            <v>40931</v>
          </cell>
          <cell r="N252">
            <v>8.65</v>
          </cell>
          <cell r="P252">
            <v>40931</v>
          </cell>
          <cell r="Q252">
            <v>15.56</v>
          </cell>
        </row>
        <row r="253">
          <cell r="D253">
            <v>40928</v>
          </cell>
          <cell r="E253">
            <v>7.21</v>
          </cell>
          <cell r="G253">
            <v>40928</v>
          </cell>
          <cell r="H253">
            <v>3</v>
          </cell>
          <cell r="J253">
            <v>40928</v>
          </cell>
          <cell r="K253">
            <v>5.36</v>
          </cell>
          <cell r="M253">
            <v>40928</v>
          </cell>
          <cell r="N253">
            <v>8.69</v>
          </cell>
          <cell r="P253">
            <v>40928</v>
          </cell>
          <cell r="Q253">
            <v>17</v>
          </cell>
        </row>
        <row r="254">
          <cell r="D254">
            <v>40927</v>
          </cell>
          <cell r="E254">
            <v>7.19</v>
          </cell>
          <cell r="G254">
            <v>40927</v>
          </cell>
          <cell r="H254">
            <v>2.99</v>
          </cell>
          <cell r="J254">
            <v>40927</v>
          </cell>
          <cell r="K254">
            <v>5.23</v>
          </cell>
          <cell r="M254">
            <v>40927</v>
          </cell>
          <cell r="N254">
            <v>8.65</v>
          </cell>
          <cell r="P254">
            <v>40927</v>
          </cell>
          <cell r="Q254">
            <v>17.57</v>
          </cell>
        </row>
        <row r="255">
          <cell r="D255">
            <v>40926</v>
          </cell>
          <cell r="E255">
            <v>7.24</v>
          </cell>
          <cell r="G255">
            <v>40926</v>
          </cell>
          <cell r="H255">
            <v>2.95</v>
          </cell>
          <cell r="J255">
            <v>40926</v>
          </cell>
          <cell r="K255">
            <v>5.54</v>
          </cell>
          <cell r="M255">
            <v>40926</v>
          </cell>
          <cell r="N255">
            <v>8.7100000000000009</v>
          </cell>
          <cell r="P255">
            <v>40926</v>
          </cell>
          <cell r="Q255">
            <v>17.28</v>
          </cell>
        </row>
        <row r="256">
          <cell r="D256">
            <v>40925</v>
          </cell>
          <cell r="E256">
            <v>7.2949999999999999</v>
          </cell>
          <cell r="G256">
            <v>40925</v>
          </cell>
          <cell r="H256">
            <v>2.93</v>
          </cell>
          <cell r="J256">
            <v>40925</v>
          </cell>
          <cell r="K256">
            <v>5.4</v>
          </cell>
          <cell r="M256">
            <v>40925</v>
          </cell>
          <cell r="N256">
            <v>8.4700000000000006</v>
          </cell>
          <cell r="P256">
            <v>40925</v>
          </cell>
          <cell r="Q256">
            <v>17.47</v>
          </cell>
        </row>
        <row r="257">
          <cell r="D257">
            <v>40921</v>
          </cell>
          <cell r="E257">
            <v>7.3</v>
          </cell>
          <cell r="G257">
            <v>40921</v>
          </cell>
          <cell r="H257">
            <v>3.01</v>
          </cell>
          <cell r="J257">
            <v>40921</v>
          </cell>
          <cell r="K257">
            <v>5.49</v>
          </cell>
          <cell r="M257">
            <v>40921</v>
          </cell>
          <cell r="N257">
            <v>8.3800000000000008</v>
          </cell>
          <cell r="P257">
            <v>40921</v>
          </cell>
          <cell r="Q257">
            <v>16.170000000000002</v>
          </cell>
        </row>
        <row r="258">
          <cell r="D258">
            <v>40920</v>
          </cell>
          <cell r="E258">
            <v>7.28</v>
          </cell>
          <cell r="G258">
            <v>40920</v>
          </cell>
          <cell r="H258">
            <v>3.07</v>
          </cell>
          <cell r="J258">
            <v>40920</v>
          </cell>
          <cell r="K258">
            <v>5.4</v>
          </cell>
          <cell r="M258">
            <v>40920</v>
          </cell>
          <cell r="N258">
            <v>8.51</v>
          </cell>
          <cell r="P258">
            <v>40920</v>
          </cell>
          <cell r="Q258">
            <v>16.440000000000001</v>
          </cell>
        </row>
        <row r="259">
          <cell r="D259">
            <v>40919</v>
          </cell>
          <cell r="E259">
            <v>7.25</v>
          </cell>
          <cell r="G259">
            <v>40919</v>
          </cell>
          <cell r="H259">
            <v>2.96</v>
          </cell>
          <cell r="J259">
            <v>40919</v>
          </cell>
          <cell r="K259">
            <v>5.39</v>
          </cell>
          <cell r="M259">
            <v>40919</v>
          </cell>
          <cell r="N259">
            <v>8.59</v>
          </cell>
          <cell r="P259">
            <v>40919</v>
          </cell>
          <cell r="Q259">
            <v>15.61</v>
          </cell>
        </row>
        <row r="260">
          <cell r="D260">
            <v>40918</v>
          </cell>
          <cell r="E260">
            <v>7.3</v>
          </cell>
          <cell r="G260">
            <v>40918</v>
          </cell>
          <cell r="H260">
            <v>3</v>
          </cell>
          <cell r="J260">
            <v>40918</v>
          </cell>
          <cell r="K260">
            <v>5.3</v>
          </cell>
          <cell r="M260">
            <v>40918</v>
          </cell>
          <cell r="N260">
            <v>8.56</v>
          </cell>
          <cell r="P260">
            <v>40918</v>
          </cell>
          <cell r="Q260">
            <v>15.51</v>
          </cell>
        </row>
        <row r="261">
          <cell r="D261">
            <v>40917</v>
          </cell>
          <cell r="E261">
            <v>7.25</v>
          </cell>
          <cell r="G261">
            <v>40917</v>
          </cell>
          <cell r="H261">
            <v>3.02</v>
          </cell>
          <cell r="J261">
            <v>40917</v>
          </cell>
          <cell r="K261">
            <v>4.99</v>
          </cell>
          <cell r="M261">
            <v>40917</v>
          </cell>
          <cell r="N261">
            <v>8.59</v>
          </cell>
          <cell r="P261">
            <v>40917</v>
          </cell>
          <cell r="Q261">
            <v>15.505000000000001</v>
          </cell>
        </row>
        <row r="262">
          <cell r="D262">
            <v>40914</v>
          </cell>
          <cell r="E262">
            <v>7.23</v>
          </cell>
          <cell r="G262">
            <v>40914</v>
          </cell>
          <cell r="H262">
            <v>3</v>
          </cell>
          <cell r="J262">
            <v>40914</v>
          </cell>
          <cell r="K262">
            <v>4.91</v>
          </cell>
          <cell r="M262">
            <v>40914</v>
          </cell>
          <cell r="N262">
            <v>8.51</v>
          </cell>
          <cell r="P262">
            <v>40914</v>
          </cell>
          <cell r="Q262">
            <v>15.34</v>
          </cell>
        </row>
        <row r="263">
          <cell r="D263">
            <v>40913</v>
          </cell>
          <cell r="E263">
            <v>7.19</v>
          </cell>
          <cell r="G263">
            <v>40913</v>
          </cell>
          <cell r="H263">
            <v>3.09</v>
          </cell>
          <cell r="J263">
            <v>40913</v>
          </cell>
          <cell r="K263">
            <v>4.93</v>
          </cell>
          <cell r="M263">
            <v>40913</v>
          </cell>
          <cell r="N263">
            <v>8.51</v>
          </cell>
          <cell r="P263">
            <v>40913</v>
          </cell>
          <cell r="Q263">
            <v>15.05</v>
          </cell>
        </row>
        <row r="264">
          <cell r="D264">
            <v>40912</v>
          </cell>
          <cell r="E264">
            <v>7.24</v>
          </cell>
          <cell r="G264">
            <v>40912</v>
          </cell>
          <cell r="H264">
            <v>3.07</v>
          </cell>
          <cell r="J264">
            <v>40912</v>
          </cell>
          <cell r="K264">
            <v>4.9400000000000004</v>
          </cell>
          <cell r="M264">
            <v>40912</v>
          </cell>
          <cell r="N264">
            <v>8.27</v>
          </cell>
          <cell r="P264">
            <v>40912</v>
          </cell>
          <cell r="Q264">
            <v>15.08</v>
          </cell>
        </row>
        <row r="265">
          <cell r="D265">
            <v>40911</v>
          </cell>
          <cell r="E265">
            <v>7.11</v>
          </cell>
          <cell r="G265">
            <v>40911</v>
          </cell>
          <cell r="H265">
            <v>3.21</v>
          </cell>
          <cell r="J265">
            <v>40911</v>
          </cell>
          <cell r="K265">
            <v>4.57</v>
          </cell>
          <cell r="M265">
            <v>40911</v>
          </cell>
          <cell r="N265">
            <v>8.3000000000000007</v>
          </cell>
          <cell r="P265">
            <v>40911</v>
          </cell>
          <cell r="Q265">
            <v>15.51</v>
          </cell>
        </row>
        <row r="266">
          <cell r="D266">
            <v>40907</v>
          </cell>
          <cell r="E266">
            <v>7.0149999999999997</v>
          </cell>
          <cell r="G266">
            <v>40907</v>
          </cell>
          <cell r="H266">
            <v>3.13</v>
          </cell>
          <cell r="J266">
            <v>40907</v>
          </cell>
          <cell r="K266">
            <v>4.7300000000000004</v>
          </cell>
          <cell r="M266">
            <v>40907</v>
          </cell>
          <cell r="N266">
            <v>8.23</v>
          </cell>
          <cell r="P266">
            <v>40907</v>
          </cell>
          <cell r="Q266">
            <v>14.5</v>
          </cell>
        </row>
        <row r="267">
          <cell r="D267">
            <v>40906</v>
          </cell>
          <cell r="E267">
            <v>6.96</v>
          </cell>
          <cell r="G267">
            <v>40906</v>
          </cell>
          <cell r="H267">
            <v>3.07</v>
          </cell>
          <cell r="J267">
            <v>40906</v>
          </cell>
          <cell r="K267">
            <v>4.7</v>
          </cell>
          <cell r="M267">
            <v>40906</v>
          </cell>
          <cell r="N267">
            <v>8.33</v>
          </cell>
          <cell r="P267">
            <v>40906</v>
          </cell>
          <cell r="Q267">
            <v>14.34</v>
          </cell>
        </row>
        <row r="268">
          <cell r="D268">
            <v>40905</v>
          </cell>
          <cell r="E268">
            <v>6.85</v>
          </cell>
          <cell r="G268">
            <v>40905</v>
          </cell>
          <cell r="H268">
            <v>3.02</v>
          </cell>
          <cell r="J268">
            <v>40905</v>
          </cell>
          <cell r="K268">
            <v>4.8034999999999997</v>
          </cell>
          <cell r="M268">
            <v>40905</v>
          </cell>
          <cell r="N268">
            <v>8.2100000000000009</v>
          </cell>
          <cell r="P268">
            <v>40905</v>
          </cell>
          <cell r="Q268">
            <v>14.25</v>
          </cell>
        </row>
        <row r="269">
          <cell r="D269">
            <v>40904</v>
          </cell>
          <cell r="E269">
            <v>6.97</v>
          </cell>
          <cell r="G269">
            <v>40904</v>
          </cell>
          <cell r="H269">
            <v>3.06</v>
          </cell>
          <cell r="J269">
            <v>40904</v>
          </cell>
          <cell r="K269">
            <v>4.71</v>
          </cell>
          <cell r="M269">
            <v>40904</v>
          </cell>
          <cell r="N269">
            <v>8.59</v>
          </cell>
          <cell r="P269">
            <v>40904</v>
          </cell>
          <cell r="Q269">
            <v>14.87</v>
          </cell>
        </row>
        <row r="270">
          <cell r="D270">
            <v>40900</v>
          </cell>
          <cell r="E270">
            <v>6.97</v>
          </cell>
          <cell r="G270">
            <v>40900</v>
          </cell>
          <cell r="H270">
            <v>3.07</v>
          </cell>
          <cell r="J270">
            <v>40900</v>
          </cell>
          <cell r="K270">
            <v>4.8600000000000003</v>
          </cell>
          <cell r="M270">
            <v>40900</v>
          </cell>
          <cell r="N270">
            <v>8.64</v>
          </cell>
          <cell r="P270">
            <v>40900</v>
          </cell>
          <cell r="Q270">
            <v>13.914999999999999</v>
          </cell>
        </row>
        <row r="271">
          <cell r="D271">
            <v>40899</v>
          </cell>
          <cell r="E271">
            <v>6.69</v>
          </cell>
          <cell r="G271">
            <v>40899</v>
          </cell>
          <cell r="H271">
            <v>3.03</v>
          </cell>
          <cell r="J271">
            <v>40899</v>
          </cell>
          <cell r="K271">
            <v>4.87</v>
          </cell>
          <cell r="M271">
            <v>40899</v>
          </cell>
          <cell r="N271">
            <v>8.3699999999999992</v>
          </cell>
          <cell r="P271">
            <v>40899</v>
          </cell>
          <cell r="Q271">
            <v>14</v>
          </cell>
        </row>
        <row r="272">
          <cell r="D272">
            <v>40898</v>
          </cell>
          <cell r="E272">
            <v>6.61</v>
          </cell>
          <cell r="G272">
            <v>40898</v>
          </cell>
          <cell r="H272">
            <v>3.07</v>
          </cell>
          <cell r="J272">
            <v>40898</v>
          </cell>
          <cell r="K272">
            <v>4.79</v>
          </cell>
          <cell r="M272">
            <v>40898</v>
          </cell>
          <cell r="N272">
            <v>8.33</v>
          </cell>
          <cell r="P272">
            <v>40898</v>
          </cell>
          <cell r="Q272">
            <v>13.78</v>
          </cell>
        </row>
        <row r="273">
          <cell r="D273">
            <v>40897</v>
          </cell>
          <cell r="E273">
            <v>6.47</v>
          </cell>
          <cell r="G273">
            <v>40897</v>
          </cell>
          <cell r="H273">
            <v>3.02</v>
          </cell>
          <cell r="J273">
            <v>40897</v>
          </cell>
          <cell r="K273">
            <v>4.867</v>
          </cell>
          <cell r="M273">
            <v>40897</v>
          </cell>
          <cell r="N273">
            <v>8.4700000000000006</v>
          </cell>
          <cell r="P273">
            <v>40897</v>
          </cell>
          <cell r="Q273">
            <v>12.52</v>
          </cell>
        </row>
        <row r="274">
          <cell r="D274">
            <v>40896</v>
          </cell>
          <cell r="E274">
            <v>6.07</v>
          </cell>
          <cell r="G274">
            <v>40896</v>
          </cell>
          <cell r="H274">
            <v>2.97</v>
          </cell>
          <cell r="J274">
            <v>40896</v>
          </cell>
          <cell r="K274">
            <v>4.8899999999999997</v>
          </cell>
          <cell r="M274">
            <v>40896</v>
          </cell>
          <cell r="N274">
            <v>7.87</v>
          </cell>
          <cell r="P274">
            <v>40896</v>
          </cell>
          <cell r="Q274">
            <v>12.89</v>
          </cell>
        </row>
        <row r="275">
          <cell r="D275">
            <v>40893</v>
          </cell>
          <cell r="E275">
            <v>6.37</v>
          </cell>
          <cell r="G275">
            <v>40893</v>
          </cell>
          <cell r="H275">
            <v>3.06</v>
          </cell>
          <cell r="J275">
            <v>40893</v>
          </cell>
          <cell r="K275">
            <v>4.9800000000000004</v>
          </cell>
          <cell r="M275">
            <v>40893</v>
          </cell>
          <cell r="N275">
            <v>8.14</v>
          </cell>
          <cell r="P275">
            <v>40893</v>
          </cell>
          <cell r="Q275">
            <v>13.44</v>
          </cell>
        </row>
        <row r="276">
          <cell r="D276">
            <v>40892</v>
          </cell>
          <cell r="E276">
            <v>6.37</v>
          </cell>
          <cell r="G276">
            <v>40892</v>
          </cell>
          <cell r="H276">
            <v>2.98</v>
          </cell>
          <cell r="J276">
            <v>40892</v>
          </cell>
          <cell r="K276">
            <v>5.03</v>
          </cell>
          <cell r="M276">
            <v>40892</v>
          </cell>
          <cell r="N276">
            <v>7.99</v>
          </cell>
          <cell r="P276">
            <v>40892</v>
          </cell>
          <cell r="Q276">
            <v>15.13</v>
          </cell>
        </row>
        <row r="277">
          <cell r="D277">
            <v>40891</v>
          </cell>
          <cell r="E277">
            <v>6.5</v>
          </cell>
          <cell r="G277">
            <v>40891</v>
          </cell>
          <cell r="H277">
            <v>2.86</v>
          </cell>
          <cell r="J277">
            <v>40891</v>
          </cell>
          <cell r="K277">
            <v>5.03</v>
          </cell>
          <cell r="M277">
            <v>40891</v>
          </cell>
          <cell r="N277">
            <v>7.81</v>
          </cell>
          <cell r="P277">
            <v>40891</v>
          </cell>
          <cell r="Q277">
            <v>15.08</v>
          </cell>
        </row>
        <row r="278">
          <cell r="D278">
            <v>40890</v>
          </cell>
          <cell r="E278">
            <v>6.5</v>
          </cell>
          <cell r="G278">
            <v>40890</v>
          </cell>
          <cell r="H278">
            <v>2.7</v>
          </cell>
          <cell r="J278">
            <v>40890</v>
          </cell>
          <cell r="K278">
            <v>4.83</v>
          </cell>
          <cell r="M278">
            <v>40890</v>
          </cell>
          <cell r="N278">
            <v>7.69</v>
          </cell>
          <cell r="P278">
            <v>40890</v>
          </cell>
          <cell r="Q278">
            <v>15.48</v>
          </cell>
        </row>
        <row r="279">
          <cell r="D279">
            <v>40889</v>
          </cell>
          <cell r="E279">
            <v>6.56</v>
          </cell>
          <cell r="G279">
            <v>40889</v>
          </cell>
          <cell r="H279">
            <v>2.99</v>
          </cell>
          <cell r="J279">
            <v>40889</v>
          </cell>
          <cell r="K279">
            <v>5.0298999999999996</v>
          </cell>
          <cell r="M279">
            <v>40889</v>
          </cell>
          <cell r="N279">
            <v>7.75</v>
          </cell>
          <cell r="P279">
            <v>40889</v>
          </cell>
          <cell r="Q279">
            <v>16.21</v>
          </cell>
        </row>
        <row r="280">
          <cell r="D280">
            <v>40886</v>
          </cell>
          <cell r="E280">
            <v>6.72</v>
          </cell>
          <cell r="G280">
            <v>40886</v>
          </cell>
          <cell r="H280">
            <v>3.05</v>
          </cell>
          <cell r="J280">
            <v>40886</v>
          </cell>
          <cell r="K280">
            <v>5.08</v>
          </cell>
          <cell r="M280">
            <v>40886</v>
          </cell>
          <cell r="N280">
            <v>7.94</v>
          </cell>
          <cell r="P280">
            <v>40886</v>
          </cell>
          <cell r="Q280">
            <v>16.46</v>
          </cell>
        </row>
        <row r="281">
          <cell r="D281">
            <v>40885</v>
          </cell>
          <cell r="E281">
            <v>6.75</v>
          </cell>
          <cell r="G281">
            <v>40885</v>
          </cell>
          <cell r="H281">
            <v>2.91</v>
          </cell>
          <cell r="J281">
            <v>40885</v>
          </cell>
          <cell r="K281">
            <v>4.9400000000000004</v>
          </cell>
          <cell r="M281">
            <v>40885</v>
          </cell>
          <cell r="N281">
            <v>7.52</v>
          </cell>
          <cell r="P281">
            <v>40885</v>
          </cell>
          <cell r="Q281">
            <v>16.329999999999998</v>
          </cell>
        </row>
        <row r="282">
          <cell r="D282">
            <v>40884</v>
          </cell>
          <cell r="E282">
            <v>6.92</v>
          </cell>
          <cell r="G282">
            <v>40884</v>
          </cell>
          <cell r="H282">
            <v>3.01</v>
          </cell>
          <cell r="J282">
            <v>40884</v>
          </cell>
          <cell r="K282">
            <v>5.19</v>
          </cell>
          <cell r="M282">
            <v>40884</v>
          </cell>
          <cell r="N282">
            <v>8</v>
          </cell>
          <cell r="P282">
            <v>40884</v>
          </cell>
          <cell r="Q282">
            <v>16.64</v>
          </cell>
        </row>
        <row r="283">
          <cell r="D283">
            <v>40883</v>
          </cell>
          <cell r="E283">
            <v>6.94</v>
          </cell>
          <cell r="G283">
            <v>40883</v>
          </cell>
          <cell r="H283">
            <v>3.15</v>
          </cell>
          <cell r="J283">
            <v>40883</v>
          </cell>
          <cell r="K283">
            <v>5.24</v>
          </cell>
          <cell r="M283">
            <v>40883</v>
          </cell>
          <cell r="N283">
            <v>7.99</v>
          </cell>
          <cell r="P283">
            <v>40883</v>
          </cell>
          <cell r="Q283">
            <v>17.03</v>
          </cell>
        </row>
        <row r="284">
          <cell r="D284">
            <v>40882</v>
          </cell>
          <cell r="E284">
            <v>6.84</v>
          </cell>
          <cell r="G284">
            <v>40882</v>
          </cell>
          <cell r="H284">
            <v>3.17</v>
          </cell>
          <cell r="J284">
            <v>40882</v>
          </cell>
          <cell r="K284">
            <v>5.32</v>
          </cell>
          <cell r="M284">
            <v>40882</v>
          </cell>
          <cell r="N284">
            <v>8.0399999999999991</v>
          </cell>
          <cell r="P284">
            <v>40882</v>
          </cell>
          <cell r="Q284">
            <v>17.02</v>
          </cell>
        </row>
        <row r="285">
          <cell r="D285">
            <v>40879</v>
          </cell>
          <cell r="E285">
            <v>6.9</v>
          </cell>
          <cell r="G285">
            <v>40879</v>
          </cell>
          <cell r="H285">
            <v>3.21</v>
          </cell>
          <cell r="J285">
            <v>40879</v>
          </cell>
          <cell r="K285">
            <v>5.28</v>
          </cell>
          <cell r="M285">
            <v>40879</v>
          </cell>
          <cell r="N285">
            <v>7.92</v>
          </cell>
          <cell r="P285">
            <v>40879</v>
          </cell>
          <cell r="Q285">
            <v>16.77</v>
          </cell>
        </row>
        <row r="286">
          <cell r="D286">
            <v>40878</v>
          </cell>
          <cell r="E286">
            <v>6.89</v>
          </cell>
          <cell r="G286">
            <v>40878</v>
          </cell>
          <cell r="H286">
            <v>3.11</v>
          </cell>
          <cell r="J286">
            <v>40878</v>
          </cell>
          <cell r="K286">
            <v>5.36</v>
          </cell>
          <cell r="M286">
            <v>40878</v>
          </cell>
          <cell r="N286">
            <v>7.63</v>
          </cell>
          <cell r="P286">
            <v>40878</v>
          </cell>
          <cell r="Q286">
            <v>18.579999999999998</v>
          </cell>
        </row>
        <row r="287">
          <cell r="D287">
            <v>40877</v>
          </cell>
          <cell r="E287">
            <v>6.76</v>
          </cell>
          <cell r="G287">
            <v>40877</v>
          </cell>
          <cell r="H287">
            <v>3.21</v>
          </cell>
          <cell r="J287">
            <v>40877</v>
          </cell>
          <cell r="K287">
            <v>5.23</v>
          </cell>
          <cell r="M287">
            <v>40877</v>
          </cell>
          <cell r="N287">
            <v>8.0399999999999991</v>
          </cell>
          <cell r="P287">
            <v>40877</v>
          </cell>
          <cell r="Q287">
            <v>17.86</v>
          </cell>
        </row>
        <row r="288">
          <cell r="D288">
            <v>40876</v>
          </cell>
          <cell r="E288">
            <v>6.53</v>
          </cell>
          <cell r="G288">
            <v>40876</v>
          </cell>
          <cell r="H288">
            <v>3.09</v>
          </cell>
          <cell r="J288">
            <v>40876</v>
          </cell>
          <cell r="K288">
            <v>5.19</v>
          </cell>
          <cell r="M288">
            <v>40876</v>
          </cell>
          <cell r="N288">
            <v>7.62</v>
          </cell>
          <cell r="P288">
            <v>40876</v>
          </cell>
          <cell r="Q288">
            <v>17.37</v>
          </cell>
        </row>
        <row r="289">
          <cell r="D289">
            <v>40875</v>
          </cell>
          <cell r="E289">
            <v>6.56</v>
          </cell>
          <cell r="G289">
            <v>40875</v>
          </cell>
          <cell r="H289">
            <v>2.92</v>
          </cell>
          <cell r="J289">
            <v>40875</v>
          </cell>
          <cell r="K289">
            <v>5.21</v>
          </cell>
          <cell r="M289">
            <v>40875</v>
          </cell>
          <cell r="N289">
            <v>7.47</v>
          </cell>
          <cell r="P289">
            <v>40875</v>
          </cell>
          <cell r="Q289">
            <v>16.48</v>
          </cell>
        </row>
        <row r="290">
          <cell r="D290">
            <v>40872</v>
          </cell>
          <cell r="E290">
            <v>6.52</v>
          </cell>
          <cell r="G290">
            <v>40872</v>
          </cell>
          <cell r="H290">
            <v>2.83</v>
          </cell>
          <cell r="J290">
            <v>40872</v>
          </cell>
          <cell r="K290">
            <v>5.25</v>
          </cell>
          <cell r="M290">
            <v>40872</v>
          </cell>
          <cell r="N290">
            <v>7</v>
          </cell>
          <cell r="P290">
            <v>40872</v>
          </cell>
          <cell r="Q290">
            <v>16</v>
          </cell>
        </row>
        <row r="291">
          <cell r="D291">
            <v>40870</v>
          </cell>
          <cell r="E291">
            <v>6.59</v>
          </cell>
          <cell r="G291">
            <v>40870</v>
          </cell>
          <cell r="H291">
            <v>2.86</v>
          </cell>
          <cell r="J291">
            <v>40870</v>
          </cell>
          <cell r="K291">
            <v>5.27</v>
          </cell>
          <cell r="M291">
            <v>40870</v>
          </cell>
          <cell r="N291">
            <v>7.15</v>
          </cell>
          <cell r="P291">
            <v>40870</v>
          </cell>
          <cell r="Q291">
            <v>16.2</v>
          </cell>
        </row>
        <row r="292">
          <cell r="D292">
            <v>40869</v>
          </cell>
          <cell r="E292">
            <v>6.66</v>
          </cell>
          <cell r="G292">
            <v>40869</v>
          </cell>
          <cell r="H292">
            <v>3</v>
          </cell>
          <cell r="J292">
            <v>40869</v>
          </cell>
          <cell r="K292">
            <v>5.14</v>
          </cell>
          <cell r="M292">
            <v>40869</v>
          </cell>
          <cell r="N292">
            <v>7.75</v>
          </cell>
          <cell r="P292">
            <v>40869</v>
          </cell>
          <cell r="Q292">
            <v>16.87</v>
          </cell>
        </row>
        <row r="293">
          <cell r="D293">
            <v>40868</v>
          </cell>
          <cell r="E293">
            <v>6.62</v>
          </cell>
          <cell r="G293">
            <v>40868</v>
          </cell>
          <cell r="H293">
            <v>3.14</v>
          </cell>
          <cell r="J293">
            <v>40868</v>
          </cell>
          <cell r="K293">
            <v>5.69</v>
          </cell>
          <cell r="M293">
            <v>40868</v>
          </cell>
          <cell r="N293">
            <v>7.59</v>
          </cell>
          <cell r="P293">
            <v>40868</v>
          </cell>
          <cell r="Q293">
            <v>17.36</v>
          </cell>
        </row>
        <row r="294">
          <cell r="D294">
            <v>40865</v>
          </cell>
          <cell r="E294">
            <v>6.8</v>
          </cell>
          <cell r="G294">
            <v>40865</v>
          </cell>
          <cell r="H294">
            <v>3.18</v>
          </cell>
          <cell r="J294">
            <v>40865</v>
          </cell>
          <cell r="K294">
            <v>5.87</v>
          </cell>
          <cell r="M294">
            <v>40865</v>
          </cell>
          <cell r="N294">
            <v>7.97</v>
          </cell>
          <cell r="P294">
            <v>40865</v>
          </cell>
          <cell r="Q294">
            <v>18.190000000000001</v>
          </cell>
        </row>
        <row r="295">
          <cell r="D295">
            <v>40864</v>
          </cell>
          <cell r="E295">
            <v>6.85</v>
          </cell>
          <cell r="G295">
            <v>40864</v>
          </cell>
          <cell r="H295">
            <v>3.24</v>
          </cell>
          <cell r="J295">
            <v>40864</v>
          </cell>
          <cell r="K295">
            <v>6</v>
          </cell>
          <cell r="M295">
            <v>40864</v>
          </cell>
          <cell r="N295">
            <v>7.75</v>
          </cell>
          <cell r="P295">
            <v>40864</v>
          </cell>
          <cell r="Q295">
            <v>18.649999999999999</v>
          </cell>
        </row>
        <row r="296">
          <cell r="D296">
            <v>40863</v>
          </cell>
          <cell r="E296">
            <v>6.82</v>
          </cell>
          <cell r="G296">
            <v>40863</v>
          </cell>
          <cell r="H296">
            <v>3.1850000000000001</v>
          </cell>
          <cell r="J296">
            <v>40863</v>
          </cell>
          <cell r="K296">
            <v>5.85</v>
          </cell>
          <cell r="M296">
            <v>40863</v>
          </cell>
          <cell r="N296">
            <v>7.8</v>
          </cell>
          <cell r="P296">
            <v>40863</v>
          </cell>
          <cell r="Q296">
            <v>19.21</v>
          </cell>
        </row>
        <row r="297">
          <cell r="D297">
            <v>40862</v>
          </cell>
          <cell r="E297">
            <v>7.05</v>
          </cell>
          <cell r="G297">
            <v>40862</v>
          </cell>
          <cell r="H297">
            <v>3.44</v>
          </cell>
          <cell r="J297">
            <v>40862</v>
          </cell>
          <cell r="K297">
            <v>5.9</v>
          </cell>
          <cell r="M297">
            <v>40862</v>
          </cell>
          <cell r="N297">
            <v>7.96</v>
          </cell>
          <cell r="P297">
            <v>40862</v>
          </cell>
          <cell r="Q297">
            <v>19.13</v>
          </cell>
        </row>
        <row r="298">
          <cell r="D298">
            <v>40861</v>
          </cell>
          <cell r="E298">
            <v>7.13</v>
          </cell>
          <cell r="G298">
            <v>40861</v>
          </cell>
          <cell r="H298">
            <v>3.35</v>
          </cell>
          <cell r="J298">
            <v>40861</v>
          </cell>
          <cell r="K298">
            <v>5.82</v>
          </cell>
          <cell r="M298">
            <v>40861</v>
          </cell>
          <cell r="N298">
            <v>7.83</v>
          </cell>
          <cell r="P298">
            <v>40861</v>
          </cell>
          <cell r="Q298">
            <v>18.29</v>
          </cell>
        </row>
        <row r="299">
          <cell r="D299">
            <v>40858</v>
          </cell>
          <cell r="E299">
            <v>7.19</v>
          </cell>
          <cell r="G299">
            <v>40858</v>
          </cell>
          <cell r="H299">
            <v>3.44</v>
          </cell>
          <cell r="J299">
            <v>40858</v>
          </cell>
          <cell r="K299">
            <v>5.95</v>
          </cell>
          <cell r="M299">
            <v>40858</v>
          </cell>
          <cell r="N299">
            <v>7.99</v>
          </cell>
          <cell r="P299">
            <v>40858</v>
          </cell>
          <cell r="Q299">
            <v>18.489999999999998</v>
          </cell>
        </row>
        <row r="300">
          <cell r="D300">
            <v>40857</v>
          </cell>
          <cell r="E300">
            <v>7.14</v>
          </cell>
          <cell r="G300">
            <v>40857</v>
          </cell>
          <cell r="H300">
            <v>3.31</v>
          </cell>
          <cell r="J300">
            <v>40857</v>
          </cell>
          <cell r="K300">
            <v>6.05</v>
          </cell>
          <cell r="M300">
            <v>40857</v>
          </cell>
          <cell r="N300">
            <v>7.65</v>
          </cell>
          <cell r="P300">
            <v>40857</v>
          </cell>
          <cell r="Q300">
            <v>17.579999999999998</v>
          </cell>
        </row>
        <row r="301">
          <cell r="D301">
            <v>40856</v>
          </cell>
          <cell r="E301">
            <v>6.87</v>
          </cell>
          <cell r="G301">
            <v>40856</v>
          </cell>
          <cell r="H301">
            <v>3.29</v>
          </cell>
          <cell r="J301">
            <v>40856</v>
          </cell>
          <cell r="K301">
            <v>5.87</v>
          </cell>
          <cell r="M301">
            <v>40856</v>
          </cell>
          <cell r="N301">
            <v>7.61</v>
          </cell>
          <cell r="P301">
            <v>40856</v>
          </cell>
          <cell r="Q301">
            <v>18.05</v>
          </cell>
        </row>
        <row r="302">
          <cell r="D302">
            <v>40855</v>
          </cell>
          <cell r="E302">
            <v>6.75</v>
          </cell>
          <cell r="G302">
            <v>40855</v>
          </cell>
          <cell r="H302">
            <v>3.53</v>
          </cell>
          <cell r="J302">
            <v>40855</v>
          </cell>
          <cell r="K302">
            <v>5.86</v>
          </cell>
          <cell r="M302">
            <v>40855</v>
          </cell>
          <cell r="N302">
            <v>7.93</v>
          </cell>
          <cell r="P302">
            <v>40855</v>
          </cell>
          <cell r="Q302">
            <v>18.829999999999998</v>
          </cell>
        </row>
        <row r="303">
          <cell r="D303">
            <v>40854</v>
          </cell>
          <cell r="E303">
            <v>6.43</v>
          </cell>
          <cell r="G303">
            <v>40854</v>
          </cell>
          <cell r="H303">
            <v>3.53</v>
          </cell>
          <cell r="J303">
            <v>40854</v>
          </cell>
          <cell r="K303">
            <v>5.7398999999999996</v>
          </cell>
          <cell r="M303">
            <v>40854</v>
          </cell>
          <cell r="N303">
            <v>7.8</v>
          </cell>
          <cell r="P303">
            <v>40854</v>
          </cell>
          <cell r="Q303">
            <v>18.89</v>
          </cell>
        </row>
        <row r="304">
          <cell r="D304">
            <v>40851</v>
          </cell>
          <cell r="E304">
            <v>6.49</v>
          </cell>
          <cell r="G304">
            <v>40851</v>
          </cell>
          <cell r="H304">
            <v>3.53</v>
          </cell>
          <cell r="J304">
            <v>40851</v>
          </cell>
          <cell r="K304">
            <v>5.4291999999999998</v>
          </cell>
          <cell r="M304">
            <v>40851</v>
          </cell>
          <cell r="N304">
            <v>7.91</v>
          </cell>
          <cell r="P304">
            <v>40851</v>
          </cell>
          <cell r="Q304">
            <v>18.97</v>
          </cell>
        </row>
        <row r="305">
          <cell r="D305">
            <v>40850</v>
          </cell>
          <cell r="E305">
            <v>6.64</v>
          </cell>
          <cell r="G305">
            <v>40850</v>
          </cell>
          <cell r="H305">
            <v>3.4</v>
          </cell>
          <cell r="J305">
            <v>40850</v>
          </cell>
          <cell r="K305">
            <v>5.4</v>
          </cell>
          <cell r="M305">
            <v>40850</v>
          </cell>
          <cell r="N305">
            <v>8.07</v>
          </cell>
          <cell r="P305">
            <v>40850</v>
          </cell>
          <cell r="Q305">
            <v>18.850000000000001</v>
          </cell>
        </row>
        <row r="306">
          <cell r="D306">
            <v>40849</v>
          </cell>
          <cell r="E306">
            <v>7.34</v>
          </cell>
          <cell r="G306">
            <v>40849</v>
          </cell>
          <cell r="H306">
            <v>3.48</v>
          </cell>
          <cell r="J306">
            <v>40849</v>
          </cell>
          <cell r="K306">
            <v>5.48</v>
          </cell>
          <cell r="M306">
            <v>40849</v>
          </cell>
          <cell r="N306">
            <v>7.85</v>
          </cell>
          <cell r="P306">
            <v>40849</v>
          </cell>
          <cell r="Q306">
            <v>18.91</v>
          </cell>
        </row>
        <row r="307">
          <cell r="D307">
            <v>40848</v>
          </cell>
          <cell r="E307">
            <v>7.31</v>
          </cell>
          <cell r="G307">
            <v>40848</v>
          </cell>
          <cell r="H307">
            <v>4.21</v>
          </cell>
          <cell r="J307">
            <v>40848</v>
          </cell>
          <cell r="K307">
            <v>5.55</v>
          </cell>
          <cell r="M307">
            <v>40848</v>
          </cell>
          <cell r="N307">
            <v>7.55</v>
          </cell>
          <cell r="P307">
            <v>40848</v>
          </cell>
          <cell r="Q307">
            <v>19.3</v>
          </cell>
        </row>
        <row r="308">
          <cell r="D308">
            <v>40847</v>
          </cell>
          <cell r="E308">
            <v>7.51</v>
          </cell>
          <cell r="G308">
            <v>40847</v>
          </cell>
          <cell r="H308">
            <v>3.97</v>
          </cell>
          <cell r="J308">
            <v>40847</v>
          </cell>
          <cell r="K308">
            <v>5.49</v>
          </cell>
          <cell r="M308">
            <v>40847</v>
          </cell>
          <cell r="N308">
            <v>7.95</v>
          </cell>
          <cell r="P308">
            <v>40847</v>
          </cell>
          <cell r="Q308">
            <v>20.2</v>
          </cell>
        </row>
        <row r="309">
          <cell r="D309">
            <v>40844</v>
          </cell>
          <cell r="E309">
            <v>7.67</v>
          </cell>
          <cell r="G309">
            <v>40844</v>
          </cell>
          <cell r="H309">
            <v>4.16</v>
          </cell>
          <cell r="J309">
            <v>40844</v>
          </cell>
          <cell r="K309">
            <v>5.2</v>
          </cell>
          <cell r="M309">
            <v>40844</v>
          </cell>
          <cell r="N309">
            <v>8.11</v>
          </cell>
          <cell r="P309">
            <v>40844</v>
          </cell>
          <cell r="Q309">
            <v>21.3</v>
          </cell>
        </row>
        <row r="310">
          <cell r="D310">
            <v>40843</v>
          </cell>
          <cell r="E310">
            <v>7.59</v>
          </cell>
          <cell r="G310">
            <v>40843</v>
          </cell>
          <cell r="H310">
            <v>4.18</v>
          </cell>
          <cell r="J310">
            <v>40843</v>
          </cell>
          <cell r="K310">
            <v>5.0199999999999996</v>
          </cell>
          <cell r="M310">
            <v>40843</v>
          </cell>
          <cell r="N310">
            <v>8.01</v>
          </cell>
          <cell r="P310">
            <v>40843</v>
          </cell>
          <cell r="Q310">
            <v>21.28</v>
          </cell>
        </row>
        <row r="311">
          <cell r="D311">
            <v>40842</v>
          </cell>
          <cell r="E311">
            <v>7.39</v>
          </cell>
          <cell r="G311">
            <v>40842</v>
          </cell>
          <cell r="H311">
            <v>4.1500000000000004</v>
          </cell>
          <cell r="J311">
            <v>40842</v>
          </cell>
          <cell r="K311">
            <v>4.9800000000000004</v>
          </cell>
          <cell r="M311">
            <v>40842</v>
          </cell>
          <cell r="N311">
            <v>7.45</v>
          </cell>
          <cell r="P311">
            <v>40842</v>
          </cell>
          <cell r="Q311">
            <v>20.72</v>
          </cell>
        </row>
        <row r="312">
          <cell r="D312">
            <v>40841</v>
          </cell>
          <cell r="E312">
            <v>7.36</v>
          </cell>
          <cell r="G312">
            <v>40841</v>
          </cell>
          <cell r="H312">
            <v>4.05</v>
          </cell>
          <cell r="J312">
            <v>40841</v>
          </cell>
          <cell r="K312">
            <v>5.0199999999999996</v>
          </cell>
          <cell r="M312">
            <v>40841</v>
          </cell>
          <cell r="N312">
            <v>7.1</v>
          </cell>
          <cell r="P312">
            <v>40841</v>
          </cell>
          <cell r="Q312">
            <v>22.27</v>
          </cell>
        </row>
        <row r="313">
          <cell r="D313">
            <v>40840</v>
          </cell>
          <cell r="E313">
            <v>7.35</v>
          </cell>
          <cell r="G313">
            <v>40840</v>
          </cell>
          <cell r="H313">
            <v>4.2300000000000004</v>
          </cell>
          <cell r="J313">
            <v>40840</v>
          </cell>
          <cell r="K313">
            <v>5.03</v>
          </cell>
          <cell r="M313">
            <v>40840</v>
          </cell>
          <cell r="N313">
            <v>7.35</v>
          </cell>
          <cell r="P313">
            <v>40840</v>
          </cell>
          <cell r="Q313">
            <v>23.49</v>
          </cell>
        </row>
        <row r="314">
          <cell r="D314">
            <v>40837</v>
          </cell>
          <cell r="E314">
            <v>7.31</v>
          </cell>
          <cell r="G314">
            <v>40837</v>
          </cell>
          <cell r="H314">
            <v>3.86</v>
          </cell>
          <cell r="J314">
            <v>40837</v>
          </cell>
          <cell r="K314">
            <v>5.0499000000000001</v>
          </cell>
          <cell r="M314">
            <v>40837</v>
          </cell>
          <cell r="N314">
            <v>7.22</v>
          </cell>
          <cell r="P314">
            <v>40837</v>
          </cell>
          <cell r="Q314">
            <v>22.77</v>
          </cell>
        </row>
        <row r="315">
          <cell r="D315">
            <v>40836</v>
          </cell>
          <cell r="E315">
            <v>7.28</v>
          </cell>
          <cell r="G315">
            <v>40836</v>
          </cell>
          <cell r="H315">
            <v>3.31</v>
          </cell>
          <cell r="J315">
            <v>40836</v>
          </cell>
          <cell r="K315">
            <v>5.0199999999999996</v>
          </cell>
          <cell r="M315">
            <v>40836</v>
          </cell>
          <cell r="N315">
            <v>6.95</v>
          </cell>
          <cell r="P315">
            <v>40836</v>
          </cell>
          <cell r="Q315">
            <v>22.31</v>
          </cell>
        </row>
        <row r="316">
          <cell r="D316">
            <v>40835</v>
          </cell>
          <cell r="E316">
            <v>7.26</v>
          </cell>
          <cell r="G316">
            <v>40835</v>
          </cell>
          <cell r="H316">
            <v>3.24</v>
          </cell>
          <cell r="J316">
            <v>40835</v>
          </cell>
          <cell r="K316">
            <v>5.04</v>
          </cell>
          <cell r="M316">
            <v>40835</v>
          </cell>
          <cell r="N316">
            <v>6.72</v>
          </cell>
          <cell r="P316">
            <v>40835</v>
          </cell>
          <cell r="Q316">
            <v>22.31</v>
          </cell>
        </row>
        <row r="317">
          <cell r="D317">
            <v>40834</v>
          </cell>
          <cell r="E317">
            <v>7.38</v>
          </cell>
          <cell r="G317">
            <v>40834</v>
          </cell>
          <cell r="H317">
            <v>3.3</v>
          </cell>
          <cell r="J317">
            <v>40834</v>
          </cell>
          <cell r="K317">
            <v>4.99</v>
          </cell>
          <cell r="M317">
            <v>40834</v>
          </cell>
          <cell r="N317">
            <v>7.04</v>
          </cell>
          <cell r="P317">
            <v>40834</v>
          </cell>
          <cell r="Q317">
            <v>23.21</v>
          </cell>
        </row>
        <row r="318">
          <cell r="D318">
            <v>40833</v>
          </cell>
          <cell r="E318">
            <v>7.07</v>
          </cell>
          <cell r="G318">
            <v>40833</v>
          </cell>
          <cell r="H318">
            <v>3.31</v>
          </cell>
          <cell r="J318">
            <v>40833</v>
          </cell>
          <cell r="K318">
            <v>4.92</v>
          </cell>
          <cell r="M318">
            <v>40833</v>
          </cell>
          <cell r="N318">
            <v>6.68</v>
          </cell>
          <cell r="P318">
            <v>40833</v>
          </cell>
          <cell r="Q318">
            <v>22.4</v>
          </cell>
        </row>
        <row r="319">
          <cell r="D319">
            <v>40830</v>
          </cell>
          <cell r="E319">
            <v>7.19</v>
          </cell>
          <cell r="G319">
            <v>40830</v>
          </cell>
          <cell r="H319">
            <v>3.44</v>
          </cell>
          <cell r="J319">
            <v>40830</v>
          </cell>
          <cell r="K319">
            <v>4.83</v>
          </cell>
          <cell r="M319">
            <v>40830</v>
          </cell>
          <cell r="N319">
            <v>6.85</v>
          </cell>
          <cell r="P319">
            <v>40830</v>
          </cell>
          <cell r="Q319">
            <v>23.97</v>
          </cell>
        </row>
        <row r="320">
          <cell r="D320">
            <v>40829</v>
          </cell>
          <cell r="E320">
            <v>6.99</v>
          </cell>
          <cell r="G320">
            <v>40829</v>
          </cell>
          <cell r="H320">
            <v>3.18</v>
          </cell>
          <cell r="J320">
            <v>40829</v>
          </cell>
          <cell r="K320">
            <v>4.7300000000000004</v>
          </cell>
          <cell r="M320">
            <v>40829</v>
          </cell>
          <cell r="N320">
            <v>6.55</v>
          </cell>
          <cell r="P320">
            <v>40829</v>
          </cell>
          <cell r="Q320">
            <v>23.61</v>
          </cell>
        </row>
        <row r="321">
          <cell r="D321">
            <v>40828</v>
          </cell>
          <cell r="E321">
            <v>7.01</v>
          </cell>
          <cell r="G321">
            <v>40828</v>
          </cell>
          <cell r="H321">
            <v>3.22</v>
          </cell>
          <cell r="J321">
            <v>40828</v>
          </cell>
          <cell r="K321">
            <v>4.71</v>
          </cell>
          <cell r="M321">
            <v>40828</v>
          </cell>
          <cell r="N321">
            <v>6.54</v>
          </cell>
          <cell r="P321">
            <v>40828</v>
          </cell>
          <cell r="Q321">
            <v>23.88</v>
          </cell>
        </row>
        <row r="322">
          <cell r="D322">
            <v>40827</v>
          </cell>
          <cell r="E322">
            <v>6.98</v>
          </cell>
          <cell r="G322">
            <v>40827</v>
          </cell>
          <cell r="H322">
            <v>3.19</v>
          </cell>
          <cell r="J322">
            <v>40827</v>
          </cell>
          <cell r="K322">
            <v>4.49</v>
          </cell>
          <cell r="M322">
            <v>40827</v>
          </cell>
          <cell r="N322">
            <v>6.37</v>
          </cell>
          <cell r="P322">
            <v>40827</v>
          </cell>
          <cell r="Q322">
            <v>24.41</v>
          </cell>
        </row>
        <row r="323">
          <cell r="D323">
            <v>40826</v>
          </cell>
          <cell r="E323">
            <v>7.05</v>
          </cell>
          <cell r="G323">
            <v>40826</v>
          </cell>
          <cell r="H323">
            <v>3.27</v>
          </cell>
          <cell r="J323">
            <v>40826</v>
          </cell>
          <cell r="K323">
            <v>4.59</v>
          </cell>
          <cell r="M323">
            <v>40826</v>
          </cell>
          <cell r="N323">
            <v>6.34</v>
          </cell>
          <cell r="P323">
            <v>40826</v>
          </cell>
          <cell r="Q323">
            <v>23.23</v>
          </cell>
        </row>
        <row r="324">
          <cell r="D324">
            <v>40823</v>
          </cell>
          <cell r="E324">
            <v>7.13</v>
          </cell>
          <cell r="G324">
            <v>40823</v>
          </cell>
          <cell r="H324">
            <v>3.16</v>
          </cell>
          <cell r="J324">
            <v>40823</v>
          </cell>
          <cell r="K324">
            <v>4.53</v>
          </cell>
          <cell r="M324">
            <v>40823</v>
          </cell>
          <cell r="N324">
            <v>5.92</v>
          </cell>
          <cell r="P324">
            <v>40823</v>
          </cell>
          <cell r="Q324">
            <v>23.36</v>
          </cell>
        </row>
        <row r="325">
          <cell r="D325">
            <v>40822</v>
          </cell>
          <cell r="E325">
            <v>7.2</v>
          </cell>
          <cell r="G325">
            <v>40822</v>
          </cell>
          <cell r="H325">
            <v>3.27</v>
          </cell>
          <cell r="J325">
            <v>40822</v>
          </cell>
          <cell r="K325">
            <v>4.6050000000000004</v>
          </cell>
          <cell r="M325">
            <v>40822</v>
          </cell>
          <cell r="N325">
            <v>6.14</v>
          </cell>
          <cell r="P325">
            <v>40822</v>
          </cell>
          <cell r="Q325">
            <v>24.42</v>
          </cell>
        </row>
        <row r="326">
          <cell r="D326">
            <v>40821</v>
          </cell>
          <cell r="E326">
            <v>7.18</v>
          </cell>
          <cell r="G326">
            <v>40821</v>
          </cell>
          <cell r="H326">
            <v>3.2</v>
          </cell>
          <cell r="J326">
            <v>40821</v>
          </cell>
          <cell r="K326">
            <v>4.68</v>
          </cell>
          <cell r="M326">
            <v>40821</v>
          </cell>
          <cell r="N326">
            <v>5.33</v>
          </cell>
          <cell r="P326">
            <v>40821</v>
          </cell>
          <cell r="Q326">
            <v>23.594999999999999</v>
          </cell>
        </row>
        <row r="327">
          <cell r="D327">
            <v>40820</v>
          </cell>
          <cell r="E327">
            <v>6.88</v>
          </cell>
          <cell r="G327">
            <v>40820</v>
          </cell>
          <cell r="H327">
            <v>3.18</v>
          </cell>
          <cell r="J327">
            <v>40820</v>
          </cell>
          <cell r="K327">
            <v>4.71</v>
          </cell>
          <cell r="M327">
            <v>40820</v>
          </cell>
          <cell r="N327">
            <v>5.26</v>
          </cell>
          <cell r="P327">
            <v>40820</v>
          </cell>
          <cell r="Q327">
            <v>21</v>
          </cell>
        </row>
        <row r="328">
          <cell r="D328">
            <v>40819</v>
          </cell>
          <cell r="E328">
            <v>6.8</v>
          </cell>
          <cell r="G328">
            <v>40819</v>
          </cell>
          <cell r="H328">
            <v>2.9</v>
          </cell>
          <cell r="J328">
            <v>40819</v>
          </cell>
          <cell r="K328">
            <v>4.8</v>
          </cell>
          <cell r="M328">
            <v>40819</v>
          </cell>
          <cell r="N328">
            <v>5.03</v>
          </cell>
          <cell r="P328">
            <v>40819</v>
          </cell>
          <cell r="Q328">
            <v>20.5</v>
          </cell>
        </row>
        <row r="329">
          <cell r="D329">
            <v>40816</v>
          </cell>
          <cell r="E329">
            <v>6.85</v>
          </cell>
          <cell r="G329">
            <v>40816</v>
          </cell>
          <cell r="H329">
            <v>3.02</v>
          </cell>
          <cell r="J329">
            <v>40816</v>
          </cell>
          <cell r="K329">
            <v>5.0730000000000004</v>
          </cell>
          <cell r="M329">
            <v>40816</v>
          </cell>
          <cell r="N329">
            <v>5.56</v>
          </cell>
          <cell r="P329">
            <v>40816</v>
          </cell>
          <cell r="Q329">
            <v>20.3</v>
          </cell>
        </row>
        <row r="330">
          <cell r="D330">
            <v>40815</v>
          </cell>
          <cell r="E330">
            <v>6.98</v>
          </cell>
          <cell r="G330">
            <v>40815</v>
          </cell>
          <cell r="H330">
            <v>3.22</v>
          </cell>
          <cell r="J330">
            <v>40815</v>
          </cell>
          <cell r="K330">
            <v>5.05</v>
          </cell>
          <cell r="M330">
            <v>40815</v>
          </cell>
          <cell r="N330">
            <v>5.79</v>
          </cell>
          <cell r="P330">
            <v>40815</v>
          </cell>
          <cell r="Q330">
            <v>21.16</v>
          </cell>
        </row>
        <row r="331">
          <cell r="D331">
            <v>40814</v>
          </cell>
          <cell r="E331">
            <v>6.98</v>
          </cell>
          <cell r="G331">
            <v>40814</v>
          </cell>
          <cell r="H331">
            <v>3.14</v>
          </cell>
          <cell r="J331">
            <v>40814</v>
          </cell>
          <cell r="K331">
            <v>4.8899999999999997</v>
          </cell>
          <cell r="M331">
            <v>40814</v>
          </cell>
          <cell r="N331">
            <v>5.54</v>
          </cell>
          <cell r="P331">
            <v>40814</v>
          </cell>
          <cell r="Q331">
            <v>21.898</v>
          </cell>
        </row>
        <row r="332">
          <cell r="D332">
            <v>40813</v>
          </cell>
          <cell r="E332">
            <v>7.09</v>
          </cell>
          <cell r="G332">
            <v>40813</v>
          </cell>
          <cell r="H332">
            <v>3.28</v>
          </cell>
          <cell r="J332">
            <v>40813</v>
          </cell>
          <cell r="K332">
            <v>4.8</v>
          </cell>
          <cell r="M332">
            <v>40813</v>
          </cell>
          <cell r="N332">
            <v>6</v>
          </cell>
          <cell r="P332">
            <v>40813</v>
          </cell>
          <cell r="Q332">
            <v>22.65</v>
          </cell>
        </row>
        <row r="333">
          <cell r="D333">
            <v>40812</v>
          </cell>
          <cell r="E333">
            <v>7.0449999999999999</v>
          </cell>
          <cell r="G333">
            <v>40812</v>
          </cell>
          <cell r="H333">
            <v>3.2</v>
          </cell>
          <cell r="J333">
            <v>40812</v>
          </cell>
          <cell r="K333">
            <v>4.79</v>
          </cell>
          <cell r="M333">
            <v>40812</v>
          </cell>
          <cell r="N333">
            <v>5.68</v>
          </cell>
          <cell r="P333">
            <v>40812</v>
          </cell>
          <cell r="Q333">
            <v>21.68</v>
          </cell>
        </row>
        <row r="334">
          <cell r="D334">
            <v>40809</v>
          </cell>
          <cell r="E334">
            <v>7</v>
          </cell>
          <cell r="G334">
            <v>40809</v>
          </cell>
          <cell r="H334">
            <v>3.17</v>
          </cell>
          <cell r="J334">
            <v>40809</v>
          </cell>
          <cell r="K334">
            <v>4.6898999999999997</v>
          </cell>
          <cell r="M334">
            <v>40809</v>
          </cell>
          <cell r="N334">
            <v>5.39</v>
          </cell>
          <cell r="P334">
            <v>40809</v>
          </cell>
          <cell r="Q334">
            <v>21.32</v>
          </cell>
        </row>
        <row r="335">
          <cell r="D335">
            <v>40808</v>
          </cell>
          <cell r="E335">
            <v>7.04</v>
          </cell>
          <cell r="G335">
            <v>40808</v>
          </cell>
          <cell r="H335">
            <v>3.05</v>
          </cell>
          <cell r="J335">
            <v>40808</v>
          </cell>
          <cell r="K335">
            <v>4.8</v>
          </cell>
          <cell r="M335">
            <v>40808</v>
          </cell>
          <cell r="N335">
            <v>5.25</v>
          </cell>
          <cell r="P335">
            <v>40808</v>
          </cell>
          <cell r="Q335">
            <v>21.26</v>
          </cell>
        </row>
        <row r="336">
          <cell r="D336">
            <v>40807</v>
          </cell>
          <cell r="E336">
            <v>7.55</v>
          </cell>
          <cell r="G336">
            <v>40807</v>
          </cell>
          <cell r="H336">
            <v>3.14</v>
          </cell>
          <cell r="J336">
            <v>40807</v>
          </cell>
          <cell r="K336">
            <v>5.01</v>
          </cell>
          <cell r="M336">
            <v>40807</v>
          </cell>
          <cell r="N336">
            <v>5.46</v>
          </cell>
          <cell r="P336">
            <v>40807</v>
          </cell>
          <cell r="Q336">
            <v>21.54</v>
          </cell>
        </row>
        <row r="337">
          <cell r="D337">
            <v>40806</v>
          </cell>
          <cell r="E337">
            <v>7.5350000000000001</v>
          </cell>
          <cell r="G337">
            <v>40806</v>
          </cell>
          <cell r="H337">
            <v>3.31</v>
          </cell>
          <cell r="J337">
            <v>40806</v>
          </cell>
          <cell r="K337">
            <v>5.13</v>
          </cell>
          <cell r="M337">
            <v>40806</v>
          </cell>
          <cell r="N337">
            <v>5.7</v>
          </cell>
          <cell r="P337">
            <v>40806</v>
          </cell>
          <cell r="Q337">
            <v>22.73</v>
          </cell>
        </row>
        <row r="338">
          <cell r="D338">
            <v>40805</v>
          </cell>
          <cell r="E338">
            <v>7.44</v>
          </cell>
          <cell r="G338">
            <v>40805</v>
          </cell>
          <cell r="H338">
            <v>3.27</v>
          </cell>
          <cell r="J338">
            <v>40805</v>
          </cell>
          <cell r="K338">
            <v>5.15</v>
          </cell>
          <cell r="M338">
            <v>40805</v>
          </cell>
          <cell r="N338">
            <v>6.02</v>
          </cell>
          <cell r="P338">
            <v>40805</v>
          </cell>
          <cell r="Q338">
            <v>23.72</v>
          </cell>
        </row>
        <row r="339">
          <cell r="D339">
            <v>40802</v>
          </cell>
          <cell r="E339">
            <v>7.38</v>
          </cell>
          <cell r="G339">
            <v>40802</v>
          </cell>
          <cell r="H339">
            <v>3.41</v>
          </cell>
          <cell r="J339">
            <v>40802</v>
          </cell>
          <cell r="K339">
            <v>5.19</v>
          </cell>
          <cell r="M339">
            <v>40802</v>
          </cell>
          <cell r="N339">
            <v>6.03</v>
          </cell>
          <cell r="P339">
            <v>40802</v>
          </cell>
          <cell r="Q339">
            <v>23.93</v>
          </cell>
        </row>
        <row r="340">
          <cell r="D340">
            <v>40801</v>
          </cell>
          <cell r="E340">
            <v>7.28</v>
          </cell>
          <cell r="G340">
            <v>40801</v>
          </cell>
          <cell r="H340">
            <v>3.47</v>
          </cell>
          <cell r="J340">
            <v>40801</v>
          </cell>
          <cell r="K340">
            <v>5.27</v>
          </cell>
          <cell r="M340">
            <v>40801</v>
          </cell>
          <cell r="N340">
            <v>5.9</v>
          </cell>
          <cell r="P340">
            <v>40801</v>
          </cell>
          <cell r="Q340">
            <v>29.54</v>
          </cell>
        </row>
        <row r="341">
          <cell r="D341">
            <v>40800</v>
          </cell>
          <cell r="E341">
            <v>7.15</v>
          </cell>
          <cell r="G341">
            <v>40800</v>
          </cell>
          <cell r="H341">
            <v>3.44</v>
          </cell>
          <cell r="J341">
            <v>40800</v>
          </cell>
          <cell r="K341">
            <v>5.18</v>
          </cell>
          <cell r="M341">
            <v>40800</v>
          </cell>
          <cell r="N341">
            <v>6.1</v>
          </cell>
          <cell r="P341">
            <v>40800</v>
          </cell>
          <cell r="Q341">
            <v>29.72</v>
          </cell>
        </row>
        <row r="342">
          <cell r="D342">
            <v>40799</v>
          </cell>
          <cell r="E342">
            <v>7.05</v>
          </cell>
          <cell r="G342">
            <v>40799</v>
          </cell>
          <cell r="H342">
            <v>3.31</v>
          </cell>
          <cell r="J342">
            <v>40799</v>
          </cell>
          <cell r="K342">
            <v>5.05</v>
          </cell>
          <cell r="M342">
            <v>40799</v>
          </cell>
          <cell r="N342">
            <v>5.9</v>
          </cell>
          <cell r="P342">
            <v>40799</v>
          </cell>
          <cell r="Q342">
            <v>30.13</v>
          </cell>
        </row>
        <row r="343">
          <cell r="D343">
            <v>40798</v>
          </cell>
          <cell r="E343">
            <v>6.87</v>
          </cell>
          <cell r="G343">
            <v>40798</v>
          </cell>
          <cell r="H343">
            <v>3.3</v>
          </cell>
          <cell r="J343">
            <v>40798</v>
          </cell>
          <cell r="K343">
            <v>5.12</v>
          </cell>
          <cell r="M343">
            <v>40798</v>
          </cell>
          <cell r="N343">
            <v>5.68</v>
          </cell>
          <cell r="P343">
            <v>40798</v>
          </cell>
          <cell r="Q343">
            <v>30.17</v>
          </cell>
        </row>
        <row r="344">
          <cell r="D344">
            <v>40795</v>
          </cell>
          <cell r="E344">
            <v>6.95</v>
          </cell>
          <cell r="G344">
            <v>40795</v>
          </cell>
          <cell r="H344">
            <v>3.23</v>
          </cell>
          <cell r="J344">
            <v>40795</v>
          </cell>
          <cell r="K344">
            <v>5.1100000000000003</v>
          </cell>
          <cell r="M344">
            <v>40795</v>
          </cell>
          <cell r="N344">
            <v>5.61</v>
          </cell>
          <cell r="P344">
            <v>40795</v>
          </cell>
          <cell r="Q344">
            <v>29.68</v>
          </cell>
        </row>
        <row r="345">
          <cell r="D345">
            <v>40794</v>
          </cell>
          <cell r="E345">
            <v>7.06</v>
          </cell>
          <cell r="G345">
            <v>40794</v>
          </cell>
          <cell r="H345">
            <v>3.39</v>
          </cell>
          <cell r="J345">
            <v>40794</v>
          </cell>
          <cell r="K345">
            <v>5.23</v>
          </cell>
          <cell r="M345">
            <v>40794</v>
          </cell>
          <cell r="N345">
            <v>6</v>
          </cell>
          <cell r="P345">
            <v>40794</v>
          </cell>
          <cell r="Q345">
            <v>31.31</v>
          </cell>
        </row>
        <row r="346">
          <cell r="D346">
            <v>40793</v>
          </cell>
          <cell r="E346">
            <v>7.0949999999999998</v>
          </cell>
          <cell r="G346">
            <v>40793</v>
          </cell>
          <cell r="H346">
            <v>3.44</v>
          </cell>
          <cell r="J346">
            <v>40793</v>
          </cell>
          <cell r="K346">
            <v>5.14</v>
          </cell>
          <cell r="M346">
            <v>40793</v>
          </cell>
          <cell r="N346">
            <v>5.93</v>
          </cell>
          <cell r="P346">
            <v>40793</v>
          </cell>
          <cell r="Q346">
            <v>31.9</v>
          </cell>
        </row>
        <row r="347">
          <cell r="D347">
            <v>40792</v>
          </cell>
          <cell r="E347">
            <v>7.02</v>
          </cell>
          <cell r="G347">
            <v>40792</v>
          </cell>
          <cell r="H347">
            <v>3.28</v>
          </cell>
          <cell r="J347">
            <v>40792</v>
          </cell>
          <cell r="K347">
            <v>5.0999999999999996</v>
          </cell>
          <cell r="M347">
            <v>40792</v>
          </cell>
          <cell r="N347">
            <v>5.56</v>
          </cell>
          <cell r="P347">
            <v>40792</v>
          </cell>
          <cell r="Q347">
            <v>30.97</v>
          </cell>
        </row>
        <row r="348">
          <cell r="D348">
            <v>40788</v>
          </cell>
          <cell r="E348">
            <v>7.07</v>
          </cell>
          <cell r="G348">
            <v>40788</v>
          </cell>
          <cell r="H348">
            <v>3.3</v>
          </cell>
          <cell r="J348">
            <v>40788</v>
          </cell>
          <cell r="K348">
            <v>5.4</v>
          </cell>
          <cell r="M348">
            <v>40788</v>
          </cell>
          <cell r="N348">
            <v>5.75</v>
          </cell>
          <cell r="P348">
            <v>40788</v>
          </cell>
          <cell r="Q348">
            <v>30.12</v>
          </cell>
        </row>
        <row r="349">
          <cell r="D349">
            <v>40787</v>
          </cell>
          <cell r="E349">
            <v>7.23</v>
          </cell>
          <cell r="G349">
            <v>40787</v>
          </cell>
          <cell r="H349">
            <v>3.31</v>
          </cell>
          <cell r="J349">
            <v>40787</v>
          </cell>
          <cell r="K349">
            <v>5.39</v>
          </cell>
          <cell r="M349">
            <v>40787</v>
          </cell>
          <cell r="N349">
            <v>6.03</v>
          </cell>
          <cell r="P349">
            <v>40787</v>
          </cell>
          <cell r="Q349">
            <v>31.85</v>
          </cell>
        </row>
        <row r="350">
          <cell r="D350">
            <v>40786</v>
          </cell>
          <cell r="E350">
            <v>7.3</v>
          </cell>
          <cell r="G350">
            <v>40786</v>
          </cell>
          <cell r="H350">
            <v>3.36</v>
          </cell>
          <cell r="J350">
            <v>40786</v>
          </cell>
          <cell r="K350">
            <v>5.43</v>
          </cell>
          <cell r="M350">
            <v>40786</v>
          </cell>
          <cell r="N350">
            <v>6.15</v>
          </cell>
          <cell r="P350">
            <v>40786</v>
          </cell>
          <cell r="Q350">
            <v>32.49</v>
          </cell>
        </row>
        <row r="351">
          <cell r="D351">
            <v>40785</v>
          </cell>
          <cell r="E351">
            <v>7.35</v>
          </cell>
          <cell r="G351">
            <v>40785</v>
          </cell>
          <cell r="H351">
            <v>3.42</v>
          </cell>
          <cell r="J351">
            <v>40785</v>
          </cell>
          <cell r="K351">
            <v>5.4</v>
          </cell>
          <cell r="M351">
            <v>40785</v>
          </cell>
          <cell r="N351">
            <v>6.33</v>
          </cell>
          <cell r="P351">
            <v>40785</v>
          </cell>
          <cell r="Q351">
            <v>32.549999999999997</v>
          </cell>
        </row>
        <row r="352">
          <cell r="D352">
            <v>40784</v>
          </cell>
          <cell r="E352">
            <v>7.4249999999999998</v>
          </cell>
          <cell r="G352">
            <v>40784</v>
          </cell>
          <cell r="H352">
            <v>3.4</v>
          </cell>
          <cell r="J352">
            <v>40784</v>
          </cell>
          <cell r="K352">
            <v>5.45</v>
          </cell>
          <cell r="M352">
            <v>40784</v>
          </cell>
          <cell r="N352">
            <v>6.52</v>
          </cell>
          <cell r="P352">
            <v>40784</v>
          </cell>
          <cell r="Q352">
            <v>30.73</v>
          </cell>
        </row>
        <row r="353">
          <cell r="D353">
            <v>40781</v>
          </cell>
          <cell r="E353">
            <v>7.16</v>
          </cell>
          <cell r="G353">
            <v>40781</v>
          </cell>
          <cell r="H353">
            <v>3.33</v>
          </cell>
          <cell r="J353">
            <v>40781</v>
          </cell>
          <cell r="K353">
            <v>5.39</v>
          </cell>
          <cell r="M353">
            <v>40781</v>
          </cell>
          <cell r="N353">
            <v>6.5</v>
          </cell>
          <cell r="P353">
            <v>40781</v>
          </cell>
          <cell r="Q353">
            <v>29.18</v>
          </cell>
        </row>
        <row r="354">
          <cell r="D354">
            <v>40780</v>
          </cell>
          <cell r="E354">
            <v>7.06</v>
          </cell>
          <cell r="G354">
            <v>40780</v>
          </cell>
          <cell r="H354">
            <v>3.2</v>
          </cell>
          <cell r="J354">
            <v>40780</v>
          </cell>
          <cell r="K354">
            <v>5.53</v>
          </cell>
          <cell r="M354">
            <v>40780</v>
          </cell>
          <cell r="N354">
            <v>6.28</v>
          </cell>
          <cell r="P354">
            <v>40780</v>
          </cell>
          <cell r="Q354">
            <v>28.22</v>
          </cell>
        </row>
        <row r="355">
          <cell r="D355">
            <v>40779</v>
          </cell>
          <cell r="E355">
            <v>7.21</v>
          </cell>
          <cell r="G355">
            <v>40779</v>
          </cell>
          <cell r="H355">
            <v>3.5</v>
          </cell>
          <cell r="J355">
            <v>40779</v>
          </cell>
          <cell r="K355">
            <v>5.5</v>
          </cell>
          <cell r="M355">
            <v>40779</v>
          </cell>
          <cell r="N355">
            <v>6.83</v>
          </cell>
          <cell r="P355">
            <v>40779</v>
          </cell>
          <cell r="Q355">
            <v>28.57</v>
          </cell>
        </row>
        <row r="356">
          <cell r="D356">
            <v>40778</v>
          </cell>
          <cell r="E356">
            <v>7.31</v>
          </cell>
          <cell r="G356">
            <v>40778</v>
          </cell>
          <cell r="H356">
            <v>3.47</v>
          </cell>
          <cell r="J356">
            <v>40778</v>
          </cell>
          <cell r="K356">
            <v>5.36</v>
          </cell>
          <cell r="M356">
            <v>40778</v>
          </cell>
          <cell r="N356">
            <v>6.74</v>
          </cell>
          <cell r="P356">
            <v>40778</v>
          </cell>
          <cell r="Q356">
            <v>27.5</v>
          </cell>
        </row>
        <row r="357">
          <cell r="D357">
            <v>40777</v>
          </cell>
          <cell r="E357">
            <v>7.2</v>
          </cell>
          <cell r="G357">
            <v>40777</v>
          </cell>
          <cell r="H357">
            <v>3.32</v>
          </cell>
          <cell r="J357">
            <v>40777</v>
          </cell>
          <cell r="K357">
            <v>4.8499999999999996</v>
          </cell>
          <cell r="M357">
            <v>40777</v>
          </cell>
          <cell r="N357">
            <v>6.15</v>
          </cell>
          <cell r="P357">
            <v>40777</v>
          </cell>
          <cell r="Q357">
            <v>26.51</v>
          </cell>
        </row>
        <row r="358">
          <cell r="D358">
            <v>40774</v>
          </cell>
          <cell r="E358">
            <v>7.24</v>
          </cell>
          <cell r="G358">
            <v>40774</v>
          </cell>
          <cell r="H358">
            <v>3.17</v>
          </cell>
          <cell r="J358">
            <v>40774</v>
          </cell>
          <cell r="K358">
            <v>4.54</v>
          </cell>
          <cell r="M358">
            <v>40774</v>
          </cell>
          <cell r="N358">
            <v>6.16</v>
          </cell>
          <cell r="P358">
            <v>40774</v>
          </cell>
          <cell r="Q358">
            <v>26.69</v>
          </cell>
        </row>
        <row r="359">
          <cell r="D359">
            <v>40773</v>
          </cell>
          <cell r="E359">
            <v>7.28</v>
          </cell>
          <cell r="G359">
            <v>40773</v>
          </cell>
          <cell r="H359">
            <v>3.19</v>
          </cell>
          <cell r="J359">
            <v>40773</v>
          </cell>
          <cell r="K359">
            <v>4.6100000000000003</v>
          </cell>
          <cell r="M359">
            <v>40773</v>
          </cell>
          <cell r="N359">
            <v>6.46</v>
          </cell>
          <cell r="P359">
            <v>40773</v>
          </cell>
          <cell r="Q359">
            <v>25.76</v>
          </cell>
        </row>
        <row r="360">
          <cell r="D360">
            <v>40772</v>
          </cell>
          <cell r="E360">
            <v>7.57</v>
          </cell>
          <cell r="G360">
            <v>40772</v>
          </cell>
          <cell r="H360">
            <v>3.38</v>
          </cell>
          <cell r="J360">
            <v>40772</v>
          </cell>
          <cell r="K360">
            <v>4.47</v>
          </cell>
          <cell r="M360">
            <v>40772</v>
          </cell>
          <cell r="N360">
            <v>6.53</v>
          </cell>
          <cell r="P360">
            <v>40772</v>
          </cell>
          <cell r="Q360">
            <v>26.79</v>
          </cell>
        </row>
        <row r="361">
          <cell r="D361">
            <v>40771</v>
          </cell>
          <cell r="E361">
            <v>7.5</v>
          </cell>
          <cell r="G361">
            <v>40771</v>
          </cell>
          <cell r="H361">
            <v>3.4</v>
          </cell>
          <cell r="J361">
            <v>40771</v>
          </cell>
          <cell r="K361">
            <v>4.6900000000000004</v>
          </cell>
          <cell r="M361">
            <v>40771</v>
          </cell>
          <cell r="N361">
            <v>6.6</v>
          </cell>
          <cell r="P361">
            <v>40771</v>
          </cell>
          <cell r="Q361">
            <v>26.93</v>
          </cell>
        </row>
        <row r="362">
          <cell r="D362">
            <v>40770</v>
          </cell>
          <cell r="E362">
            <v>7.77</v>
          </cell>
          <cell r="G362">
            <v>40770</v>
          </cell>
          <cell r="H362">
            <v>3.5</v>
          </cell>
          <cell r="J362">
            <v>40770</v>
          </cell>
          <cell r="K362">
            <v>4.7300000000000004</v>
          </cell>
          <cell r="M362">
            <v>40770</v>
          </cell>
          <cell r="N362">
            <v>6.9</v>
          </cell>
          <cell r="P362">
            <v>40770</v>
          </cell>
          <cell r="Q362">
            <v>27.11</v>
          </cell>
        </row>
        <row r="363">
          <cell r="D363">
            <v>40767</v>
          </cell>
          <cell r="E363">
            <v>7.57</v>
          </cell>
          <cell r="G363">
            <v>40767</v>
          </cell>
          <cell r="H363">
            <v>3.3</v>
          </cell>
          <cell r="J363">
            <v>40767</v>
          </cell>
          <cell r="K363">
            <v>4.4000000000000004</v>
          </cell>
          <cell r="M363">
            <v>40767</v>
          </cell>
          <cell r="N363">
            <v>6.52</v>
          </cell>
          <cell r="P363">
            <v>40767</v>
          </cell>
          <cell r="Q363">
            <v>24.56</v>
          </cell>
        </row>
        <row r="364">
          <cell r="D364">
            <v>40766</v>
          </cell>
          <cell r="E364">
            <v>7.32</v>
          </cell>
          <cell r="G364">
            <v>40766</v>
          </cell>
          <cell r="H364">
            <v>3.46</v>
          </cell>
          <cell r="J364">
            <v>40766</v>
          </cell>
          <cell r="K364">
            <v>4.3</v>
          </cell>
          <cell r="M364">
            <v>40766</v>
          </cell>
          <cell r="N364">
            <v>6.96</v>
          </cell>
          <cell r="P364">
            <v>40766</v>
          </cell>
          <cell r="Q364">
            <v>24.18</v>
          </cell>
        </row>
        <row r="365">
          <cell r="D365">
            <v>40765</v>
          </cell>
          <cell r="E365">
            <v>7.47</v>
          </cell>
          <cell r="G365">
            <v>40765</v>
          </cell>
          <cell r="H365">
            <v>3.35</v>
          </cell>
          <cell r="J365">
            <v>40765</v>
          </cell>
          <cell r="K365">
            <v>4.2</v>
          </cell>
          <cell r="M365">
            <v>40765</v>
          </cell>
          <cell r="N365">
            <v>6.42</v>
          </cell>
          <cell r="P365">
            <v>40765</v>
          </cell>
          <cell r="Q365">
            <v>22.1</v>
          </cell>
        </row>
        <row r="366">
          <cell r="D366">
            <v>40764</v>
          </cell>
          <cell r="E366">
            <v>7.67</v>
          </cell>
          <cell r="G366">
            <v>40764</v>
          </cell>
          <cell r="H366">
            <v>3.33</v>
          </cell>
          <cell r="J366">
            <v>40764</v>
          </cell>
          <cell r="K366">
            <v>4.1500000000000004</v>
          </cell>
          <cell r="M366">
            <v>40764</v>
          </cell>
          <cell r="N366">
            <v>6.84</v>
          </cell>
          <cell r="P366">
            <v>40764</v>
          </cell>
          <cell r="Q366">
            <v>23.12</v>
          </cell>
        </row>
        <row r="367">
          <cell r="D367">
            <v>40763</v>
          </cell>
          <cell r="E367">
            <v>7.66</v>
          </cell>
          <cell r="G367">
            <v>40763</v>
          </cell>
          <cell r="H367">
            <v>3.56</v>
          </cell>
          <cell r="J367">
            <v>40763</v>
          </cell>
          <cell r="K367">
            <v>4.12</v>
          </cell>
          <cell r="M367">
            <v>40763</v>
          </cell>
          <cell r="N367">
            <v>6.8</v>
          </cell>
          <cell r="P367">
            <v>40763</v>
          </cell>
          <cell r="Q367">
            <v>21.87</v>
          </cell>
        </row>
        <row r="368">
          <cell r="D368">
            <v>40760</v>
          </cell>
          <cell r="E368">
            <v>9.1199999999999992</v>
          </cell>
          <cell r="G368">
            <v>40760</v>
          </cell>
          <cell r="H368">
            <v>3.33</v>
          </cell>
          <cell r="J368">
            <v>40760</v>
          </cell>
          <cell r="K368">
            <v>4.2300000000000004</v>
          </cell>
          <cell r="M368">
            <v>40760</v>
          </cell>
          <cell r="N368">
            <v>7.19</v>
          </cell>
          <cell r="P368">
            <v>40760</v>
          </cell>
          <cell r="Q368">
            <v>23.39</v>
          </cell>
        </row>
        <row r="369">
          <cell r="D369">
            <v>40759</v>
          </cell>
          <cell r="E369">
            <v>8.98</v>
          </cell>
          <cell r="G369">
            <v>40759</v>
          </cell>
          <cell r="H369">
            <v>4.6500000000000004</v>
          </cell>
          <cell r="J369">
            <v>40759</v>
          </cell>
          <cell r="K369">
            <v>4.4000000000000004</v>
          </cell>
          <cell r="M369">
            <v>40759</v>
          </cell>
          <cell r="N369">
            <v>7.4</v>
          </cell>
          <cell r="P369">
            <v>40759</v>
          </cell>
          <cell r="Q369">
            <v>23.59</v>
          </cell>
        </row>
        <row r="370">
          <cell r="D370">
            <v>40758</v>
          </cell>
          <cell r="E370">
            <v>10.07</v>
          </cell>
          <cell r="G370">
            <v>40758</v>
          </cell>
          <cell r="H370">
            <v>5.01</v>
          </cell>
          <cell r="J370">
            <v>40758</v>
          </cell>
          <cell r="K370">
            <v>4.8</v>
          </cell>
          <cell r="M370">
            <v>40758</v>
          </cell>
          <cell r="N370">
            <v>7.41</v>
          </cell>
          <cell r="P370">
            <v>40758</v>
          </cell>
          <cell r="Q370">
            <v>25.33</v>
          </cell>
        </row>
        <row r="371">
          <cell r="D371">
            <v>40757</v>
          </cell>
          <cell r="E371">
            <v>10.07</v>
          </cell>
          <cell r="G371">
            <v>40757</v>
          </cell>
          <cell r="H371">
            <v>4.8499999999999996</v>
          </cell>
          <cell r="J371">
            <v>40757</v>
          </cell>
          <cell r="K371">
            <v>4.93</v>
          </cell>
          <cell r="M371">
            <v>40757</v>
          </cell>
          <cell r="N371">
            <v>7.1</v>
          </cell>
          <cell r="P371">
            <v>40757</v>
          </cell>
          <cell r="Q371">
            <v>24.15</v>
          </cell>
        </row>
        <row r="372">
          <cell r="D372">
            <v>40756</v>
          </cell>
          <cell r="E372">
            <v>10.16</v>
          </cell>
          <cell r="G372">
            <v>40756</v>
          </cell>
          <cell r="H372">
            <v>5.05</v>
          </cell>
          <cell r="J372">
            <v>40756</v>
          </cell>
          <cell r="K372">
            <v>4.88</v>
          </cell>
          <cell r="M372">
            <v>40756</v>
          </cell>
          <cell r="N372">
            <v>7.165</v>
          </cell>
          <cell r="P372">
            <v>40756</v>
          </cell>
          <cell r="Q372">
            <v>24.79</v>
          </cell>
        </row>
        <row r="373">
          <cell r="D373">
            <v>40753</v>
          </cell>
          <cell r="E373">
            <v>10.77</v>
          </cell>
          <cell r="G373">
            <v>40753</v>
          </cell>
          <cell r="H373">
            <v>5.13</v>
          </cell>
          <cell r="J373">
            <v>40753</v>
          </cell>
          <cell r="K373">
            <v>4.8609999999999998</v>
          </cell>
          <cell r="M373">
            <v>40753</v>
          </cell>
          <cell r="N373">
            <v>7.26</v>
          </cell>
          <cell r="P373">
            <v>40753</v>
          </cell>
          <cell r="Q373">
            <v>25</v>
          </cell>
        </row>
        <row r="374">
          <cell r="D374">
            <v>40752</v>
          </cell>
          <cell r="E374">
            <v>11.12</v>
          </cell>
          <cell r="G374">
            <v>40752</v>
          </cell>
          <cell r="H374">
            <v>5.09</v>
          </cell>
          <cell r="J374">
            <v>40752</v>
          </cell>
          <cell r="K374">
            <v>4.9800000000000004</v>
          </cell>
          <cell r="M374">
            <v>40752</v>
          </cell>
          <cell r="N374">
            <v>6.96</v>
          </cell>
          <cell r="P374">
            <v>40752</v>
          </cell>
          <cell r="Q374">
            <v>25.46</v>
          </cell>
        </row>
        <row r="375">
          <cell r="D375">
            <v>40751</v>
          </cell>
          <cell r="E375">
            <v>11.17</v>
          </cell>
          <cell r="G375">
            <v>40751</v>
          </cell>
          <cell r="H375">
            <v>5.1100000000000003</v>
          </cell>
          <cell r="J375">
            <v>40751</v>
          </cell>
          <cell r="K375">
            <v>4.92</v>
          </cell>
          <cell r="M375">
            <v>40751</v>
          </cell>
          <cell r="N375">
            <v>9.16</v>
          </cell>
          <cell r="P375">
            <v>40751</v>
          </cell>
          <cell r="Q375">
            <v>25.71</v>
          </cell>
        </row>
        <row r="376">
          <cell r="D376">
            <v>40750</v>
          </cell>
          <cell r="E376">
            <v>11.34</v>
          </cell>
          <cell r="G376">
            <v>40750</v>
          </cell>
          <cell r="H376">
            <v>5.25</v>
          </cell>
          <cell r="J376">
            <v>40750</v>
          </cell>
          <cell r="K376">
            <v>4.9301000000000004</v>
          </cell>
          <cell r="M376">
            <v>40750</v>
          </cell>
          <cell r="N376">
            <v>9.23</v>
          </cell>
          <cell r="P376">
            <v>40750</v>
          </cell>
          <cell r="Q376">
            <v>27.39</v>
          </cell>
        </row>
        <row r="377">
          <cell r="D377">
            <v>40749</v>
          </cell>
          <cell r="E377">
            <v>11.36</v>
          </cell>
          <cell r="G377">
            <v>40749</v>
          </cell>
          <cell r="H377">
            <v>5.26</v>
          </cell>
          <cell r="J377">
            <v>40749</v>
          </cell>
          <cell r="K377">
            <v>4.95</v>
          </cell>
          <cell r="M377">
            <v>40749</v>
          </cell>
          <cell r="N377">
            <v>9.27</v>
          </cell>
          <cell r="P377">
            <v>40749</v>
          </cell>
          <cell r="Q377">
            <v>26.67</v>
          </cell>
        </row>
        <row r="378">
          <cell r="D378">
            <v>40746</v>
          </cell>
          <cell r="E378">
            <v>11.43</v>
          </cell>
          <cell r="G378">
            <v>40746</v>
          </cell>
          <cell r="H378">
            <v>5.32</v>
          </cell>
          <cell r="J378">
            <v>40746</v>
          </cell>
          <cell r="K378">
            <v>4.5999999999999996</v>
          </cell>
          <cell r="M378">
            <v>40746</v>
          </cell>
          <cell r="N378">
            <v>9.2799999999999994</v>
          </cell>
          <cell r="P378">
            <v>40746</v>
          </cell>
          <cell r="Q378">
            <v>27.91</v>
          </cell>
        </row>
        <row r="379">
          <cell r="D379">
            <v>40745</v>
          </cell>
          <cell r="E379">
            <v>11.53</v>
          </cell>
          <cell r="G379">
            <v>40745</v>
          </cell>
          <cell r="H379">
            <v>5.29</v>
          </cell>
          <cell r="J379">
            <v>40745</v>
          </cell>
          <cell r="K379">
            <v>4.58</v>
          </cell>
          <cell r="M379">
            <v>40745</v>
          </cell>
          <cell r="N379">
            <v>9.3699999999999992</v>
          </cell>
          <cell r="P379">
            <v>40745</v>
          </cell>
          <cell r="Q379">
            <v>27.92</v>
          </cell>
        </row>
        <row r="380">
          <cell r="D380">
            <v>40744</v>
          </cell>
          <cell r="E380">
            <v>11.72</v>
          </cell>
          <cell r="G380">
            <v>40744</v>
          </cell>
          <cell r="H380">
            <v>5.34</v>
          </cell>
          <cell r="J380">
            <v>40744</v>
          </cell>
          <cell r="K380">
            <v>4.53</v>
          </cell>
          <cell r="M380">
            <v>40744</v>
          </cell>
          <cell r="N380">
            <v>9.5299999999999994</v>
          </cell>
          <cell r="P380">
            <v>40744</v>
          </cell>
          <cell r="Q380">
            <v>26.64</v>
          </cell>
        </row>
        <row r="381">
          <cell r="D381">
            <v>40743</v>
          </cell>
          <cell r="E381">
            <v>11.72</v>
          </cell>
          <cell r="G381">
            <v>40743</v>
          </cell>
          <cell r="H381">
            <v>5.42</v>
          </cell>
          <cell r="J381">
            <v>40743</v>
          </cell>
          <cell r="K381">
            <v>4.42</v>
          </cell>
          <cell r="M381">
            <v>40743</v>
          </cell>
          <cell r="N381">
            <v>9.57</v>
          </cell>
          <cell r="P381">
            <v>40743</v>
          </cell>
          <cell r="Q381">
            <v>26.77</v>
          </cell>
        </row>
        <row r="382">
          <cell r="D382">
            <v>40742</v>
          </cell>
          <cell r="E382">
            <v>11.75</v>
          </cell>
          <cell r="G382">
            <v>40742</v>
          </cell>
          <cell r="H382">
            <v>5.31</v>
          </cell>
          <cell r="J382">
            <v>40742</v>
          </cell>
          <cell r="K382">
            <v>4.49</v>
          </cell>
          <cell r="M382">
            <v>40742</v>
          </cell>
          <cell r="N382">
            <v>9.43</v>
          </cell>
          <cell r="P382">
            <v>40742</v>
          </cell>
          <cell r="Q382">
            <v>26.68</v>
          </cell>
        </row>
        <row r="383">
          <cell r="D383">
            <v>40739</v>
          </cell>
          <cell r="E383">
            <v>11.72</v>
          </cell>
          <cell r="G383">
            <v>40739</v>
          </cell>
          <cell r="H383">
            <v>5.39</v>
          </cell>
          <cell r="J383">
            <v>40739</v>
          </cell>
          <cell r="K383">
            <v>4.7</v>
          </cell>
          <cell r="M383">
            <v>40739</v>
          </cell>
          <cell r="N383">
            <v>9.6999999999999993</v>
          </cell>
          <cell r="P383">
            <v>40739</v>
          </cell>
          <cell r="Q383">
            <v>27.52</v>
          </cell>
        </row>
        <row r="384">
          <cell r="D384">
            <v>40738</v>
          </cell>
          <cell r="E384">
            <v>11.59</v>
          </cell>
          <cell r="G384">
            <v>40738</v>
          </cell>
          <cell r="H384">
            <v>5.25</v>
          </cell>
          <cell r="J384">
            <v>40738</v>
          </cell>
          <cell r="K384">
            <v>4.6196000000000002</v>
          </cell>
          <cell r="M384">
            <v>40738</v>
          </cell>
          <cell r="N384">
            <v>9.4499999999999993</v>
          </cell>
          <cell r="P384">
            <v>40738</v>
          </cell>
          <cell r="Q384">
            <v>27.27</v>
          </cell>
        </row>
        <row r="385">
          <cell r="D385">
            <v>40737</v>
          </cell>
          <cell r="E385">
            <v>11.56</v>
          </cell>
          <cell r="G385">
            <v>40737</v>
          </cell>
          <cell r="H385">
            <v>5.34</v>
          </cell>
          <cell r="J385">
            <v>40737</v>
          </cell>
          <cell r="K385">
            <v>4.5599999999999996</v>
          </cell>
          <cell r="M385">
            <v>40737</v>
          </cell>
          <cell r="N385">
            <v>9.6</v>
          </cell>
          <cell r="P385">
            <v>40737</v>
          </cell>
          <cell r="Q385">
            <v>28.15</v>
          </cell>
        </row>
        <row r="386">
          <cell r="D386">
            <v>40736</v>
          </cell>
          <cell r="E386">
            <v>11.25</v>
          </cell>
          <cell r="G386">
            <v>40736</v>
          </cell>
          <cell r="H386">
            <v>5.3</v>
          </cell>
          <cell r="J386">
            <v>40736</v>
          </cell>
          <cell r="K386">
            <v>4.49</v>
          </cell>
          <cell r="M386">
            <v>40736</v>
          </cell>
          <cell r="N386">
            <v>9.64</v>
          </cell>
          <cell r="P386">
            <v>40736</v>
          </cell>
          <cell r="Q386">
            <v>28.48</v>
          </cell>
        </row>
        <row r="387">
          <cell r="D387">
            <v>40735</v>
          </cell>
          <cell r="E387">
            <v>11.34</v>
          </cell>
          <cell r="G387">
            <v>40735</v>
          </cell>
          <cell r="H387">
            <v>5.4</v>
          </cell>
          <cell r="J387">
            <v>40735</v>
          </cell>
          <cell r="K387">
            <v>4.47</v>
          </cell>
          <cell r="M387">
            <v>40735</v>
          </cell>
          <cell r="N387">
            <v>9.67</v>
          </cell>
          <cell r="P387">
            <v>40735</v>
          </cell>
          <cell r="Q387">
            <v>28.05</v>
          </cell>
        </row>
        <row r="388">
          <cell r="D388">
            <v>40732</v>
          </cell>
          <cell r="E388">
            <v>11.56</v>
          </cell>
          <cell r="G388">
            <v>40732</v>
          </cell>
          <cell r="H388">
            <v>5.61</v>
          </cell>
          <cell r="J388">
            <v>40732</v>
          </cell>
          <cell r="K388">
            <v>4.53</v>
          </cell>
          <cell r="M388">
            <v>40732</v>
          </cell>
          <cell r="N388">
            <v>9.77</v>
          </cell>
          <cell r="P388">
            <v>40732</v>
          </cell>
          <cell r="Q388">
            <v>28.98</v>
          </cell>
        </row>
        <row r="389">
          <cell r="D389">
            <v>40731</v>
          </cell>
          <cell r="E389">
            <v>11.6</v>
          </cell>
          <cell r="G389">
            <v>40731</v>
          </cell>
          <cell r="H389">
            <v>5.64</v>
          </cell>
          <cell r="J389">
            <v>40731</v>
          </cell>
          <cell r="K389">
            <v>4.4800000000000004</v>
          </cell>
          <cell r="M389">
            <v>40731</v>
          </cell>
          <cell r="N389">
            <v>9.66</v>
          </cell>
          <cell r="P389">
            <v>40731</v>
          </cell>
          <cell r="Q389">
            <v>29.03</v>
          </cell>
        </row>
        <row r="390">
          <cell r="D390">
            <v>40730</v>
          </cell>
          <cell r="E390">
            <v>11.38</v>
          </cell>
          <cell r="G390">
            <v>40730</v>
          </cell>
          <cell r="H390">
            <v>5.5</v>
          </cell>
          <cell r="J390">
            <v>40730</v>
          </cell>
          <cell r="K390">
            <v>4.38</v>
          </cell>
          <cell r="M390">
            <v>40730</v>
          </cell>
          <cell r="N390">
            <v>9.82</v>
          </cell>
          <cell r="P390">
            <v>40730</v>
          </cell>
          <cell r="Q390">
            <v>27.72</v>
          </cell>
        </row>
        <row r="391">
          <cell r="D391">
            <v>40729</v>
          </cell>
          <cell r="E391">
            <v>11.68</v>
          </cell>
          <cell r="G391">
            <v>40729</v>
          </cell>
          <cell r="H391">
            <v>5.5</v>
          </cell>
          <cell r="J391">
            <v>40729</v>
          </cell>
          <cell r="K391">
            <v>4.57</v>
          </cell>
          <cell r="M391">
            <v>40729</v>
          </cell>
          <cell r="N391">
            <v>9.51</v>
          </cell>
          <cell r="P391">
            <v>40729</v>
          </cell>
          <cell r="Q391">
            <v>28.92</v>
          </cell>
        </row>
        <row r="392">
          <cell r="D392">
            <v>40725</v>
          </cell>
          <cell r="E392">
            <v>11.54</v>
          </cell>
          <cell r="G392">
            <v>40725</v>
          </cell>
          <cell r="H392">
            <v>5.45</v>
          </cell>
          <cell r="J392">
            <v>40725</v>
          </cell>
          <cell r="K392">
            <v>4.57</v>
          </cell>
          <cell r="M392">
            <v>40725</v>
          </cell>
          <cell r="N392">
            <v>9.5500000000000007</v>
          </cell>
          <cell r="P392">
            <v>40725</v>
          </cell>
          <cell r="Q392">
            <v>28.93</v>
          </cell>
        </row>
        <row r="393">
          <cell r="D393">
            <v>40724</v>
          </cell>
          <cell r="E393">
            <v>11.69</v>
          </cell>
          <cell r="G393">
            <v>40724</v>
          </cell>
          <cell r="H393">
            <v>5.48</v>
          </cell>
          <cell r="J393">
            <v>40724</v>
          </cell>
          <cell r="K393">
            <v>4.6500000000000004</v>
          </cell>
          <cell r="M393">
            <v>40724</v>
          </cell>
          <cell r="N393">
            <v>9.73</v>
          </cell>
          <cell r="P393">
            <v>40724</v>
          </cell>
          <cell r="Q393">
            <v>28.85</v>
          </cell>
        </row>
        <row r="394">
          <cell r="D394">
            <v>40723</v>
          </cell>
          <cell r="E394">
            <v>11.57</v>
          </cell>
          <cell r="G394">
            <v>40723</v>
          </cell>
          <cell r="H394">
            <v>5.34</v>
          </cell>
          <cell r="J394">
            <v>40723</v>
          </cell>
          <cell r="K394">
            <v>4.5</v>
          </cell>
          <cell r="M394">
            <v>40723</v>
          </cell>
          <cell r="N394">
            <v>9.81</v>
          </cell>
          <cell r="P394">
            <v>40723</v>
          </cell>
          <cell r="Q394">
            <v>28.78</v>
          </cell>
        </row>
        <row r="395">
          <cell r="D395">
            <v>40722</v>
          </cell>
          <cell r="E395">
            <v>11.64</v>
          </cell>
          <cell r="G395">
            <v>40722</v>
          </cell>
          <cell r="H395">
            <v>5.52</v>
          </cell>
          <cell r="J395">
            <v>40722</v>
          </cell>
          <cell r="K395">
            <v>4.53</v>
          </cell>
          <cell r="M395">
            <v>40722</v>
          </cell>
          <cell r="N395">
            <v>9.9499999999999993</v>
          </cell>
          <cell r="P395">
            <v>40722</v>
          </cell>
          <cell r="Q395">
            <v>28.24</v>
          </cell>
        </row>
        <row r="396">
          <cell r="D396">
            <v>40721</v>
          </cell>
          <cell r="E396">
            <v>11.25</v>
          </cell>
          <cell r="G396">
            <v>40721</v>
          </cell>
          <cell r="H396">
            <v>5.38</v>
          </cell>
          <cell r="J396">
            <v>40721</v>
          </cell>
          <cell r="K396">
            <v>4.54</v>
          </cell>
          <cell r="M396">
            <v>40721</v>
          </cell>
          <cell r="N396">
            <v>9.64</v>
          </cell>
          <cell r="P396">
            <v>40721</v>
          </cell>
          <cell r="Q396">
            <v>28.17</v>
          </cell>
        </row>
        <row r="397">
          <cell r="D397">
            <v>40718</v>
          </cell>
          <cell r="E397">
            <v>11.28</v>
          </cell>
          <cell r="G397">
            <v>40718</v>
          </cell>
          <cell r="H397">
            <v>5.26</v>
          </cell>
          <cell r="J397">
            <v>40718</v>
          </cell>
          <cell r="K397">
            <v>4.55</v>
          </cell>
          <cell r="M397">
            <v>40718</v>
          </cell>
          <cell r="N397">
            <v>9.16</v>
          </cell>
          <cell r="P397">
            <v>40718</v>
          </cell>
          <cell r="Q397">
            <v>28.57</v>
          </cell>
        </row>
        <row r="398">
          <cell r="D398">
            <v>40717</v>
          </cell>
          <cell r="E398">
            <v>11.53</v>
          </cell>
          <cell r="G398">
            <v>40717</v>
          </cell>
          <cell r="H398">
            <v>5.51</v>
          </cell>
          <cell r="J398">
            <v>40717</v>
          </cell>
          <cell r="K398">
            <v>4.45</v>
          </cell>
          <cell r="M398">
            <v>40717</v>
          </cell>
          <cell r="N398">
            <v>9.07</v>
          </cell>
          <cell r="P398">
            <v>40717</v>
          </cell>
          <cell r="Q398">
            <v>29.77</v>
          </cell>
        </row>
        <row r="399">
          <cell r="D399">
            <v>40716</v>
          </cell>
          <cell r="E399">
            <v>11.87</v>
          </cell>
          <cell r="G399">
            <v>40716</v>
          </cell>
          <cell r="H399">
            <v>5.49</v>
          </cell>
          <cell r="J399">
            <v>40716</v>
          </cell>
          <cell r="K399">
            <v>4.6100000000000003</v>
          </cell>
          <cell r="M399">
            <v>40716</v>
          </cell>
          <cell r="N399">
            <v>9.26</v>
          </cell>
          <cell r="P399">
            <v>40716</v>
          </cell>
          <cell r="Q399">
            <v>28.4</v>
          </cell>
        </row>
        <row r="400">
          <cell r="D400">
            <v>40715</v>
          </cell>
          <cell r="E400">
            <v>11.96</v>
          </cell>
          <cell r="G400">
            <v>40715</v>
          </cell>
          <cell r="H400">
            <v>5.7</v>
          </cell>
          <cell r="J400">
            <v>40715</v>
          </cell>
          <cell r="K400">
            <v>4.63</v>
          </cell>
          <cell r="M400">
            <v>40715</v>
          </cell>
          <cell r="N400">
            <v>9.02</v>
          </cell>
          <cell r="P400">
            <v>40715</v>
          </cell>
          <cell r="Q400">
            <v>28.55</v>
          </cell>
        </row>
        <row r="401">
          <cell r="D401">
            <v>40714</v>
          </cell>
          <cell r="E401">
            <v>11.74</v>
          </cell>
          <cell r="G401">
            <v>40714</v>
          </cell>
          <cell r="H401">
            <v>5.53</v>
          </cell>
          <cell r="J401">
            <v>40714</v>
          </cell>
          <cell r="K401">
            <v>4.5</v>
          </cell>
          <cell r="M401">
            <v>40714</v>
          </cell>
          <cell r="N401">
            <v>8.99</v>
          </cell>
          <cell r="P401">
            <v>40714</v>
          </cell>
          <cell r="Q401">
            <v>25.89</v>
          </cell>
        </row>
        <row r="402">
          <cell r="D402">
            <v>40711</v>
          </cell>
          <cell r="E402">
            <v>11.52</v>
          </cell>
          <cell r="G402">
            <v>40711</v>
          </cell>
          <cell r="H402">
            <v>5.75</v>
          </cell>
          <cell r="J402">
            <v>40711</v>
          </cell>
          <cell r="K402">
            <v>4.05</v>
          </cell>
          <cell r="M402">
            <v>40711</v>
          </cell>
          <cell r="N402">
            <v>9.0299999999999994</v>
          </cell>
          <cell r="P402">
            <v>40711</v>
          </cell>
          <cell r="Q402">
            <v>27.75</v>
          </cell>
        </row>
        <row r="403">
          <cell r="D403">
            <v>40710</v>
          </cell>
          <cell r="E403">
            <v>11.4</v>
          </cell>
          <cell r="G403">
            <v>40710</v>
          </cell>
          <cell r="H403">
            <v>5.64</v>
          </cell>
          <cell r="J403">
            <v>40710</v>
          </cell>
          <cell r="K403">
            <v>4.17</v>
          </cell>
          <cell r="M403">
            <v>40710</v>
          </cell>
          <cell r="N403">
            <v>9.3000000000000007</v>
          </cell>
          <cell r="P403">
            <v>40710</v>
          </cell>
          <cell r="Q403">
            <v>35.33</v>
          </cell>
        </row>
        <row r="404">
          <cell r="D404">
            <v>40709</v>
          </cell>
          <cell r="E404">
            <v>11.14</v>
          </cell>
          <cell r="G404">
            <v>40709</v>
          </cell>
          <cell r="H404">
            <v>5.3</v>
          </cell>
          <cell r="J404">
            <v>40709</v>
          </cell>
          <cell r="K404">
            <v>4.12</v>
          </cell>
          <cell r="M404">
            <v>40709</v>
          </cell>
          <cell r="N404">
            <v>9.51</v>
          </cell>
          <cell r="P404">
            <v>40709</v>
          </cell>
          <cell r="Q404">
            <v>35.17</v>
          </cell>
        </row>
        <row r="405">
          <cell r="D405">
            <v>40708</v>
          </cell>
          <cell r="E405">
            <v>11.23</v>
          </cell>
          <cell r="G405">
            <v>40708</v>
          </cell>
          <cell r="H405">
            <v>4.9800000000000004</v>
          </cell>
          <cell r="J405">
            <v>40708</v>
          </cell>
          <cell r="K405">
            <v>4.1500000000000004</v>
          </cell>
          <cell r="M405">
            <v>40708</v>
          </cell>
          <cell r="N405">
            <v>9.6300000000000008</v>
          </cell>
          <cell r="P405">
            <v>40708</v>
          </cell>
          <cell r="Q405">
            <v>35.76</v>
          </cell>
        </row>
        <row r="406">
          <cell r="D406">
            <v>40707</v>
          </cell>
          <cell r="E406">
            <v>11.13</v>
          </cell>
          <cell r="G406">
            <v>40707</v>
          </cell>
          <cell r="H406">
            <v>4.9400000000000004</v>
          </cell>
          <cell r="J406">
            <v>40707</v>
          </cell>
          <cell r="K406">
            <v>4.26</v>
          </cell>
          <cell r="M406">
            <v>40707</v>
          </cell>
          <cell r="N406">
            <v>9.73</v>
          </cell>
          <cell r="P406">
            <v>40707</v>
          </cell>
          <cell r="Q406">
            <v>36.200000000000003</v>
          </cell>
        </row>
        <row r="407">
          <cell r="D407">
            <v>40704</v>
          </cell>
          <cell r="E407">
            <v>11.38</v>
          </cell>
          <cell r="G407">
            <v>40704</v>
          </cell>
          <cell r="H407">
            <v>5.01</v>
          </cell>
          <cell r="J407">
            <v>40704</v>
          </cell>
          <cell r="K407">
            <v>4.3898999999999999</v>
          </cell>
          <cell r="M407">
            <v>40704</v>
          </cell>
          <cell r="N407">
            <v>10.145</v>
          </cell>
          <cell r="P407">
            <v>40704</v>
          </cell>
          <cell r="Q407">
            <v>36.56</v>
          </cell>
        </row>
        <row r="408">
          <cell r="D408">
            <v>40703</v>
          </cell>
          <cell r="E408">
            <v>11.43</v>
          </cell>
          <cell r="G408">
            <v>40703</v>
          </cell>
          <cell r="H408">
            <v>5.19</v>
          </cell>
          <cell r="J408">
            <v>40703</v>
          </cell>
          <cell r="K408">
            <v>4.45</v>
          </cell>
          <cell r="M408">
            <v>40703</v>
          </cell>
          <cell r="N408">
            <v>9.92</v>
          </cell>
          <cell r="P408">
            <v>40703</v>
          </cell>
          <cell r="Q408">
            <v>37.609000000000002</v>
          </cell>
        </row>
        <row r="409">
          <cell r="D409">
            <v>40702</v>
          </cell>
          <cell r="E409">
            <v>11.24</v>
          </cell>
          <cell r="G409">
            <v>40702</v>
          </cell>
          <cell r="H409">
            <v>5.15</v>
          </cell>
          <cell r="J409">
            <v>40702</v>
          </cell>
          <cell r="K409">
            <v>4.3600000000000003</v>
          </cell>
          <cell r="M409">
            <v>40702</v>
          </cell>
          <cell r="N409">
            <v>9.6999999999999993</v>
          </cell>
          <cell r="P409">
            <v>40702</v>
          </cell>
          <cell r="Q409">
            <v>36.729999999999997</v>
          </cell>
        </row>
        <row r="410">
          <cell r="D410">
            <v>40701</v>
          </cell>
          <cell r="E410">
            <v>11.64</v>
          </cell>
          <cell r="G410">
            <v>40701</v>
          </cell>
          <cell r="H410">
            <v>5.43</v>
          </cell>
          <cell r="J410">
            <v>40701</v>
          </cell>
          <cell r="K410">
            <v>4.5991</v>
          </cell>
          <cell r="M410">
            <v>40701</v>
          </cell>
          <cell r="N410">
            <v>9.9499999999999993</v>
          </cell>
          <cell r="P410">
            <v>40701</v>
          </cell>
          <cell r="Q410">
            <v>37.82</v>
          </cell>
        </row>
        <row r="411">
          <cell r="D411">
            <v>40700</v>
          </cell>
          <cell r="E411">
            <v>11.52</v>
          </cell>
          <cell r="G411">
            <v>40700</v>
          </cell>
          <cell r="H411">
            <v>5.18</v>
          </cell>
          <cell r="J411">
            <v>40700</v>
          </cell>
          <cell r="K411">
            <v>4.75</v>
          </cell>
          <cell r="M411">
            <v>40700</v>
          </cell>
          <cell r="N411">
            <v>9.86</v>
          </cell>
          <cell r="P411">
            <v>40700</v>
          </cell>
          <cell r="Q411">
            <v>38.909999999999997</v>
          </cell>
        </row>
        <row r="412">
          <cell r="D412">
            <v>40697</v>
          </cell>
          <cell r="E412">
            <v>11.6</v>
          </cell>
          <cell r="G412">
            <v>40697</v>
          </cell>
          <cell r="H412">
            <v>5.39</v>
          </cell>
          <cell r="J412">
            <v>40697</v>
          </cell>
          <cell r="K412">
            <v>4.7709999999999999</v>
          </cell>
          <cell r="M412">
            <v>40697</v>
          </cell>
          <cell r="N412">
            <v>9.94</v>
          </cell>
          <cell r="P412">
            <v>40697</v>
          </cell>
          <cell r="Q412">
            <v>38.979999999999997</v>
          </cell>
        </row>
        <row r="413">
          <cell r="D413">
            <v>40696</v>
          </cell>
          <cell r="E413">
            <v>11.69</v>
          </cell>
          <cell r="G413">
            <v>40696</v>
          </cell>
          <cell r="H413">
            <v>5.25</v>
          </cell>
          <cell r="J413">
            <v>40696</v>
          </cell>
          <cell r="K413">
            <v>4.59</v>
          </cell>
          <cell r="M413">
            <v>40696</v>
          </cell>
          <cell r="N413">
            <v>10.01</v>
          </cell>
          <cell r="P413">
            <v>40696</v>
          </cell>
          <cell r="Q413">
            <v>40.43</v>
          </cell>
        </row>
        <row r="414">
          <cell r="D414">
            <v>40695</v>
          </cell>
          <cell r="E414">
            <v>11.68</v>
          </cell>
          <cell r="G414">
            <v>40695</v>
          </cell>
          <cell r="H414">
            <v>5.18</v>
          </cell>
          <cell r="J414">
            <v>40695</v>
          </cell>
          <cell r="K414">
            <v>4.6527000000000003</v>
          </cell>
          <cell r="M414">
            <v>40695</v>
          </cell>
          <cell r="N414">
            <v>9.61</v>
          </cell>
          <cell r="P414">
            <v>40695</v>
          </cell>
          <cell r="Q414">
            <v>40.299999999999997</v>
          </cell>
        </row>
        <row r="415">
          <cell r="D415">
            <v>40694</v>
          </cell>
          <cell r="E415">
            <v>12.25</v>
          </cell>
          <cell r="G415">
            <v>40694</v>
          </cell>
          <cell r="H415">
            <v>5.34</v>
          </cell>
          <cell r="J415">
            <v>40694</v>
          </cell>
          <cell r="K415">
            <v>4.4800000000000004</v>
          </cell>
          <cell r="M415">
            <v>40694</v>
          </cell>
          <cell r="N415">
            <v>9.74</v>
          </cell>
          <cell r="P415">
            <v>40694</v>
          </cell>
          <cell r="Q415">
            <v>42.85</v>
          </cell>
        </row>
        <row r="416">
          <cell r="D416">
            <v>40690</v>
          </cell>
          <cell r="E416">
            <v>12.19</v>
          </cell>
          <cell r="G416">
            <v>40690</v>
          </cell>
          <cell r="H416">
            <v>5.01</v>
          </cell>
          <cell r="J416">
            <v>40690</v>
          </cell>
          <cell r="K416">
            <v>4.53</v>
          </cell>
          <cell r="M416">
            <v>40690</v>
          </cell>
          <cell r="N416">
            <v>9.86</v>
          </cell>
          <cell r="P416">
            <v>40690</v>
          </cell>
          <cell r="Q416">
            <v>43.6</v>
          </cell>
        </row>
        <row r="417">
          <cell r="D417">
            <v>40689</v>
          </cell>
          <cell r="E417">
            <v>12.2</v>
          </cell>
          <cell r="G417">
            <v>40689</v>
          </cell>
          <cell r="H417">
            <v>5.0599999999999996</v>
          </cell>
          <cell r="J417">
            <v>40689</v>
          </cell>
          <cell r="K417">
            <v>4.24</v>
          </cell>
          <cell r="M417">
            <v>40689</v>
          </cell>
          <cell r="N417">
            <v>9.82</v>
          </cell>
          <cell r="P417">
            <v>40689</v>
          </cell>
          <cell r="Q417">
            <v>43.57</v>
          </cell>
        </row>
        <row r="418">
          <cell r="D418">
            <v>40688</v>
          </cell>
          <cell r="E418">
            <v>11.72</v>
          </cell>
          <cell r="G418">
            <v>40688</v>
          </cell>
          <cell r="H418">
            <v>4.95</v>
          </cell>
          <cell r="J418">
            <v>40688</v>
          </cell>
          <cell r="K418">
            <v>4.29</v>
          </cell>
          <cell r="M418">
            <v>40688</v>
          </cell>
          <cell r="N418">
            <v>9.94</v>
          </cell>
          <cell r="P418">
            <v>40688</v>
          </cell>
          <cell r="Q418">
            <v>43.14</v>
          </cell>
        </row>
        <row r="419">
          <cell r="D419">
            <v>40687</v>
          </cell>
          <cell r="E419">
            <v>11.44</v>
          </cell>
          <cell r="G419">
            <v>40687</v>
          </cell>
          <cell r="H419">
            <v>5</v>
          </cell>
          <cell r="J419">
            <v>40687</v>
          </cell>
          <cell r="K419">
            <v>4.21</v>
          </cell>
          <cell r="M419">
            <v>40687</v>
          </cell>
          <cell r="N419">
            <v>10.06</v>
          </cell>
          <cell r="P419">
            <v>40687</v>
          </cell>
          <cell r="Q419">
            <v>43.11</v>
          </cell>
        </row>
        <row r="420">
          <cell r="D420">
            <v>40686</v>
          </cell>
          <cell r="E420">
            <v>11.12</v>
          </cell>
          <cell r="G420">
            <v>40686</v>
          </cell>
          <cell r="H420">
            <v>4.8499999999999996</v>
          </cell>
          <cell r="J420">
            <v>40686</v>
          </cell>
          <cell r="K420">
            <v>4.18</v>
          </cell>
          <cell r="M420">
            <v>40686</v>
          </cell>
          <cell r="N420">
            <v>9.91</v>
          </cell>
          <cell r="P420">
            <v>40686</v>
          </cell>
          <cell r="Q420">
            <v>43.52</v>
          </cell>
        </row>
        <row r="421">
          <cell r="D421">
            <v>40683</v>
          </cell>
          <cell r="E421">
            <v>11.31</v>
          </cell>
          <cell r="G421">
            <v>40683</v>
          </cell>
          <cell r="H421">
            <v>5</v>
          </cell>
          <cell r="J421">
            <v>40683</v>
          </cell>
          <cell r="K421">
            <v>4.2699999999999996</v>
          </cell>
          <cell r="M421">
            <v>40683</v>
          </cell>
          <cell r="N421">
            <v>9.9600000000000009</v>
          </cell>
          <cell r="P421">
            <v>40683</v>
          </cell>
          <cell r="Q421">
            <v>43.52</v>
          </cell>
        </row>
        <row r="422">
          <cell r="D422">
            <v>40682</v>
          </cell>
          <cell r="E422">
            <v>11.35</v>
          </cell>
          <cell r="G422">
            <v>40682</v>
          </cell>
          <cell r="H422">
            <v>5.0999999999999996</v>
          </cell>
          <cell r="J422">
            <v>40682</v>
          </cell>
          <cell r="K422">
            <v>4.21</v>
          </cell>
          <cell r="M422">
            <v>40682</v>
          </cell>
          <cell r="N422">
            <v>9.93</v>
          </cell>
          <cell r="P422">
            <v>40682</v>
          </cell>
          <cell r="Q422">
            <v>44.23</v>
          </cell>
        </row>
        <row r="423">
          <cell r="D423">
            <v>40681</v>
          </cell>
          <cell r="E423">
            <v>11.39</v>
          </cell>
          <cell r="G423">
            <v>40681</v>
          </cell>
          <cell r="H423">
            <v>4.99</v>
          </cell>
          <cell r="J423">
            <v>40681</v>
          </cell>
          <cell r="K423">
            <v>4.25</v>
          </cell>
          <cell r="M423">
            <v>40681</v>
          </cell>
          <cell r="N423">
            <v>9.9499999999999993</v>
          </cell>
          <cell r="P423">
            <v>40681</v>
          </cell>
          <cell r="Q423">
            <v>45.43</v>
          </cell>
        </row>
        <row r="424">
          <cell r="D424">
            <v>40680</v>
          </cell>
          <cell r="E424">
            <v>11.11</v>
          </cell>
          <cell r="G424">
            <v>40680</v>
          </cell>
          <cell r="H424">
            <v>5.05</v>
          </cell>
          <cell r="J424">
            <v>40680</v>
          </cell>
          <cell r="K424">
            <v>4.25</v>
          </cell>
          <cell r="M424">
            <v>40680</v>
          </cell>
          <cell r="N424">
            <v>10.02</v>
          </cell>
          <cell r="P424">
            <v>40680</v>
          </cell>
          <cell r="Q424">
            <v>43.78</v>
          </cell>
        </row>
        <row r="425">
          <cell r="D425">
            <v>40679</v>
          </cell>
          <cell r="E425">
            <v>11.26</v>
          </cell>
          <cell r="G425">
            <v>40679</v>
          </cell>
          <cell r="H425">
            <v>5.08</v>
          </cell>
          <cell r="J425">
            <v>40679</v>
          </cell>
          <cell r="K425">
            <v>4.4000000000000004</v>
          </cell>
          <cell r="M425">
            <v>40679</v>
          </cell>
          <cell r="N425">
            <v>9.75</v>
          </cell>
          <cell r="P425">
            <v>40679</v>
          </cell>
          <cell r="Q425">
            <v>42.86</v>
          </cell>
        </row>
        <row r="426">
          <cell r="D426">
            <v>40676</v>
          </cell>
          <cell r="E426">
            <v>11.33</v>
          </cell>
          <cell r="G426">
            <v>40676</v>
          </cell>
          <cell r="H426">
            <v>5.19</v>
          </cell>
          <cell r="J426">
            <v>40676</v>
          </cell>
          <cell r="K426">
            <v>4.58</v>
          </cell>
          <cell r="M426">
            <v>40676</v>
          </cell>
          <cell r="N426">
            <v>9.85</v>
          </cell>
          <cell r="P426">
            <v>40676</v>
          </cell>
          <cell r="Q426">
            <v>43.24</v>
          </cell>
        </row>
        <row r="427">
          <cell r="D427">
            <v>40675</v>
          </cell>
          <cell r="E427">
            <v>11.17</v>
          </cell>
          <cell r="G427">
            <v>40675</v>
          </cell>
          <cell r="H427">
            <v>5.37</v>
          </cell>
          <cell r="J427">
            <v>40675</v>
          </cell>
          <cell r="K427">
            <v>4.57</v>
          </cell>
          <cell r="M427">
            <v>40675</v>
          </cell>
          <cell r="N427">
            <v>9.9499999999999993</v>
          </cell>
          <cell r="P427">
            <v>40675</v>
          </cell>
          <cell r="Q427">
            <v>43.79</v>
          </cell>
        </row>
        <row r="428">
          <cell r="D428">
            <v>40674</v>
          </cell>
          <cell r="E428">
            <v>10.98</v>
          </cell>
          <cell r="G428">
            <v>40674</v>
          </cell>
          <cell r="H428">
            <v>5.38</v>
          </cell>
          <cell r="J428">
            <v>40674</v>
          </cell>
          <cell r="K428">
            <v>4.5860000000000003</v>
          </cell>
          <cell r="M428">
            <v>40674</v>
          </cell>
          <cell r="N428">
            <v>9.52</v>
          </cell>
          <cell r="P428">
            <v>40674</v>
          </cell>
          <cell r="Q428">
            <v>44.18</v>
          </cell>
        </row>
        <row r="429">
          <cell r="D429">
            <v>40673</v>
          </cell>
          <cell r="E429">
            <v>10.8</v>
          </cell>
          <cell r="G429">
            <v>40673</v>
          </cell>
          <cell r="H429">
            <v>5.62</v>
          </cell>
          <cell r="J429">
            <v>40673</v>
          </cell>
          <cell r="K429">
            <v>4.5599999999999996</v>
          </cell>
          <cell r="M429">
            <v>40673</v>
          </cell>
          <cell r="N429">
            <v>9.5500000000000007</v>
          </cell>
          <cell r="P429">
            <v>40673</v>
          </cell>
          <cell r="Q429">
            <v>45.26</v>
          </cell>
        </row>
        <row r="430">
          <cell r="D430">
            <v>40672</v>
          </cell>
          <cell r="E430">
            <v>10.9</v>
          </cell>
          <cell r="G430">
            <v>40672</v>
          </cell>
          <cell r="H430">
            <v>5.48</v>
          </cell>
          <cell r="J430">
            <v>40672</v>
          </cell>
          <cell r="K430">
            <v>4.38</v>
          </cell>
          <cell r="M430">
            <v>40672</v>
          </cell>
          <cell r="N430">
            <v>9.34</v>
          </cell>
          <cell r="P430">
            <v>40672</v>
          </cell>
          <cell r="Q430">
            <v>45.01</v>
          </cell>
        </row>
        <row r="431">
          <cell r="D431">
            <v>40669</v>
          </cell>
          <cell r="E431">
            <v>10.84</v>
          </cell>
          <cell r="G431">
            <v>40669</v>
          </cell>
          <cell r="H431">
            <v>5.46</v>
          </cell>
          <cell r="J431">
            <v>40669</v>
          </cell>
          <cell r="K431">
            <v>4.25</v>
          </cell>
          <cell r="M431">
            <v>40669</v>
          </cell>
          <cell r="N431">
            <v>9.44</v>
          </cell>
          <cell r="P431">
            <v>40669</v>
          </cell>
          <cell r="Q431">
            <v>45.99</v>
          </cell>
        </row>
        <row r="432">
          <cell r="D432">
            <v>40668</v>
          </cell>
          <cell r="E432">
            <v>10.82</v>
          </cell>
          <cell r="G432">
            <v>40668</v>
          </cell>
          <cell r="H432">
            <v>5.5</v>
          </cell>
          <cell r="J432">
            <v>40668</v>
          </cell>
          <cell r="K432">
            <v>4.1500000000000004</v>
          </cell>
          <cell r="M432">
            <v>40668</v>
          </cell>
          <cell r="N432">
            <v>9.36</v>
          </cell>
          <cell r="P432">
            <v>40668</v>
          </cell>
          <cell r="Q432">
            <v>47.29</v>
          </cell>
        </row>
        <row r="433">
          <cell r="D433">
            <v>40667</v>
          </cell>
          <cell r="E433">
            <v>10.95</v>
          </cell>
          <cell r="G433">
            <v>40667</v>
          </cell>
          <cell r="H433">
            <v>5.75</v>
          </cell>
          <cell r="J433">
            <v>40667</v>
          </cell>
          <cell r="K433">
            <v>4.22</v>
          </cell>
          <cell r="M433">
            <v>40667</v>
          </cell>
          <cell r="N433">
            <v>9.4499999999999993</v>
          </cell>
          <cell r="P433">
            <v>40667</v>
          </cell>
          <cell r="Q433">
            <v>47.37</v>
          </cell>
        </row>
        <row r="434">
          <cell r="D434">
            <v>40666</v>
          </cell>
          <cell r="E434">
            <v>11.25</v>
          </cell>
          <cell r="G434">
            <v>40666</v>
          </cell>
          <cell r="H434">
            <v>5.92</v>
          </cell>
          <cell r="J434">
            <v>40666</v>
          </cell>
          <cell r="K434">
            <v>4.22</v>
          </cell>
          <cell r="M434">
            <v>40666</v>
          </cell>
          <cell r="N434">
            <v>9.6</v>
          </cell>
          <cell r="P434">
            <v>40666</v>
          </cell>
          <cell r="Q434">
            <v>48.24</v>
          </cell>
        </row>
        <row r="435">
          <cell r="D435">
            <v>40665</v>
          </cell>
          <cell r="E435">
            <v>11.5</v>
          </cell>
          <cell r="G435">
            <v>40665</v>
          </cell>
          <cell r="H435">
            <v>6.1</v>
          </cell>
          <cell r="J435">
            <v>40665</v>
          </cell>
          <cell r="K435">
            <v>4.3</v>
          </cell>
          <cell r="M435">
            <v>40665</v>
          </cell>
          <cell r="N435">
            <v>9.99</v>
          </cell>
          <cell r="P435">
            <v>40665</v>
          </cell>
          <cell r="Q435">
            <v>48.100999999999999</v>
          </cell>
        </row>
        <row r="436">
          <cell r="D436">
            <v>40662</v>
          </cell>
          <cell r="E436">
            <v>11.85</v>
          </cell>
          <cell r="G436">
            <v>40662</v>
          </cell>
          <cell r="H436">
            <v>6.2</v>
          </cell>
          <cell r="J436">
            <v>40662</v>
          </cell>
          <cell r="K436">
            <v>4.4800000000000004</v>
          </cell>
          <cell r="M436">
            <v>40662</v>
          </cell>
          <cell r="N436">
            <v>9.75</v>
          </cell>
          <cell r="P436">
            <v>40662</v>
          </cell>
          <cell r="Q436">
            <v>48.65</v>
          </cell>
        </row>
        <row r="437">
          <cell r="D437">
            <v>40661</v>
          </cell>
          <cell r="E437">
            <v>11.84</v>
          </cell>
          <cell r="G437">
            <v>40661</v>
          </cell>
          <cell r="H437">
            <v>6.14</v>
          </cell>
          <cell r="J437">
            <v>40661</v>
          </cell>
          <cell r="K437">
            <v>4.46</v>
          </cell>
          <cell r="M437">
            <v>40661</v>
          </cell>
          <cell r="N437">
            <v>10.02</v>
          </cell>
          <cell r="P437">
            <v>40661</v>
          </cell>
          <cell r="Q437">
            <v>56.59</v>
          </cell>
        </row>
        <row r="438">
          <cell r="D438">
            <v>40660</v>
          </cell>
          <cell r="E438">
            <v>11.92</v>
          </cell>
          <cell r="G438">
            <v>40660</v>
          </cell>
          <cell r="H438">
            <v>6.1</v>
          </cell>
          <cell r="J438">
            <v>40660</v>
          </cell>
          <cell r="K438">
            <v>4.5599999999999996</v>
          </cell>
          <cell r="M438">
            <v>40660</v>
          </cell>
          <cell r="N438">
            <v>10.29</v>
          </cell>
          <cell r="P438">
            <v>40660</v>
          </cell>
          <cell r="Q438">
            <v>55.57</v>
          </cell>
        </row>
        <row r="439">
          <cell r="D439">
            <v>40659</v>
          </cell>
          <cell r="E439">
            <v>11.93</v>
          </cell>
          <cell r="G439">
            <v>40659</v>
          </cell>
          <cell r="H439">
            <v>5.85</v>
          </cell>
          <cell r="J439">
            <v>40659</v>
          </cell>
          <cell r="K439">
            <v>4.5999999999999996</v>
          </cell>
          <cell r="M439">
            <v>40659</v>
          </cell>
          <cell r="N439">
            <v>10.33</v>
          </cell>
          <cell r="P439">
            <v>40659</v>
          </cell>
          <cell r="Q439">
            <v>55.2</v>
          </cell>
        </row>
        <row r="440">
          <cell r="D440">
            <v>40658</v>
          </cell>
          <cell r="E440">
            <v>11.66</v>
          </cell>
          <cell r="G440">
            <v>40658</v>
          </cell>
          <cell r="H440">
            <v>5.7450000000000001</v>
          </cell>
          <cell r="J440">
            <v>40658</v>
          </cell>
          <cell r="K440">
            <v>4.5599999999999996</v>
          </cell>
          <cell r="M440">
            <v>40658</v>
          </cell>
          <cell r="N440">
            <v>10.76</v>
          </cell>
          <cell r="P440">
            <v>40658</v>
          </cell>
          <cell r="Q440">
            <v>53.44</v>
          </cell>
        </row>
        <row r="441">
          <cell r="D441">
            <v>40654</v>
          </cell>
          <cell r="E441">
            <v>11.54</v>
          </cell>
          <cell r="G441">
            <v>40654</v>
          </cell>
          <cell r="H441">
            <v>5.67</v>
          </cell>
          <cell r="J441">
            <v>40654</v>
          </cell>
          <cell r="K441">
            <v>4.66</v>
          </cell>
          <cell r="M441">
            <v>40654</v>
          </cell>
          <cell r="N441">
            <v>10.44</v>
          </cell>
          <cell r="P441">
            <v>40654</v>
          </cell>
          <cell r="Q441">
            <v>53.77</v>
          </cell>
        </row>
        <row r="442">
          <cell r="D442">
            <v>40653</v>
          </cell>
          <cell r="E442">
            <v>11.48</v>
          </cell>
          <cell r="G442">
            <v>40653</v>
          </cell>
          <cell r="H442">
            <v>4.8899999999999997</v>
          </cell>
          <cell r="J442">
            <v>40653</v>
          </cell>
          <cell r="K442">
            <v>4.6399999999999997</v>
          </cell>
          <cell r="M442">
            <v>40653</v>
          </cell>
          <cell r="N442">
            <v>9.61</v>
          </cell>
          <cell r="P442">
            <v>40653</v>
          </cell>
          <cell r="Q442">
            <v>54.46</v>
          </cell>
        </row>
        <row r="443">
          <cell r="D443">
            <v>40652</v>
          </cell>
          <cell r="E443">
            <v>11.47</v>
          </cell>
          <cell r="G443">
            <v>40652</v>
          </cell>
          <cell r="H443">
            <v>4.97</v>
          </cell>
          <cell r="J443">
            <v>40652</v>
          </cell>
          <cell r="K443">
            <v>4.7300000000000004</v>
          </cell>
          <cell r="M443">
            <v>40652</v>
          </cell>
          <cell r="N443">
            <v>9.57</v>
          </cell>
          <cell r="P443">
            <v>40652</v>
          </cell>
          <cell r="Q443">
            <v>53.22</v>
          </cell>
        </row>
        <row r="444">
          <cell r="D444">
            <v>40651</v>
          </cell>
          <cell r="E444">
            <v>11.25</v>
          </cell>
          <cell r="G444">
            <v>40651</v>
          </cell>
          <cell r="H444">
            <v>4.99</v>
          </cell>
          <cell r="J444">
            <v>40651</v>
          </cell>
          <cell r="K444">
            <v>4.5199999999999996</v>
          </cell>
          <cell r="M444">
            <v>40651</v>
          </cell>
          <cell r="N444">
            <v>9.6199999999999992</v>
          </cell>
          <cell r="P444">
            <v>40651</v>
          </cell>
          <cell r="Q444">
            <v>54.83</v>
          </cell>
        </row>
        <row r="445">
          <cell r="D445">
            <v>40648</v>
          </cell>
          <cell r="E445">
            <v>11.26</v>
          </cell>
          <cell r="G445">
            <v>40648</v>
          </cell>
          <cell r="H445">
            <v>5.1100000000000003</v>
          </cell>
          <cell r="J445">
            <v>40648</v>
          </cell>
          <cell r="K445">
            <v>4.43</v>
          </cell>
          <cell r="M445">
            <v>40648</v>
          </cell>
          <cell r="N445">
            <v>9.7200000000000006</v>
          </cell>
          <cell r="P445">
            <v>40648</v>
          </cell>
          <cell r="Q445">
            <v>53.4</v>
          </cell>
        </row>
        <row r="446">
          <cell r="D446">
            <v>40647</v>
          </cell>
          <cell r="E446">
            <v>11.1</v>
          </cell>
          <cell r="G446">
            <v>40647</v>
          </cell>
          <cell r="H446">
            <v>5.15</v>
          </cell>
          <cell r="J446">
            <v>40647</v>
          </cell>
          <cell r="K446">
            <v>4.4100999999999999</v>
          </cell>
          <cell r="M446">
            <v>40647</v>
          </cell>
          <cell r="N446">
            <v>9.75</v>
          </cell>
          <cell r="P446">
            <v>40647</v>
          </cell>
          <cell r="Q446">
            <v>53.92</v>
          </cell>
        </row>
        <row r="447">
          <cell r="D447">
            <v>40646</v>
          </cell>
          <cell r="E447">
            <v>11.01</v>
          </cell>
          <cell r="G447">
            <v>40646</v>
          </cell>
          <cell r="H447">
            <v>5.01</v>
          </cell>
          <cell r="J447">
            <v>40646</v>
          </cell>
          <cell r="K447">
            <v>4.3899999999999997</v>
          </cell>
          <cell r="M447">
            <v>40646</v>
          </cell>
          <cell r="N447">
            <v>9.6199999999999992</v>
          </cell>
          <cell r="P447">
            <v>40646</v>
          </cell>
          <cell r="Q447">
            <v>54.83</v>
          </cell>
        </row>
        <row r="448">
          <cell r="D448">
            <v>40645</v>
          </cell>
          <cell r="E448">
            <v>10.99</v>
          </cell>
          <cell r="G448">
            <v>40645</v>
          </cell>
          <cell r="H448">
            <v>5.0599999999999996</v>
          </cell>
          <cell r="J448">
            <v>40645</v>
          </cell>
          <cell r="K448">
            <v>4.5</v>
          </cell>
          <cell r="M448">
            <v>40645</v>
          </cell>
          <cell r="N448">
            <v>9.56</v>
          </cell>
          <cell r="P448">
            <v>40645</v>
          </cell>
          <cell r="Q448">
            <v>53.72</v>
          </cell>
        </row>
        <row r="449">
          <cell r="D449">
            <v>40644</v>
          </cell>
          <cell r="E449">
            <v>11.28</v>
          </cell>
          <cell r="G449">
            <v>40644</v>
          </cell>
          <cell r="H449">
            <v>5.0599999999999996</v>
          </cell>
          <cell r="J449">
            <v>40644</v>
          </cell>
          <cell r="K449">
            <v>4.74</v>
          </cell>
          <cell r="M449">
            <v>40644</v>
          </cell>
          <cell r="N449">
            <v>9.57</v>
          </cell>
          <cell r="P449">
            <v>40644</v>
          </cell>
          <cell r="Q449">
            <v>54.645000000000003</v>
          </cell>
        </row>
        <row r="450">
          <cell r="D450">
            <v>40641</v>
          </cell>
          <cell r="E450">
            <v>11.23</v>
          </cell>
          <cell r="G450">
            <v>40641</v>
          </cell>
          <cell r="H450">
            <v>5.18</v>
          </cell>
          <cell r="J450">
            <v>40641</v>
          </cell>
          <cell r="K450">
            <v>4.7</v>
          </cell>
          <cell r="M450">
            <v>40641</v>
          </cell>
          <cell r="N450">
            <v>9.83</v>
          </cell>
          <cell r="P450">
            <v>40641</v>
          </cell>
          <cell r="Q450">
            <v>54.78</v>
          </cell>
        </row>
        <row r="451">
          <cell r="D451">
            <v>40640</v>
          </cell>
          <cell r="E451">
            <v>11.2</v>
          </cell>
          <cell r="G451">
            <v>40640</v>
          </cell>
          <cell r="H451">
            <v>5.08</v>
          </cell>
          <cell r="J451">
            <v>40640</v>
          </cell>
          <cell r="K451">
            <v>4.74</v>
          </cell>
          <cell r="M451">
            <v>40640</v>
          </cell>
          <cell r="N451">
            <v>9.84</v>
          </cell>
          <cell r="P451">
            <v>40640</v>
          </cell>
          <cell r="Q451">
            <v>55.13</v>
          </cell>
        </row>
        <row r="452">
          <cell r="D452">
            <v>40639</v>
          </cell>
          <cell r="E452">
            <v>11.24</v>
          </cell>
          <cell r="G452">
            <v>40639</v>
          </cell>
          <cell r="H452">
            <v>5.09</v>
          </cell>
          <cell r="J452">
            <v>40639</v>
          </cell>
          <cell r="K452">
            <v>4.7300000000000004</v>
          </cell>
          <cell r="M452">
            <v>40639</v>
          </cell>
          <cell r="N452">
            <v>9.7799999999999994</v>
          </cell>
          <cell r="P452">
            <v>40639</v>
          </cell>
          <cell r="Q452">
            <v>55.707999999999998</v>
          </cell>
        </row>
        <row r="453">
          <cell r="D453">
            <v>40638</v>
          </cell>
          <cell r="E453">
            <v>11.11</v>
          </cell>
          <cell r="G453">
            <v>40638</v>
          </cell>
          <cell r="H453">
            <v>5.1100000000000003</v>
          </cell>
          <cell r="J453">
            <v>40638</v>
          </cell>
          <cell r="K453">
            <v>4.7300000000000004</v>
          </cell>
          <cell r="M453">
            <v>40638</v>
          </cell>
          <cell r="N453">
            <v>9.6300000000000008</v>
          </cell>
          <cell r="P453">
            <v>40638</v>
          </cell>
          <cell r="Q453">
            <v>54.4</v>
          </cell>
        </row>
        <row r="454">
          <cell r="D454">
            <v>40637</v>
          </cell>
          <cell r="E454">
            <v>11.04</v>
          </cell>
          <cell r="G454">
            <v>40637</v>
          </cell>
          <cell r="H454">
            <v>5.12</v>
          </cell>
          <cell r="J454">
            <v>40637</v>
          </cell>
          <cell r="K454">
            <v>4.67</v>
          </cell>
          <cell r="M454">
            <v>40637</v>
          </cell>
          <cell r="N454">
            <v>9.61</v>
          </cell>
          <cell r="P454">
            <v>40637</v>
          </cell>
          <cell r="Q454">
            <v>54.786000000000001</v>
          </cell>
        </row>
        <row r="455">
          <cell r="D455">
            <v>40634</v>
          </cell>
          <cell r="E455">
            <v>10.98</v>
          </cell>
          <cell r="G455">
            <v>40634</v>
          </cell>
          <cell r="H455">
            <v>5.25</v>
          </cell>
          <cell r="J455">
            <v>40634</v>
          </cell>
          <cell r="K455">
            <v>4.68</v>
          </cell>
          <cell r="M455">
            <v>40634</v>
          </cell>
          <cell r="N455">
            <v>9.82</v>
          </cell>
          <cell r="P455">
            <v>40634</v>
          </cell>
          <cell r="Q455">
            <v>56.08</v>
          </cell>
        </row>
        <row r="456">
          <cell r="D456">
            <v>40633</v>
          </cell>
          <cell r="E456">
            <v>10.93</v>
          </cell>
          <cell r="G456">
            <v>40633</v>
          </cell>
          <cell r="H456">
            <v>5.46</v>
          </cell>
          <cell r="J456">
            <v>40633</v>
          </cell>
          <cell r="K456">
            <v>4.5999999999999996</v>
          </cell>
          <cell r="M456">
            <v>40633</v>
          </cell>
          <cell r="N456">
            <v>9.8614999999999995</v>
          </cell>
          <cell r="P456">
            <v>40633</v>
          </cell>
          <cell r="Q456">
            <v>56.54</v>
          </cell>
        </row>
        <row r="457">
          <cell r="D457">
            <v>40632</v>
          </cell>
          <cell r="E457">
            <v>10.9</v>
          </cell>
          <cell r="G457">
            <v>40632</v>
          </cell>
          <cell r="H457">
            <v>5.52</v>
          </cell>
          <cell r="J457">
            <v>40632</v>
          </cell>
          <cell r="K457">
            <v>4.5500999999999996</v>
          </cell>
          <cell r="M457">
            <v>40632</v>
          </cell>
          <cell r="N457">
            <v>9.85</v>
          </cell>
          <cell r="P457">
            <v>40632</v>
          </cell>
          <cell r="Q457">
            <v>57.03</v>
          </cell>
        </row>
        <row r="458">
          <cell r="D458">
            <v>40631</v>
          </cell>
          <cell r="E458">
            <v>10.83</v>
          </cell>
          <cell r="G458">
            <v>40631</v>
          </cell>
          <cell r="H458">
            <v>5.49</v>
          </cell>
          <cell r="J458">
            <v>40631</v>
          </cell>
          <cell r="K458">
            <v>4.7</v>
          </cell>
          <cell r="M458">
            <v>40631</v>
          </cell>
          <cell r="N458">
            <v>9.85</v>
          </cell>
          <cell r="P458">
            <v>40631</v>
          </cell>
          <cell r="Q458">
            <v>57.05</v>
          </cell>
        </row>
        <row r="459">
          <cell r="D459">
            <v>40630</v>
          </cell>
          <cell r="E459">
            <v>10.89</v>
          </cell>
          <cell r="G459">
            <v>40630</v>
          </cell>
          <cell r="H459">
            <v>5.49</v>
          </cell>
          <cell r="J459">
            <v>40630</v>
          </cell>
          <cell r="K459">
            <v>4.59</v>
          </cell>
          <cell r="M459">
            <v>40630</v>
          </cell>
          <cell r="N459">
            <v>9.42</v>
          </cell>
          <cell r="P459">
            <v>40630</v>
          </cell>
          <cell r="Q459">
            <v>55.994999999999997</v>
          </cell>
        </row>
        <row r="460">
          <cell r="D460">
            <v>40627</v>
          </cell>
          <cell r="E460">
            <v>10.99</v>
          </cell>
          <cell r="G460">
            <v>40627</v>
          </cell>
          <cell r="H460">
            <v>5.36</v>
          </cell>
          <cell r="J460">
            <v>40627</v>
          </cell>
          <cell r="K460">
            <v>4.7</v>
          </cell>
          <cell r="M460">
            <v>40627</v>
          </cell>
          <cell r="N460">
            <v>9.3000000000000007</v>
          </cell>
          <cell r="P460">
            <v>40627</v>
          </cell>
          <cell r="Q460">
            <v>56.89</v>
          </cell>
        </row>
        <row r="461">
          <cell r="D461">
            <v>40626</v>
          </cell>
          <cell r="E461">
            <v>11.08</v>
          </cell>
          <cell r="G461">
            <v>40626</v>
          </cell>
          <cell r="H461">
            <v>5.38</v>
          </cell>
          <cell r="J461">
            <v>40626</v>
          </cell>
          <cell r="K461">
            <v>4.8</v>
          </cell>
          <cell r="M461">
            <v>40626</v>
          </cell>
          <cell r="N461">
            <v>9.1199999999999992</v>
          </cell>
          <cell r="P461">
            <v>40626</v>
          </cell>
          <cell r="Q461">
            <v>64.087500000000006</v>
          </cell>
        </row>
        <row r="462">
          <cell r="D462">
            <v>40625</v>
          </cell>
          <cell r="E462">
            <v>11.06</v>
          </cell>
          <cell r="G462">
            <v>40625</v>
          </cell>
          <cell r="H462">
            <v>5.3</v>
          </cell>
          <cell r="J462">
            <v>40625</v>
          </cell>
          <cell r="K462">
            <v>4.66</v>
          </cell>
          <cell r="M462">
            <v>40625</v>
          </cell>
          <cell r="N462">
            <v>8.8000000000000007</v>
          </cell>
          <cell r="P462">
            <v>40625</v>
          </cell>
          <cell r="Q462">
            <v>62.12</v>
          </cell>
        </row>
        <row r="463">
          <cell r="D463">
            <v>40624</v>
          </cell>
          <cell r="E463">
            <v>10.62</v>
          </cell>
          <cell r="G463">
            <v>40624</v>
          </cell>
          <cell r="H463">
            <v>5.3</v>
          </cell>
          <cell r="J463">
            <v>40624</v>
          </cell>
          <cell r="K463">
            <v>4.5599999999999996</v>
          </cell>
          <cell r="M463">
            <v>40624</v>
          </cell>
          <cell r="N463">
            <v>8.9</v>
          </cell>
          <cell r="P463">
            <v>40624</v>
          </cell>
          <cell r="Q463">
            <v>62.41</v>
          </cell>
        </row>
        <row r="464">
          <cell r="D464">
            <v>40623</v>
          </cell>
          <cell r="E464">
            <v>10.74</v>
          </cell>
          <cell r="G464">
            <v>40623</v>
          </cell>
          <cell r="H464">
            <v>5.36</v>
          </cell>
          <cell r="J464">
            <v>40623</v>
          </cell>
          <cell r="K464">
            <v>4.2699999999999996</v>
          </cell>
          <cell r="M464">
            <v>40623</v>
          </cell>
          <cell r="N464">
            <v>8.48</v>
          </cell>
          <cell r="P464">
            <v>40623</v>
          </cell>
          <cell r="Q464">
            <v>62.17</v>
          </cell>
        </row>
        <row r="465">
          <cell r="D465">
            <v>40620</v>
          </cell>
          <cell r="E465">
            <v>10.58</v>
          </cell>
          <cell r="G465">
            <v>40620</v>
          </cell>
          <cell r="H465">
            <v>5.35</v>
          </cell>
          <cell r="J465">
            <v>40620</v>
          </cell>
          <cell r="K465">
            <v>4.25</v>
          </cell>
          <cell r="M465">
            <v>40620</v>
          </cell>
          <cell r="N465">
            <v>8.4600000000000009</v>
          </cell>
          <cell r="P465">
            <v>40620</v>
          </cell>
          <cell r="Q465">
            <v>60.91</v>
          </cell>
        </row>
        <row r="466">
          <cell r="D466">
            <v>40619</v>
          </cell>
          <cell r="E466">
            <v>10.1</v>
          </cell>
          <cell r="G466">
            <v>40619</v>
          </cell>
          <cell r="H466">
            <v>5.05</v>
          </cell>
          <cell r="J466">
            <v>40619</v>
          </cell>
          <cell r="K466">
            <v>4.2</v>
          </cell>
          <cell r="M466">
            <v>40619</v>
          </cell>
          <cell r="N466">
            <v>8.48</v>
          </cell>
          <cell r="P466">
            <v>40619</v>
          </cell>
          <cell r="Q466">
            <v>60.85</v>
          </cell>
        </row>
        <row r="467">
          <cell r="D467">
            <v>40618</v>
          </cell>
          <cell r="E467">
            <v>9.99</v>
          </cell>
          <cell r="G467">
            <v>40618</v>
          </cell>
          <cell r="H467">
            <v>5.0999999999999996</v>
          </cell>
          <cell r="J467">
            <v>40618</v>
          </cell>
          <cell r="K467">
            <v>4.18</v>
          </cell>
          <cell r="M467">
            <v>40618</v>
          </cell>
          <cell r="N467">
            <v>8.4600000000000009</v>
          </cell>
          <cell r="P467">
            <v>40618</v>
          </cell>
          <cell r="Q467">
            <v>59.84</v>
          </cell>
        </row>
        <row r="468">
          <cell r="D468">
            <v>40617</v>
          </cell>
          <cell r="E468">
            <v>10</v>
          </cell>
          <cell r="G468">
            <v>40617</v>
          </cell>
          <cell r="H468">
            <v>5.34</v>
          </cell>
          <cell r="J468">
            <v>40617</v>
          </cell>
          <cell r="K468">
            <v>4.2100999999999997</v>
          </cell>
          <cell r="M468">
            <v>40617</v>
          </cell>
          <cell r="N468">
            <v>8.3801000000000005</v>
          </cell>
          <cell r="P468">
            <v>40617</v>
          </cell>
          <cell r="Q468">
            <v>61.09</v>
          </cell>
        </row>
        <row r="469">
          <cell r="D469">
            <v>40616</v>
          </cell>
          <cell r="E469">
            <v>10.039999999999999</v>
          </cell>
          <cell r="G469">
            <v>40616</v>
          </cell>
          <cell r="H469">
            <v>5.52</v>
          </cell>
          <cell r="J469">
            <v>40616</v>
          </cell>
          <cell r="K469">
            <v>4.4000000000000004</v>
          </cell>
          <cell r="M469">
            <v>40616</v>
          </cell>
          <cell r="N469">
            <v>8.5000999999999998</v>
          </cell>
          <cell r="P469">
            <v>40616</v>
          </cell>
          <cell r="Q469">
            <v>62.35</v>
          </cell>
        </row>
        <row r="470">
          <cell r="D470">
            <v>40613</v>
          </cell>
          <cell r="E470">
            <v>10.09</v>
          </cell>
          <cell r="G470">
            <v>40613</v>
          </cell>
          <cell r="H470">
            <v>5.65</v>
          </cell>
          <cell r="J470">
            <v>40613</v>
          </cell>
          <cell r="K470">
            <v>4.58</v>
          </cell>
          <cell r="M470">
            <v>40613</v>
          </cell>
          <cell r="N470">
            <v>8.6199999999999992</v>
          </cell>
          <cell r="P470">
            <v>40613</v>
          </cell>
          <cell r="Q470">
            <v>63.38</v>
          </cell>
        </row>
        <row r="471">
          <cell r="D471">
            <v>40612</v>
          </cell>
          <cell r="E471">
            <v>10.24</v>
          </cell>
          <cell r="G471">
            <v>40612</v>
          </cell>
          <cell r="H471">
            <v>5.68</v>
          </cell>
          <cell r="J471">
            <v>40612</v>
          </cell>
          <cell r="K471">
            <v>4.5</v>
          </cell>
          <cell r="M471">
            <v>40612</v>
          </cell>
          <cell r="N471">
            <v>8.6201000000000008</v>
          </cell>
          <cell r="P471">
            <v>40612</v>
          </cell>
          <cell r="Q471">
            <v>62.6</v>
          </cell>
        </row>
        <row r="472">
          <cell r="D472">
            <v>40611</v>
          </cell>
          <cell r="E472">
            <v>10.48</v>
          </cell>
          <cell r="G472">
            <v>40611</v>
          </cell>
          <cell r="H472">
            <v>5.74</v>
          </cell>
          <cell r="J472">
            <v>40611</v>
          </cell>
          <cell r="K472">
            <v>4.8099999999999996</v>
          </cell>
          <cell r="M472">
            <v>40611</v>
          </cell>
          <cell r="N472">
            <v>8.67</v>
          </cell>
          <cell r="P472">
            <v>40611</v>
          </cell>
          <cell r="Q472">
            <v>64.801000000000002</v>
          </cell>
        </row>
        <row r="473">
          <cell r="D473">
            <v>40610</v>
          </cell>
          <cell r="E473">
            <v>10.39</v>
          </cell>
          <cell r="G473">
            <v>40610</v>
          </cell>
          <cell r="H473">
            <v>5.57</v>
          </cell>
          <cell r="J473">
            <v>40610</v>
          </cell>
          <cell r="K473">
            <v>4.8600000000000003</v>
          </cell>
          <cell r="M473">
            <v>40610</v>
          </cell>
          <cell r="N473">
            <v>8.6999999999999993</v>
          </cell>
          <cell r="P473">
            <v>40610</v>
          </cell>
          <cell r="Q473">
            <v>64.78</v>
          </cell>
        </row>
        <row r="474">
          <cell r="D474">
            <v>40609</v>
          </cell>
          <cell r="E474">
            <v>10.24</v>
          </cell>
          <cell r="G474">
            <v>40609</v>
          </cell>
          <cell r="H474">
            <v>5.64</v>
          </cell>
          <cell r="J474">
            <v>40609</v>
          </cell>
          <cell r="K474">
            <v>4.57</v>
          </cell>
          <cell r="M474">
            <v>40609</v>
          </cell>
          <cell r="N474">
            <v>8.75</v>
          </cell>
          <cell r="P474">
            <v>40609</v>
          </cell>
          <cell r="Q474">
            <v>64.86</v>
          </cell>
        </row>
        <row r="475">
          <cell r="D475">
            <v>40606</v>
          </cell>
          <cell r="E475">
            <v>10.42</v>
          </cell>
          <cell r="G475">
            <v>40606</v>
          </cell>
          <cell r="H475">
            <v>5.49</v>
          </cell>
          <cell r="J475">
            <v>40606</v>
          </cell>
          <cell r="K475">
            <v>4.55</v>
          </cell>
          <cell r="M475">
            <v>40606</v>
          </cell>
          <cell r="N475">
            <v>8.74</v>
          </cell>
          <cell r="P475">
            <v>40606</v>
          </cell>
          <cell r="Q475">
            <v>66.47</v>
          </cell>
        </row>
        <row r="476">
          <cell r="D476">
            <v>40605</v>
          </cell>
          <cell r="E476">
            <v>10.39</v>
          </cell>
          <cell r="G476">
            <v>40605</v>
          </cell>
          <cell r="H476">
            <v>5.5</v>
          </cell>
          <cell r="J476">
            <v>40605</v>
          </cell>
          <cell r="K476">
            <v>4.6500000000000004</v>
          </cell>
          <cell r="M476">
            <v>40605</v>
          </cell>
          <cell r="N476">
            <v>8.69</v>
          </cell>
          <cell r="P476">
            <v>40605</v>
          </cell>
          <cell r="Q476">
            <v>68.45</v>
          </cell>
        </row>
        <row r="477">
          <cell r="D477">
            <v>40604</v>
          </cell>
          <cell r="E477">
            <v>10.27</v>
          </cell>
          <cell r="G477">
            <v>40604</v>
          </cell>
          <cell r="H477">
            <v>5.4974999999999996</v>
          </cell>
          <cell r="J477">
            <v>40604</v>
          </cell>
          <cell r="K477">
            <v>4.75</v>
          </cell>
          <cell r="M477">
            <v>40604</v>
          </cell>
          <cell r="N477">
            <v>8.7799999999999994</v>
          </cell>
          <cell r="P477">
            <v>40604</v>
          </cell>
          <cell r="Q477">
            <v>65.83</v>
          </cell>
        </row>
        <row r="478">
          <cell r="D478">
            <v>40603</v>
          </cell>
          <cell r="E478">
            <v>10.26</v>
          </cell>
          <cell r="G478">
            <v>40603</v>
          </cell>
          <cell r="H478">
            <v>5.67</v>
          </cell>
          <cell r="J478">
            <v>40603</v>
          </cell>
          <cell r="K478">
            <v>4.88</v>
          </cell>
          <cell r="M478">
            <v>40603</v>
          </cell>
          <cell r="N478">
            <v>8.99</v>
          </cell>
          <cell r="P478">
            <v>40603</v>
          </cell>
          <cell r="Q478">
            <v>66.400000000000006</v>
          </cell>
        </row>
        <row r="479">
          <cell r="D479">
            <v>40602</v>
          </cell>
          <cell r="E479">
            <v>10.54</v>
          </cell>
          <cell r="G479">
            <v>40602</v>
          </cell>
          <cell r="H479">
            <v>5.92</v>
          </cell>
          <cell r="J479">
            <v>40602</v>
          </cell>
          <cell r="K479">
            <v>4.87</v>
          </cell>
          <cell r="M479">
            <v>40602</v>
          </cell>
          <cell r="N479">
            <v>9.1999999999999993</v>
          </cell>
          <cell r="P479">
            <v>40602</v>
          </cell>
          <cell r="Q479">
            <v>66.2</v>
          </cell>
        </row>
        <row r="480">
          <cell r="D480">
            <v>40599</v>
          </cell>
          <cell r="E480">
            <v>10.38</v>
          </cell>
          <cell r="G480">
            <v>40599</v>
          </cell>
          <cell r="H480">
            <v>5.87</v>
          </cell>
          <cell r="J480">
            <v>40599</v>
          </cell>
          <cell r="K480">
            <v>4.7539999999999996</v>
          </cell>
          <cell r="M480">
            <v>40599</v>
          </cell>
          <cell r="N480">
            <v>9.2200000000000006</v>
          </cell>
          <cell r="P480">
            <v>40599</v>
          </cell>
          <cell r="Q480">
            <v>65.989999999999995</v>
          </cell>
        </row>
        <row r="481">
          <cell r="D481">
            <v>40598</v>
          </cell>
          <cell r="E481">
            <v>10.7</v>
          </cell>
          <cell r="G481">
            <v>40598</v>
          </cell>
          <cell r="H481">
            <v>6.74</v>
          </cell>
          <cell r="J481">
            <v>40598</v>
          </cell>
          <cell r="K481">
            <v>4.8499999999999996</v>
          </cell>
          <cell r="M481">
            <v>40598</v>
          </cell>
          <cell r="N481">
            <v>9.35</v>
          </cell>
          <cell r="P481">
            <v>40598</v>
          </cell>
          <cell r="Q481">
            <v>65.790000000000006</v>
          </cell>
        </row>
        <row r="482">
          <cell r="D482">
            <v>40597</v>
          </cell>
          <cell r="E482">
            <v>10.48</v>
          </cell>
          <cell r="G482">
            <v>40597</v>
          </cell>
          <cell r="H482">
            <v>6.48</v>
          </cell>
          <cell r="J482">
            <v>40597</v>
          </cell>
          <cell r="K482">
            <v>4.7</v>
          </cell>
          <cell r="M482">
            <v>40597</v>
          </cell>
          <cell r="N482">
            <v>9.43</v>
          </cell>
          <cell r="P482">
            <v>40597</v>
          </cell>
          <cell r="Q482">
            <v>65.17</v>
          </cell>
        </row>
        <row r="483">
          <cell r="D483">
            <v>40596</v>
          </cell>
          <cell r="E483">
            <v>10.71</v>
          </cell>
          <cell r="G483">
            <v>40596</v>
          </cell>
          <cell r="H483">
            <v>6.55</v>
          </cell>
          <cell r="J483">
            <v>40596</v>
          </cell>
          <cell r="K483">
            <v>5.1100000000000003</v>
          </cell>
          <cell r="M483">
            <v>40596</v>
          </cell>
          <cell r="N483">
            <v>9.4700000000000006</v>
          </cell>
          <cell r="P483">
            <v>40596</v>
          </cell>
          <cell r="Q483">
            <v>67.42</v>
          </cell>
        </row>
        <row r="484">
          <cell r="D484">
            <v>40592</v>
          </cell>
          <cell r="E484">
            <v>11.11</v>
          </cell>
          <cell r="G484">
            <v>40592</v>
          </cell>
          <cell r="H484">
            <v>6.85</v>
          </cell>
          <cell r="J484">
            <v>40592</v>
          </cell>
          <cell r="K484">
            <v>5.28</v>
          </cell>
          <cell r="M484">
            <v>40592</v>
          </cell>
          <cell r="N484">
            <v>10.89</v>
          </cell>
          <cell r="P484">
            <v>40592</v>
          </cell>
          <cell r="Q484">
            <v>69.862499999999997</v>
          </cell>
        </row>
        <row r="485">
          <cell r="D485">
            <v>40591</v>
          </cell>
          <cell r="E485">
            <v>11.39</v>
          </cell>
          <cell r="G485">
            <v>40591</v>
          </cell>
          <cell r="H485">
            <v>6.81</v>
          </cell>
          <cell r="J485">
            <v>40591</v>
          </cell>
          <cell r="K485">
            <v>5.3</v>
          </cell>
          <cell r="M485">
            <v>40591</v>
          </cell>
          <cell r="N485">
            <v>10.92</v>
          </cell>
          <cell r="P485">
            <v>40591</v>
          </cell>
          <cell r="Q485">
            <v>69.69</v>
          </cell>
        </row>
        <row r="486">
          <cell r="D486">
            <v>40590</v>
          </cell>
          <cell r="E486">
            <v>11.42</v>
          </cell>
          <cell r="G486">
            <v>40590</v>
          </cell>
          <cell r="H486">
            <v>6.99</v>
          </cell>
          <cell r="J486">
            <v>40590</v>
          </cell>
          <cell r="K486">
            <v>5.19</v>
          </cell>
          <cell r="M486">
            <v>40590</v>
          </cell>
          <cell r="N486">
            <v>10.231</v>
          </cell>
          <cell r="P486">
            <v>40590</v>
          </cell>
          <cell r="Q486">
            <v>68.349999999999994</v>
          </cell>
        </row>
        <row r="487">
          <cell r="D487">
            <v>40589</v>
          </cell>
          <cell r="E487">
            <v>10.96</v>
          </cell>
          <cell r="G487">
            <v>40589</v>
          </cell>
          <cell r="H487">
            <v>6.94</v>
          </cell>
          <cell r="J487">
            <v>40589</v>
          </cell>
          <cell r="K487">
            <v>5.22</v>
          </cell>
          <cell r="M487">
            <v>40589</v>
          </cell>
          <cell r="N487">
            <v>9.9499999999999993</v>
          </cell>
          <cell r="P487">
            <v>40589</v>
          </cell>
          <cell r="Q487">
            <v>65.3</v>
          </cell>
        </row>
        <row r="488">
          <cell r="D488">
            <v>40588</v>
          </cell>
          <cell r="E488">
            <v>10.92</v>
          </cell>
          <cell r="G488">
            <v>40588</v>
          </cell>
          <cell r="H488">
            <v>7</v>
          </cell>
          <cell r="J488">
            <v>40588</v>
          </cell>
          <cell r="K488">
            <v>5.38</v>
          </cell>
          <cell r="M488">
            <v>40588</v>
          </cell>
          <cell r="N488">
            <v>10</v>
          </cell>
          <cell r="P488">
            <v>40588</v>
          </cell>
          <cell r="Q488">
            <v>65.540000000000006</v>
          </cell>
        </row>
        <row r="489">
          <cell r="D489">
            <v>40585</v>
          </cell>
          <cell r="E489">
            <v>11.14</v>
          </cell>
          <cell r="G489">
            <v>40585</v>
          </cell>
          <cell r="H489">
            <v>6.96</v>
          </cell>
          <cell r="J489">
            <v>40585</v>
          </cell>
          <cell r="K489">
            <v>5.05</v>
          </cell>
          <cell r="M489">
            <v>40585</v>
          </cell>
          <cell r="N489">
            <v>10.039999999999999</v>
          </cell>
          <cell r="P489">
            <v>40585</v>
          </cell>
          <cell r="Q489">
            <v>66.87</v>
          </cell>
        </row>
        <row r="490">
          <cell r="D490">
            <v>40584</v>
          </cell>
          <cell r="E490">
            <v>11.33</v>
          </cell>
          <cell r="G490">
            <v>40584</v>
          </cell>
          <cell r="H490">
            <v>6.74</v>
          </cell>
          <cell r="J490">
            <v>40584</v>
          </cell>
          <cell r="K490">
            <v>4.9400000000000004</v>
          </cell>
          <cell r="M490">
            <v>40584</v>
          </cell>
          <cell r="N490">
            <v>9.69</v>
          </cell>
          <cell r="P490">
            <v>40584</v>
          </cell>
          <cell r="Q490">
            <v>66.88</v>
          </cell>
        </row>
        <row r="491">
          <cell r="D491">
            <v>40583</v>
          </cell>
          <cell r="E491">
            <v>11.45</v>
          </cell>
          <cell r="G491">
            <v>40583</v>
          </cell>
          <cell r="H491">
            <v>6.31</v>
          </cell>
          <cell r="J491">
            <v>40583</v>
          </cell>
          <cell r="K491">
            <v>4.7699999999999996</v>
          </cell>
          <cell r="M491">
            <v>40583</v>
          </cell>
          <cell r="N491">
            <v>9.51</v>
          </cell>
          <cell r="P491">
            <v>40583</v>
          </cell>
          <cell r="Q491">
            <v>63.57</v>
          </cell>
        </row>
        <row r="492">
          <cell r="D492">
            <v>40582</v>
          </cell>
          <cell r="E492">
            <v>15.5</v>
          </cell>
          <cell r="G492">
            <v>40582</v>
          </cell>
          <cell r="H492">
            <v>7.39</v>
          </cell>
          <cell r="J492">
            <v>40582</v>
          </cell>
          <cell r="K492">
            <v>4.79</v>
          </cell>
          <cell r="M492">
            <v>40582</v>
          </cell>
          <cell r="N492">
            <v>9.5</v>
          </cell>
          <cell r="P492">
            <v>40582</v>
          </cell>
          <cell r="Q492">
            <v>63.6</v>
          </cell>
        </row>
        <row r="493">
          <cell r="D493">
            <v>40581</v>
          </cell>
          <cell r="E493">
            <v>14.26</v>
          </cell>
          <cell r="G493">
            <v>40581</v>
          </cell>
          <cell r="H493">
            <v>7.29</v>
          </cell>
          <cell r="J493">
            <v>40581</v>
          </cell>
          <cell r="K493">
            <v>4.7</v>
          </cell>
          <cell r="M493">
            <v>40581</v>
          </cell>
          <cell r="N493">
            <v>9.3800000000000008</v>
          </cell>
          <cell r="P493">
            <v>40581</v>
          </cell>
          <cell r="Q493">
            <v>63.2</v>
          </cell>
        </row>
        <row r="494">
          <cell r="D494">
            <v>40578</v>
          </cell>
          <cell r="E494">
            <v>14.3</v>
          </cell>
          <cell r="G494">
            <v>40578</v>
          </cell>
          <cell r="H494">
            <v>7.16</v>
          </cell>
          <cell r="J494">
            <v>40578</v>
          </cell>
          <cell r="K494">
            <v>4.7</v>
          </cell>
          <cell r="M494">
            <v>40578</v>
          </cell>
          <cell r="N494">
            <v>9.1300000000000008</v>
          </cell>
          <cell r="P494">
            <v>40578</v>
          </cell>
          <cell r="Q494">
            <v>63.69</v>
          </cell>
        </row>
        <row r="495">
          <cell r="D495">
            <v>40577</v>
          </cell>
          <cell r="E495">
            <v>14.14</v>
          </cell>
          <cell r="G495">
            <v>40577</v>
          </cell>
          <cell r="H495">
            <v>7.27</v>
          </cell>
          <cell r="J495">
            <v>40577</v>
          </cell>
          <cell r="K495">
            <v>4.53</v>
          </cell>
          <cell r="M495">
            <v>40577</v>
          </cell>
          <cell r="N495">
            <v>9.17</v>
          </cell>
          <cell r="P495">
            <v>40577</v>
          </cell>
          <cell r="Q495">
            <v>62.67</v>
          </cell>
        </row>
        <row r="496">
          <cell r="D496">
            <v>40576</v>
          </cell>
          <cell r="E496">
            <v>14.27</v>
          </cell>
          <cell r="G496">
            <v>40576</v>
          </cell>
          <cell r="H496">
            <v>7.43</v>
          </cell>
          <cell r="J496">
            <v>40576</v>
          </cell>
          <cell r="K496">
            <v>4.87</v>
          </cell>
          <cell r="M496">
            <v>40576</v>
          </cell>
          <cell r="N496">
            <v>9.19</v>
          </cell>
          <cell r="P496">
            <v>40576</v>
          </cell>
          <cell r="Q496">
            <v>61.11</v>
          </cell>
        </row>
        <row r="497">
          <cell r="D497">
            <v>40575</v>
          </cell>
          <cell r="E497">
            <v>14.45</v>
          </cell>
          <cell r="G497">
            <v>40575</v>
          </cell>
          <cell r="H497">
            <v>7.47</v>
          </cell>
          <cell r="J497">
            <v>40575</v>
          </cell>
          <cell r="K497">
            <v>5.08</v>
          </cell>
          <cell r="M497">
            <v>40575</v>
          </cell>
          <cell r="N497">
            <v>9.36</v>
          </cell>
          <cell r="P497">
            <v>40575</v>
          </cell>
          <cell r="Q497">
            <v>60.4</v>
          </cell>
        </row>
        <row r="498">
          <cell r="D498">
            <v>40574</v>
          </cell>
          <cell r="E498">
            <v>14.17</v>
          </cell>
          <cell r="G498">
            <v>40574</v>
          </cell>
          <cell r="H498">
            <v>7.21</v>
          </cell>
          <cell r="J498">
            <v>40574</v>
          </cell>
          <cell r="K498">
            <v>4.33</v>
          </cell>
          <cell r="M498">
            <v>40574</v>
          </cell>
          <cell r="N498">
            <v>9.24</v>
          </cell>
          <cell r="P498">
            <v>40574</v>
          </cell>
          <cell r="Q498">
            <v>59.11</v>
          </cell>
        </row>
        <row r="499">
          <cell r="D499">
            <v>40571</v>
          </cell>
          <cell r="E499">
            <v>14.15</v>
          </cell>
          <cell r="G499">
            <v>40571</v>
          </cell>
          <cell r="H499">
            <v>7.15</v>
          </cell>
          <cell r="J499">
            <v>40571</v>
          </cell>
          <cell r="K499">
            <v>3.98</v>
          </cell>
          <cell r="M499">
            <v>40571</v>
          </cell>
          <cell r="N499">
            <v>9.1999999999999993</v>
          </cell>
          <cell r="P499">
            <v>40571</v>
          </cell>
          <cell r="Q499">
            <v>60.15</v>
          </cell>
        </row>
        <row r="500">
          <cell r="D500">
            <v>40570</v>
          </cell>
          <cell r="E500">
            <v>14.32</v>
          </cell>
          <cell r="G500">
            <v>40570</v>
          </cell>
          <cell r="H500">
            <v>7.5</v>
          </cell>
          <cell r="J500">
            <v>40570</v>
          </cell>
          <cell r="K500">
            <v>4.17</v>
          </cell>
          <cell r="M500">
            <v>40570</v>
          </cell>
          <cell r="N500">
            <v>9.32</v>
          </cell>
          <cell r="P500">
            <v>40570</v>
          </cell>
          <cell r="Q500">
            <v>61.98</v>
          </cell>
        </row>
        <row r="501">
          <cell r="D501">
            <v>40569</v>
          </cell>
          <cell r="E501">
            <v>14.31</v>
          </cell>
          <cell r="G501">
            <v>40569</v>
          </cell>
          <cell r="H501">
            <v>7.46</v>
          </cell>
          <cell r="J501">
            <v>40569</v>
          </cell>
          <cell r="K501">
            <v>4.0799000000000003</v>
          </cell>
          <cell r="M501">
            <v>40569</v>
          </cell>
          <cell r="N501">
            <v>9.36</v>
          </cell>
          <cell r="P501">
            <v>40569</v>
          </cell>
          <cell r="Q501">
            <v>62</v>
          </cell>
        </row>
        <row r="502">
          <cell r="D502">
            <v>40568</v>
          </cell>
          <cell r="E502">
            <v>14.17</v>
          </cell>
          <cell r="G502">
            <v>40568</v>
          </cell>
          <cell r="H502">
            <v>7.3</v>
          </cell>
          <cell r="J502">
            <v>40568</v>
          </cell>
          <cell r="K502">
            <v>3.92</v>
          </cell>
          <cell r="M502">
            <v>40568</v>
          </cell>
          <cell r="N502">
            <v>9.3000000000000007</v>
          </cell>
          <cell r="P502">
            <v>40568</v>
          </cell>
          <cell r="Q502">
            <v>61.4</v>
          </cell>
        </row>
        <row r="503">
          <cell r="D503">
            <v>40567</v>
          </cell>
          <cell r="E503">
            <v>14.5</v>
          </cell>
          <cell r="G503">
            <v>40567</v>
          </cell>
          <cell r="H503">
            <v>7.085</v>
          </cell>
          <cell r="J503">
            <v>40567</v>
          </cell>
          <cell r="K503">
            <v>3.97</v>
          </cell>
          <cell r="M503">
            <v>40567</v>
          </cell>
          <cell r="N503">
            <v>9.3498999999999999</v>
          </cell>
          <cell r="P503">
            <v>40567</v>
          </cell>
          <cell r="Q503">
            <v>62.69</v>
          </cell>
        </row>
        <row r="504">
          <cell r="D504">
            <v>40564</v>
          </cell>
          <cell r="E504">
            <v>14.38</v>
          </cell>
          <cell r="G504">
            <v>40564</v>
          </cell>
          <cell r="H504">
            <v>7.28</v>
          </cell>
          <cell r="J504">
            <v>40564</v>
          </cell>
          <cell r="K504">
            <v>3.89</v>
          </cell>
          <cell r="M504">
            <v>40564</v>
          </cell>
          <cell r="N504">
            <v>9.35</v>
          </cell>
          <cell r="P504">
            <v>40564</v>
          </cell>
          <cell r="Q504">
            <v>61.55</v>
          </cell>
        </row>
        <row r="505">
          <cell r="D505">
            <v>40563</v>
          </cell>
          <cell r="E505">
            <v>14.5</v>
          </cell>
          <cell r="G505">
            <v>40563</v>
          </cell>
          <cell r="H505">
            <v>7.38</v>
          </cell>
          <cell r="J505">
            <v>40563</v>
          </cell>
          <cell r="K505">
            <v>3.86</v>
          </cell>
          <cell r="M505">
            <v>40563</v>
          </cell>
          <cell r="N505">
            <v>9.44</v>
          </cell>
          <cell r="P505">
            <v>40563</v>
          </cell>
          <cell r="Q505">
            <v>62.4</v>
          </cell>
        </row>
        <row r="506">
          <cell r="D506">
            <v>40562</v>
          </cell>
          <cell r="E506">
            <v>14.74</v>
          </cell>
          <cell r="G506">
            <v>40562</v>
          </cell>
          <cell r="H506">
            <v>7.57</v>
          </cell>
          <cell r="J506">
            <v>40562</v>
          </cell>
          <cell r="K506">
            <v>3.8</v>
          </cell>
          <cell r="M506">
            <v>40562</v>
          </cell>
          <cell r="N506">
            <v>9.7100000000000009</v>
          </cell>
          <cell r="P506">
            <v>40562</v>
          </cell>
          <cell r="Q506">
            <v>63.28</v>
          </cell>
        </row>
        <row r="507">
          <cell r="D507">
            <v>40561</v>
          </cell>
          <cell r="E507">
            <v>15.45</v>
          </cell>
          <cell r="G507">
            <v>40561</v>
          </cell>
          <cell r="H507">
            <v>7.6574999999999998</v>
          </cell>
          <cell r="J507">
            <v>40561</v>
          </cell>
          <cell r="K507">
            <v>3.66</v>
          </cell>
          <cell r="M507">
            <v>40561</v>
          </cell>
          <cell r="N507">
            <v>10.08</v>
          </cell>
          <cell r="P507">
            <v>40561</v>
          </cell>
          <cell r="Q507">
            <v>65.22</v>
          </cell>
        </row>
        <row r="508">
          <cell r="D508">
            <v>40557</v>
          </cell>
          <cell r="E508">
            <v>15.57</v>
          </cell>
          <cell r="G508">
            <v>40557</v>
          </cell>
          <cell r="H508">
            <v>7.81</v>
          </cell>
          <cell r="J508">
            <v>40557</v>
          </cell>
          <cell r="K508">
            <v>3.4106000000000001</v>
          </cell>
          <cell r="M508">
            <v>40557</v>
          </cell>
          <cell r="N508">
            <v>10.25</v>
          </cell>
          <cell r="P508">
            <v>40557</v>
          </cell>
          <cell r="Q508">
            <v>64.77</v>
          </cell>
        </row>
        <row r="509">
          <cell r="D509">
            <v>40556</v>
          </cell>
          <cell r="E509">
            <v>15.75</v>
          </cell>
          <cell r="G509">
            <v>40556</v>
          </cell>
          <cell r="H509">
            <v>8.1999999999999993</v>
          </cell>
          <cell r="J509">
            <v>40556</v>
          </cell>
          <cell r="K509">
            <v>3.56</v>
          </cell>
          <cell r="M509">
            <v>40556</v>
          </cell>
          <cell r="N509">
            <v>9.9499999999999993</v>
          </cell>
          <cell r="P509">
            <v>40556</v>
          </cell>
          <cell r="Q509">
            <v>64.010000000000005</v>
          </cell>
        </row>
        <row r="510">
          <cell r="D510">
            <v>40555</v>
          </cell>
          <cell r="E510">
            <v>16.440000000000001</v>
          </cell>
          <cell r="G510">
            <v>40555</v>
          </cell>
          <cell r="H510">
            <v>8.2200000000000006</v>
          </cell>
          <cell r="J510">
            <v>40555</v>
          </cell>
          <cell r="K510">
            <v>3.53</v>
          </cell>
          <cell r="M510">
            <v>40555</v>
          </cell>
          <cell r="N510">
            <v>9.31</v>
          </cell>
          <cell r="P510">
            <v>40555</v>
          </cell>
          <cell r="Q510">
            <v>63.53</v>
          </cell>
        </row>
        <row r="511">
          <cell r="D511">
            <v>40554</v>
          </cell>
          <cell r="E511">
            <v>14.91</v>
          </cell>
          <cell r="G511">
            <v>40554</v>
          </cell>
          <cell r="H511">
            <v>8.1300000000000008</v>
          </cell>
          <cell r="J511">
            <v>40554</v>
          </cell>
          <cell r="K511">
            <v>3.49</v>
          </cell>
          <cell r="M511">
            <v>40554</v>
          </cell>
          <cell r="N511">
            <v>9.15</v>
          </cell>
          <cell r="P511">
            <v>40554</v>
          </cell>
          <cell r="Q511">
            <v>62.89</v>
          </cell>
        </row>
        <row r="512">
          <cell r="D512">
            <v>40553</v>
          </cell>
          <cell r="E512">
            <v>14.8</v>
          </cell>
          <cell r="G512">
            <v>40553</v>
          </cell>
          <cell r="H512">
            <v>10.06</v>
          </cell>
          <cell r="J512">
            <v>40553</v>
          </cell>
          <cell r="K512">
            <v>3.39</v>
          </cell>
          <cell r="M512">
            <v>40553</v>
          </cell>
          <cell r="N512">
            <v>9.15</v>
          </cell>
          <cell r="P512">
            <v>40553</v>
          </cell>
          <cell r="Q512">
            <v>62.09</v>
          </cell>
        </row>
        <row r="513">
          <cell r="D513">
            <v>40550</v>
          </cell>
          <cell r="E513">
            <v>14.66</v>
          </cell>
          <cell r="G513">
            <v>40550</v>
          </cell>
          <cell r="H513">
            <v>9.7100000000000009</v>
          </cell>
          <cell r="J513">
            <v>40550</v>
          </cell>
          <cell r="K513">
            <v>3.32</v>
          </cell>
          <cell r="M513">
            <v>40550</v>
          </cell>
          <cell r="N513">
            <v>9.0299999999999994</v>
          </cell>
          <cell r="P513">
            <v>40550</v>
          </cell>
          <cell r="Q513">
            <v>61.68</v>
          </cell>
        </row>
        <row r="514">
          <cell r="D514">
            <v>40549</v>
          </cell>
          <cell r="E514">
            <v>14.64</v>
          </cell>
          <cell r="G514">
            <v>40549</v>
          </cell>
          <cell r="H514">
            <v>9.75</v>
          </cell>
          <cell r="J514">
            <v>40549</v>
          </cell>
          <cell r="K514">
            <v>3.31</v>
          </cell>
          <cell r="M514">
            <v>40549</v>
          </cell>
          <cell r="N514">
            <v>8.7590000000000003</v>
          </cell>
          <cell r="P514">
            <v>40549</v>
          </cell>
          <cell r="Q514">
            <v>61.37</v>
          </cell>
        </row>
        <row r="515">
          <cell r="D515">
            <v>40548</v>
          </cell>
          <cell r="E515">
            <v>14.69</v>
          </cell>
          <cell r="G515">
            <v>40548</v>
          </cell>
          <cell r="H515">
            <v>9.74</v>
          </cell>
          <cell r="J515">
            <v>40548</v>
          </cell>
          <cell r="K515">
            <v>3.26</v>
          </cell>
          <cell r="M515">
            <v>40548</v>
          </cell>
          <cell r="N515">
            <v>8.99</v>
          </cell>
          <cell r="P515">
            <v>40548</v>
          </cell>
          <cell r="Q515">
            <v>61.92</v>
          </cell>
        </row>
        <row r="516">
          <cell r="D516">
            <v>40547</v>
          </cell>
          <cell r="E516">
            <v>14.48</v>
          </cell>
          <cell r="G516">
            <v>40547</v>
          </cell>
          <cell r="H516">
            <v>9.65</v>
          </cell>
          <cell r="J516">
            <v>40547</v>
          </cell>
          <cell r="K516">
            <v>3.24</v>
          </cell>
          <cell r="M516">
            <v>40547</v>
          </cell>
          <cell r="N516">
            <v>8.48</v>
          </cell>
          <cell r="P516">
            <v>40547</v>
          </cell>
          <cell r="Q516">
            <v>59.1</v>
          </cell>
        </row>
        <row r="517">
          <cell r="D517">
            <v>40546</v>
          </cell>
          <cell r="E517">
            <v>14.73</v>
          </cell>
          <cell r="G517">
            <v>40546</v>
          </cell>
          <cell r="H517">
            <v>9.77</v>
          </cell>
          <cell r="J517">
            <v>40546</v>
          </cell>
          <cell r="K517">
            <v>3.41</v>
          </cell>
          <cell r="M517">
            <v>40546</v>
          </cell>
          <cell r="N517">
            <v>8.73</v>
          </cell>
          <cell r="P517">
            <v>40546</v>
          </cell>
          <cell r="Q517">
            <v>58.94</v>
          </cell>
        </row>
        <row r="518">
          <cell r="D518">
            <v>40543</v>
          </cell>
          <cell r="E518">
            <v>14.92</v>
          </cell>
          <cell r="G518">
            <v>40543</v>
          </cell>
          <cell r="H518">
            <v>9.5500000000000007</v>
          </cell>
          <cell r="J518">
            <v>40543</v>
          </cell>
          <cell r="K518">
            <v>3.34</v>
          </cell>
          <cell r="M518">
            <v>40543</v>
          </cell>
          <cell r="N518">
            <v>8.6449999999999996</v>
          </cell>
          <cell r="P518">
            <v>40543</v>
          </cell>
          <cell r="Q518">
            <v>58.13</v>
          </cell>
        </row>
        <row r="519">
          <cell r="D519">
            <v>40542</v>
          </cell>
          <cell r="E519">
            <v>14.58</v>
          </cell>
          <cell r="G519">
            <v>40542</v>
          </cell>
          <cell r="H519">
            <v>9.7200000000000006</v>
          </cell>
          <cell r="J519">
            <v>40542</v>
          </cell>
          <cell r="K519">
            <v>3.39</v>
          </cell>
          <cell r="M519">
            <v>40542</v>
          </cell>
          <cell r="N519">
            <v>8.74</v>
          </cell>
          <cell r="P519">
            <v>40542</v>
          </cell>
          <cell r="Q519">
            <v>58.07</v>
          </cell>
        </row>
        <row r="520">
          <cell r="D520">
            <v>40541</v>
          </cell>
          <cell r="E520">
            <v>14.65</v>
          </cell>
          <cell r="G520">
            <v>40541</v>
          </cell>
          <cell r="H520">
            <v>9.69</v>
          </cell>
          <cell r="J520">
            <v>40541</v>
          </cell>
          <cell r="K520">
            <v>3.18</v>
          </cell>
          <cell r="M520">
            <v>40541</v>
          </cell>
          <cell r="N520">
            <v>8.4</v>
          </cell>
          <cell r="P520">
            <v>40541</v>
          </cell>
          <cell r="Q520">
            <v>58.17</v>
          </cell>
        </row>
        <row r="521">
          <cell r="D521">
            <v>40540</v>
          </cell>
          <cell r="E521">
            <v>15.03</v>
          </cell>
          <cell r="G521">
            <v>40540</v>
          </cell>
          <cell r="H521">
            <v>9.76</v>
          </cell>
          <cell r="J521">
            <v>40540</v>
          </cell>
          <cell r="K521">
            <v>3.11</v>
          </cell>
          <cell r="M521">
            <v>40540</v>
          </cell>
          <cell r="N521">
            <v>8.42</v>
          </cell>
          <cell r="P521">
            <v>40540</v>
          </cell>
          <cell r="Q521">
            <v>58.02</v>
          </cell>
        </row>
        <row r="522">
          <cell r="D522">
            <v>40539</v>
          </cell>
          <cell r="E522">
            <v>14.75</v>
          </cell>
          <cell r="G522">
            <v>40539</v>
          </cell>
          <cell r="H522">
            <v>9.85</v>
          </cell>
          <cell r="J522">
            <v>40539</v>
          </cell>
          <cell r="K522">
            <v>3.06</v>
          </cell>
          <cell r="M522">
            <v>40539</v>
          </cell>
          <cell r="N522">
            <v>8.1999999999999993</v>
          </cell>
          <cell r="P522">
            <v>40539</v>
          </cell>
          <cell r="Q522">
            <v>58.47</v>
          </cell>
        </row>
        <row r="523">
          <cell r="D523">
            <v>40535</v>
          </cell>
          <cell r="E523">
            <v>13.37</v>
          </cell>
          <cell r="G523">
            <v>40535</v>
          </cell>
          <cell r="H523">
            <v>9.92</v>
          </cell>
          <cell r="J523">
            <v>40535</v>
          </cell>
          <cell r="K523">
            <v>3.05</v>
          </cell>
          <cell r="M523">
            <v>40535</v>
          </cell>
          <cell r="N523">
            <v>8.26</v>
          </cell>
          <cell r="P523">
            <v>40535</v>
          </cell>
          <cell r="Q523">
            <v>58.65</v>
          </cell>
        </row>
        <row r="524">
          <cell r="D524">
            <v>40534</v>
          </cell>
          <cell r="E524">
            <v>13.23</v>
          </cell>
          <cell r="G524">
            <v>40534</v>
          </cell>
          <cell r="H524">
            <v>10.02</v>
          </cell>
          <cell r="J524">
            <v>40534</v>
          </cell>
          <cell r="K524">
            <v>3.08</v>
          </cell>
          <cell r="M524">
            <v>40534</v>
          </cell>
          <cell r="N524">
            <v>8.23</v>
          </cell>
          <cell r="P524">
            <v>40534</v>
          </cell>
          <cell r="Q524">
            <v>58.69</v>
          </cell>
        </row>
        <row r="525">
          <cell r="D525">
            <v>40533</v>
          </cell>
          <cell r="E525">
            <v>13.03</v>
          </cell>
          <cell r="G525">
            <v>40533</v>
          </cell>
          <cell r="H525">
            <v>9.74</v>
          </cell>
          <cell r="J525">
            <v>40533</v>
          </cell>
          <cell r="K525">
            <v>3.08</v>
          </cell>
          <cell r="M525">
            <v>40533</v>
          </cell>
          <cell r="N525">
            <v>8.11</v>
          </cell>
          <cell r="P525">
            <v>40533</v>
          </cell>
          <cell r="Q525">
            <v>58.24</v>
          </cell>
        </row>
        <row r="526">
          <cell r="D526">
            <v>40532</v>
          </cell>
          <cell r="E526">
            <v>12.95</v>
          </cell>
          <cell r="G526">
            <v>40532</v>
          </cell>
          <cell r="H526">
            <v>8.9949999999999992</v>
          </cell>
          <cell r="J526">
            <v>40532</v>
          </cell>
          <cell r="K526">
            <v>3.09</v>
          </cell>
          <cell r="M526">
            <v>40532</v>
          </cell>
          <cell r="N526">
            <v>8.3000000000000007</v>
          </cell>
          <cell r="P526">
            <v>40532</v>
          </cell>
          <cell r="Q526">
            <v>58.48</v>
          </cell>
        </row>
        <row r="527">
          <cell r="D527">
            <v>40529</v>
          </cell>
          <cell r="E527">
            <v>12.63</v>
          </cell>
          <cell r="G527">
            <v>40529</v>
          </cell>
          <cell r="H527">
            <v>8.9</v>
          </cell>
          <cell r="J527">
            <v>40529</v>
          </cell>
          <cell r="K527">
            <v>3.11</v>
          </cell>
          <cell r="M527">
            <v>40529</v>
          </cell>
          <cell r="N527">
            <v>8.35</v>
          </cell>
          <cell r="P527">
            <v>40529</v>
          </cell>
          <cell r="Q527">
            <v>60.2</v>
          </cell>
        </row>
        <row r="528">
          <cell r="D528">
            <v>40528</v>
          </cell>
          <cell r="E528">
            <v>12.64</v>
          </cell>
          <cell r="G528">
            <v>40528</v>
          </cell>
          <cell r="H528">
            <v>8.92</v>
          </cell>
          <cell r="J528">
            <v>40528</v>
          </cell>
          <cell r="K528">
            <v>2.95</v>
          </cell>
          <cell r="M528">
            <v>40528</v>
          </cell>
          <cell r="N528">
            <v>8.27</v>
          </cell>
          <cell r="P528">
            <v>40528</v>
          </cell>
          <cell r="Q528">
            <v>59.24</v>
          </cell>
        </row>
        <row r="529">
          <cell r="D529">
            <v>40527</v>
          </cell>
          <cell r="E529">
            <v>12.55</v>
          </cell>
          <cell r="G529">
            <v>40527</v>
          </cell>
          <cell r="H529">
            <v>9.0399999999999991</v>
          </cell>
          <cell r="J529">
            <v>40527</v>
          </cell>
          <cell r="K529">
            <v>2.86</v>
          </cell>
          <cell r="M529">
            <v>40527</v>
          </cell>
          <cell r="N529">
            <v>8.3219999999999992</v>
          </cell>
          <cell r="P529">
            <v>40527</v>
          </cell>
          <cell r="Q529">
            <v>59.18</v>
          </cell>
        </row>
        <row r="530">
          <cell r="D530">
            <v>40526</v>
          </cell>
          <cell r="E530">
            <v>12.52</v>
          </cell>
          <cell r="G530">
            <v>40526</v>
          </cell>
          <cell r="H530">
            <v>9.0299999999999994</v>
          </cell>
          <cell r="J530">
            <v>40526</v>
          </cell>
          <cell r="K530">
            <v>2.89</v>
          </cell>
          <cell r="M530">
            <v>40526</v>
          </cell>
          <cell r="N530">
            <v>8.27</v>
          </cell>
          <cell r="P530">
            <v>40526</v>
          </cell>
          <cell r="Q530">
            <v>60.45</v>
          </cell>
        </row>
        <row r="531">
          <cell r="D531">
            <v>40525</v>
          </cell>
          <cell r="E531">
            <v>12.5</v>
          </cell>
          <cell r="G531">
            <v>40525</v>
          </cell>
          <cell r="H531">
            <v>9.2899999999999991</v>
          </cell>
          <cell r="J531">
            <v>40525</v>
          </cell>
          <cell r="K531">
            <v>2.93</v>
          </cell>
          <cell r="M531">
            <v>40525</v>
          </cell>
          <cell r="N531">
            <v>8.16</v>
          </cell>
          <cell r="P531">
            <v>40525</v>
          </cell>
          <cell r="Q531">
            <v>60.81</v>
          </cell>
        </row>
        <row r="532">
          <cell r="D532">
            <v>40522</v>
          </cell>
          <cell r="E532">
            <v>12.18</v>
          </cell>
          <cell r="G532">
            <v>40522</v>
          </cell>
          <cell r="H532">
            <v>9.4600000000000009</v>
          </cell>
          <cell r="J532">
            <v>40522</v>
          </cell>
          <cell r="K532">
            <v>2.95</v>
          </cell>
          <cell r="M532">
            <v>40522</v>
          </cell>
          <cell r="N532">
            <v>8.1</v>
          </cell>
          <cell r="P532">
            <v>40522</v>
          </cell>
          <cell r="Q532">
            <v>62.15</v>
          </cell>
        </row>
        <row r="533">
          <cell r="D533">
            <v>40521</v>
          </cell>
          <cell r="E533">
            <v>11.06</v>
          </cell>
          <cell r="G533">
            <v>40521</v>
          </cell>
          <cell r="H533">
            <v>9.4499999999999993</v>
          </cell>
          <cell r="J533">
            <v>40521</v>
          </cell>
          <cell r="K533">
            <v>2.99</v>
          </cell>
          <cell r="M533">
            <v>40521</v>
          </cell>
          <cell r="N533">
            <v>8.25</v>
          </cell>
          <cell r="P533">
            <v>40521</v>
          </cell>
          <cell r="Q533">
            <v>61.29</v>
          </cell>
        </row>
        <row r="534">
          <cell r="D534">
            <v>40520</v>
          </cell>
          <cell r="E534">
            <v>10.99</v>
          </cell>
          <cell r="G534">
            <v>40520</v>
          </cell>
          <cell r="H534">
            <v>9.5</v>
          </cell>
          <cell r="J534">
            <v>40520</v>
          </cell>
          <cell r="K534">
            <v>2.85</v>
          </cell>
          <cell r="M534">
            <v>40520</v>
          </cell>
          <cell r="N534">
            <v>8.32</v>
          </cell>
          <cell r="P534">
            <v>40520</v>
          </cell>
          <cell r="Q534">
            <v>61.37</v>
          </cell>
        </row>
        <row r="535">
          <cell r="D535">
            <v>40519</v>
          </cell>
          <cell r="E535">
            <v>11.07</v>
          </cell>
          <cell r="G535">
            <v>40519</v>
          </cell>
          <cell r="H535">
            <v>9.2750000000000004</v>
          </cell>
          <cell r="J535">
            <v>40519</v>
          </cell>
          <cell r="K535">
            <v>2.9</v>
          </cell>
          <cell r="M535">
            <v>40519</v>
          </cell>
          <cell r="N535">
            <v>8.0500000000000007</v>
          </cell>
          <cell r="P535">
            <v>40519</v>
          </cell>
          <cell r="Q535">
            <v>62.12</v>
          </cell>
        </row>
        <row r="536">
          <cell r="D536">
            <v>40518</v>
          </cell>
          <cell r="E536">
            <v>11.25</v>
          </cell>
          <cell r="G536">
            <v>40518</v>
          </cell>
          <cell r="H536">
            <v>9.56</v>
          </cell>
          <cell r="J536">
            <v>40518</v>
          </cell>
          <cell r="K536">
            <v>2.8</v>
          </cell>
          <cell r="M536">
            <v>40518</v>
          </cell>
          <cell r="N536">
            <v>8.25</v>
          </cell>
          <cell r="P536">
            <v>40518</v>
          </cell>
          <cell r="Q536">
            <v>63.327500000000001</v>
          </cell>
        </row>
        <row r="537">
          <cell r="D537">
            <v>40515</v>
          </cell>
          <cell r="E537">
            <v>11.29</v>
          </cell>
          <cell r="G537">
            <v>40515</v>
          </cell>
          <cell r="H537">
            <v>9.41</v>
          </cell>
          <cell r="J537">
            <v>40515</v>
          </cell>
          <cell r="K537">
            <v>2.7</v>
          </cell>
          <cell r="M537">
            <v>40515</v>
          </cell>
          <cell r="N537">
            <v>8.17</v>
          </cell>
          <cell r="P537">
            <v>40515</v>
          </cell>
          <cell r="Q537">
            <v>62.65</v>
          </cell>
        </row>
        <row r="538">
          <cell r="D538">
            <v>40514</v>
          </cell>
          <cell r="E538">
            <v>11.43</v>
          </cell>
          <cell r="G538">
            <v>40514</v>
          </cell>
          <cell r="H538">
            <v>8.86</v>
          </cell>
          <cell r="J538">
            <v>40514</v>
          </cell>
          <cell r="K538">
            <v>2.59</v>
          </cell>
          <cell r="M538">
            <v>40514</v>
          </cell>
          <cell r="N538">
            <v>8.32</v>
          </cell>
          <cell r="P538">
            <v>40514</v>
          </cell>
          <cell r="Q538">
            <v>62.69</v>
          </cell>
        </row>
        <row r="539">
          <cell r="D539">
            <v>40513</v>
          </cell>
          <cell r="E539">
            <v>11.16</v>
          </cell>
          <cell r="G539">
            <v>40513</v>
          </cell>
          <cell r="H539">
            <v>8.73</v>
          </cell>
          <cell r="J539">
            <v>40513</v>
          </cell>
          <cell r="K539">
            <v>2.65</v>
          </cell>
          <cell r="M539">
            <v>40513</v>
          </cell>
          <cell r="N539">
            <v>8.4499999999999993</v>
          </cell>
          <cell r="P539">
            <v>40513</v>
          </cell>
          <cell r="Q539">
            <v>61.820999999999998</v>
          </cell>
        </row>
        <row r="540">
          <cell r="D540">
            <v>40512</v>
          </cell>
          <cell r="E540">
            <v>11.12</v>
          </cell>
          <cell r="G540">
            <v>40512</v>
          </cell>
          <cell r="H540">
            <v>9.81</v>
          </cell>
          <cell r="J540">
            <v>40512</v>
          </cell>
          <cell r="K540">
            <v>2.61</v>
          </cell>
          <cell r="M540">
            <v>40512</v>
          </cell>
          <cell r="N540">
            <v>8.16</v>
          </cell>
          <cell r="P540">
            <v>40512</v>
          </cell>
          <cell r="Q540">
            <v>61.83</v>
          </cell>
        </row>
        <row r="541">
          <cell r="D541">
            <v>40511</v>
          </cell>
          <cell r="E541">
            <v>11.16</v>
          </cell>
          <cell r="G541">
            <v>40511</v>
          </cell>
          <cell r="H541">
            <v>10.17</v>
          </cell>
          <cell r="J541">
            <v>40511</v>
          </cell>
          <cell r="K541">
            <v>2.69</v>
          </cell>
          <cell r="M541">
            <v>40511</v>
          </cell>
          <cell r="N541">
            <v>8.44</v>
          </cell>
          <cell r="P541">
            <v>40511</v>
          </cell>
          <cell r="Q541">
            <v>58.99</v>
          </cell>
        </row>
        <row r="542">
          <cell r="D542">
            <v>40508</v>
          </cell>
          <cell r="E542">
            <v>11.15</v>
          </cell>
          <cell r="G542">
            <v>40508</v>
          </cell>
          <cell r="H542">
            <v>9.85</v>
          </cell>
          <cell r="J542">
            <v>40508</v>
          </cell>
          <cell r="K542">
            <v>2.69</v>
          </cell>
          <cell r="M542">
            <v>40508</v>
          </cell>
          <cell r="N542">
            <v>8.6999999999999993</v>
          </cell>
          <cell r="P542">
            <v>40508</v>
          </cell>
          <cell r="Q542">
            <v>59.2</v>
          </cell>
        </row>
        <row r="543">
          <cell r="D543">
            <v>40506</v>
          </cell>
          <cell r="E543">
            <v>11.37</v>
          </cell>
          <cell r="G543">
            <v>40506</v>
          </cell>
          <cell r="H543">
            <v>10.24</v>
          </cell>
          <cell r="J543">
            <v>40506</v>
          </cell>
          <cell r="K543">
            <v>2.75</v>
          </cell>
          <cell r="M543">
            <v>40506</v>
          </cell>
          <cell r="N543">
            <v>8.6900999999999993</v>
          </cell>
          <cell r="P543">
            <v>40506</v>
          </cell>
          <cell r="Q543">
            <v>59.494999999999997</v>
          </cell>
        </row>
        <row r="544">
          <cell r="D544">
            <v>40505</v>
          </cell>
          <cell r="E544">
            <v>11.28</v>
          </cell>
          <cell r="G544">
            <v>40505</v>
          </cell>
          <cell r="H544">
            <v>10</v>
          </cell>
          <cell r="J544">
            <v>40505</v>
          </cell>
          <cell r="K544">
            <v>2.63</v>
          </cell>
          <cell r="M544">
            <v>40505</v>
          </cell>
          <cell r="N544">
            <v>8.6999999999999993</v>
          </cell>
          <cell r="P544">
            <v>40505</v>
          </cell>
          <cell r="Q544">
            <v>57.85</v>
          </cell>
        </row>
        <row r="545">
          <cell r="D545">
            <v>40504</v>
          </cell>
          <cell r="E545">
            <v>11.33</v>
          </cell>
          <cell r="G545">
            <v>40504</v>
          </cell>
          <cell r="H545">
            <v>10.43</v>
          </cell>
          <cell r="J545">
            <v>40504</v>
          </cell>
          <cell r="K545">
            <v>2.72</v>
          </cell>
          <cell r="M545">
            <v>40504</v>
          </cell>
          <cell r="N545">
            <v>8.6999999999999993</v>
          </cell>
          <cell r="P545">
            <v>40504</v>
          </cell>
          <cell r="Q545">
            <v>59.3</v>
          </cell>
        </row>
        <row r="546">
          <cell r="D546">
            <v>40501</v>
          </cell>
          <cell r="E546">
            <v>11.24</v>
          </cell>
          <cell r="G546">
            <v>40501</v>
          </cell>
          <cell r="H546">
            <v>9.8000000000000007</v>
          </cell>
          <cell r="J546">
            <v>40501</v>
          </cell>
          <cell r="K546">
            <v>2.67</v>
          </cell>
          <cell r="M546">
            <v>40501</v>
          </cell>
          <cell r="N546">
            <v>8.35</v>
          </cell>
          <cell r="P546">
            <v>40501</v>
          </cell>
          <cell r="Q546">
            <v>58.66</v>
          </cell>
        </row>
        <row r="547">
          <cell r="D547">
            <v>40500</v>
          </cell>
          <cell r="E547">
            <v>11.12</v>
          </cell>
          <cell r="G547">
            <v>40500</v>
          </cell>
          <cell r="H547">
            <v>9.98</v>
          </cell>
          <cell r="J547">
            <v>40500</v>
          </cell>
          <cell r="K547">
            <v>2.7</v>
          </cell>
          <cell r="M547">
            <v>40500</v>
          </cell>
          <cell r="N547">
            <v>8.3000000000000007</v>
          </cell>
          <cell r="P547">
            <v>40500</v>
          </cell>
          <cell r="Q547">
            <v>57.25</v>
          </cell>
        </row>
        <row r="548">
          <cell r="D548">
            <v>40499</v>
          </cell>
          <cell r="E548">
            <v>10.65</v>
          </cell>
          <cell r="G548">
            <v>40499</v>
          </cell>
          <cell r="H548">
            <v>9.42</v>
          </cell>
          <cell r="J548">
            <v>40499</v>
          </cell>
          <cell r="K548">
            <v>2.67</v>
          </cell>
          <cell r="M548">
            <v>40499</v>
          </cell>
          <cell r="N548">
            <v>8.2799999999999994</v>
          </cell>
          <cell r="P548">
            <v>40499</v>
          </cell>
          <cell r="Q548">
            <v>55.92</v>
          </cell>
        </row>
        <row r="549">
          <cell r="D549">
            <v>40498</v>
          </cell>
          <cell r="E549">
            <v>10.54</v>
          </cell>
          <cell r="G549">
            <v>40498</v>
          </cell>
          <cell r="H549">
            <v>9.1300000000000008</v>
          </cell>
          <cell r="J549">
            <v>40498</v>
          </cell>
          <cell r="K549">
            <v>2.79</v>
          </cell>
          <cell r="M549">
            <v>40498</v>
          </cell>
          <cell r="N549">
            <v>8.2308000000000003</v>
          </cell>
          <cell r="P549">
            <v>40498</v>
          </cell>
          <cell r="Q549">
            <v>56.29</v>
          </cell>
        </row>
        <row r="550">
          <cell r="D550">
            <v>40497</v>
          </cell>
          <cell r="E550">
            <v>10.75</v>
          </cell>
          <cell r="G550">
            <v>40497</v>
          </cell>
          <cell r="H550">
            <v>9.5399999999999991</v>
          </cell>
          <cell r="J550">
            <v>40497</v>
          </cell>
          <cell r="K550">
            <v>2.7401</v>
          </cell>
          <cell r="M550">
            <v>40497</v>
          </cell>
          <cell r="N550">
            <v>8.5500000000000007</v>
          </cell>
          <cell r="P550">
            <v>40497</v>
          </cell>
          <cell r="Q550">
            <v>57.78</v>
          </cell>
        </row>
        <row r="551">
          <cell r="D551">
            <v>40494</v>
          </cell>
          <cell r="E551">
            <v>10.56</v>
          </cell>
          <cell r="G551">
            <v>40494</v>
          </cell>
          <cell r="H551">
            <v>9.86</v>
          </cell>
          <cell r="J551">
            <v>40494</v>
          </cell>
          <cell r="K551">
            <v>2.66</v>
          </cell>
          <cell r="M551">
            <v>40494</v>
          </cell>
          <cell r="N551">
            <v>8.1300000000000008</v>
          </cell>
          <cell r="P551">
            <v>40494</v>
          </cell>
          <cell r="Q551">
            <v>58.8</v>
          </cell>
        </row>
        <row r="552">
          <cell r="D552">
            <v>40493</v>
          </cell>
          <cell r="E552">
            <v>10.75</v>
          </cell>
          <cell r="G552">
            <v>40493</v>
          </cell>
          <cell r="H552">
            <v>10.220000000000001</v>
          </cell>
          <cell r="J552">
            <v>40493</v>
          </cell>
          <cell r="K552">
            <v>2.621</v>
          </cell>
          <cell r="M552">
            <v>40493</v>
          </cell>
          <cell r="N552">
            <v>8.5500000000000007</v>
          </cell>
          <cell r="P552">
            <v>40493</v>
          </cell>
          <cell r="Q552">
            <v>59.07</v>
          </cell>
        </row>
        <row r="553">
          <cell r="D553">
            <v>40492</v>
          </cell>
          <cell r="E553">
            <v>11.07</v>
          </cell>
          <cell r="G553">
            <v>40492</v>
          </cell>
          <cell r="H553">
            <v>10.32</v>
          </cell>
          <cell r="J553">
            <v>40492</v>
          </cell>
          <cell r="K553">
            <v>2.6</v>
          </cell>
          <cell r="M553">
            <v>40492</v>
          </cell>
          <cell r="N553">
            <v>8.83</v>
          </cell>
          <cell r="P553">
            <v>40492</v>
          </cell>
          <cell r="Q553">
            <v>58.44</v>
          </cell>
        </row>
        <row r="554">
          <cell r="D554">
            <v>40491</v>
          </cell>
          <cell r="E554">
            <v>10.84</v>
          </cell>
          <cell r="G554">
            <v>40491</v>
          </cell>
          <cell r="H554">
            <v>10.199999999999999</v>
          </cell>
          <cell r="J554">
            <v>40491</v>
          </cell>
          <cell r="K554">
            <v>2.5099999999999998</v>
          </cell>
          <cell r="M554">
            <v>40491</v>
          </cell>
          <cell r="N554">
            <v>8.8000000000000007</v>
          </cell>
          <cell r="P554">
            <v>40491</v>
          </cell>
          <cell r="Q554">
            <v>55</v>
          </cell>
        </row>
        <row r="555">
          <cell r="D555">
            <v>40490</v>
          </cell>
          <cell r="E555">
            <v>11.15</v>
          </cell>
          <cell r="G555">
            <v>40490</v>
          </cell>
          <cell r="H555">
            <v>10.32</v>
          </cell>
          <cell r="J555">
            <v>40490</v>
          </cell>
          <cell r="K555">
            <v>2.5550000000000002</v>
          </cell>
          <cell r="M555">
            <v>40490</v>
          </cell>
          <cell r="N555">
            <v>8.77</v>
          </cell>
          <cell r="P555">
            <v>40490</v>
          </cell>
          <cell r="Q555">
            <v>56.494999999999997</v>
          </cell>
        </row>
        <row r="556">
          <cell r="D556">
            <v>40487</v>
          </cell>
          <cell r="E556">
            <v>11.36</v>
          </cell>
          <cell r="G556">
            <v>40487</v>
          </cell>
          <cell r="H556">
            <v>10.119999999999999</v>
          </cell>
          <cell r="J556">
            <v>40487</v>
          </cell>
          <cell r="K556">
            <v>2.5499999999999998</v>
          </cell>
          <cell r="M556">
            <v>40487</v>
          </cell>
          <cell r="N556">
            <v>9.2200000000000006</v>
          </cell>
          <cell r="P556">
            <v>40487</v>
          </cell>
          <cell r="Q556">
            <v>55.66</v>
          </cell>
        </row>
        <row r="557">
          <cell r="D557">
            <v>40486</v>
          </cell>
          <cell r="E557">
            <v>12.14</v>
          </cell>
          <cell r="G557">
            <v>40486</v>
          </cell>
          <cell r="H557">
            <v>10.81</v>
          </cell>
          <cell r="J557">
            <v>40486</v>
          </cell>
          <cell r="K557">
            <v>2.13</v>
          </cell>
          <cell r="M557">
            <v>40486</v>
          </cell>
          <cell r="N557">
            <v>8.7899999999999991</v>
          </cell>
          <cell r="P557">
            <v>40486</v>
          </cell>
          <cell r="Q557">
            <v>57.11</v>
          </cell>
        </row>
        <row r="558">
          <cell r="D558">
            <v>40485</v>
          </cell>
          <cell r="E558">
            <v>12.16</v>
          </cell>
          <cell r="G558">
            <v>40485</v>
          </cell>
          <cell r="H558">
            <v>10.89</v>
          </cell>
          <cell r="J558">
            <v>40485</v>
          </cell>
          <cell r="K558">
            <v>2.17</v>
          </cell>
          <cell r="M558">
            <v>40485</v>
          </cell>
          <cell r="N558">
            <v>9</v>
          </cell>
          <cell r="P558">
            <v>40485</v>
          </cell>
          <cell r="Q558">
            <v>56.22</v>
          </cell>
        </row>
        <row r="559">
          <cell r="D559">
            <v>40484</v>
          </cell>
          <cell r="E559">
            <v>12.08</v>
          </cell>
          <cell r="G559">
            <v>40484</v>
          </cell>
          <cell r="H559">
            <v>11.25</v>
          </cell>
          <cell r="J559">
            <v>40484</v>
          </cell>
          <cell r="K559">
            <v>2.2000000000000002</v>
          </cell>
          <cell r="M559">
            <v>40484</v>
          </cell>
          <cell r="N559">
            <v>9.39</v>
          </cell>
          <cell r="P559">
            <v>40484</v>
          </cell>
          <cell r="Q559">
            <v>55.9</v>
          </cell>
        </row>
        <row r="560">
          <cell r="D560">
            <v>40483</v>
          </cell>
          <cell r="E560">
            <v>12.19</v>
          </cell>
          <cell r="G560">
            <v>40483</v>
          </cell>
          <cell r="H560">
            <v>11.14</v>
          </cell>
          <cell r="J560">
            <v>40483</v>
          </cell>
          <cell r="K560">
            <v>2.21</v>
          </cell>
          <cell r="M560">
            <v>40483</v>
          </cell>
          <cell r="N560">
            <v>9.07</v>
          </cell>
          <cell r="P560">
            <v>40483</v>
          </cell>
          <cell r="Q560">
            <v>56.05</v>
          </cell>
        </row>
        <row r="561">
          <cell r="D561">
            <v>40480</v>
          </cell>
          <cell r="E561">
            <v>12.07</v>
          </cell>
          <cell r="G561">
            <v>40480</v>
          </cell>
          <cell r="H561">
            <v>10.5</v>
          </cell>
          <cell r="J561">
            <v>40480</v>
          </cell>
          <cell r="K561">
            <v>2.21</v>
          </cell>
          <cell r="M561">
            <v>40480</v>
          </cell>
          <cell r="N561">
            <v>7.76</v>
          </cell>
          <cell r="P561">
            <v>40480</v>
          </cell>
          <cell r="Q561">
            <v>56.92</v>
          </cell>
        </row>
        <row r="562">
          <cell r="D562">
            <v>40479</v>
          </cell>
          <cell r="E562">
            <v>11.41</v>
          </cell>
          <cell r="G562">
            <v>40479</v>
          </cell>
          <cell r="H562">
            <v>10.82</v>
          </cell>
          <cell r="J562">
            <v>40479</v>
          </cell>
          <cell r="K562">
            <v>2.11</v>
          </cell>
          <cell r="M562">
            <v>40479</v>
          </cell>
          <cell r="N562">
            <v>7.25</v>
          </cell>
          <cell r="P562">
            <v>40479</v>
          </cell>
          <cell r="Q562">
            <v>56.21</v>
          </cell>
        </row>
        <row r="563">
          <cell r="D563">
            <v>40478</v>
          </cell>
          <cell r="E563">
            <v>11.39</v>
          </cell>
          <cell r="G563">
            <v>40478</v>
          </cell>
          <cell r="H563">
            <v>11.23</v>
          </cell>
          <cell r="J563">
            <v>40478</v>
          </cell>
          <cell r="K563">
            <v>2.11</v>
          </cell>
          <cell r="M563">
            <v>40478</v>
          </cell>
          <cell r="N563">
            <v>7.7</v>
          </cell>
          <cell r="P563">
            <v>40478</v>
          </cell>
          <cell r="Q563">
            <v>55.825800000000001</v>
          </cell>
        </row>
        <row r="564">
          <cell r="D564">
            <v>40477</v>
          </cell>
          <cell r="E564">
            <v>11.38</v>
          </cell>
          <cell r="G564">
            <v>40477</v>
          </cell>
          <cell r="H564">
            <v>11.02</v>
          </cell>
          <cell r="J564">
            <v>40477</v>
          </cell>
          <cell r="K564">
            <v>2.06</v>
          </cell>
          <cell r="M564">
            <v>40477</v>
          </cell>
          <cell r="N564">
            <v>7.69</v>
          </cell>
          <cell r="P564">
            <v>40477</v>
          </cell>
          <cell r="Q564">
            <v>54.76</v>
          </cell>
        </row>
        <row r="565">
          <cell r="D565">
            <v>40476</v>
          </cell>
          <cell r="E565">
            <v>11.59</v>
          </cell>
          <cell r="G565">
            <v>40476</v>
          </cell>
          <cell r="H565">
            <v>11.5</v>
          </cell>
          <cell r="J565">
            <v>40476</v>
          </cell>
          <cell r="K565">
            <v>2</v>
          </cell>
          <cell r="M565">
            <v>40476</v>
          </cell>
          <cell r="N565">
            <v>7.78</v>
          </cell>
          <cell r="P565">
            <v>40476</v>
          </cell>
          <cell r="Q565">
            <v>51.72</v>
          </cell>
        </row>
        <row r="566">
          <cell r="D566">
            <v>40473</v>
          </cell>
          <cell r="E566">
            <v>11.53</v>
          </cell>
          <cell r="G566">
            <v>40473</v>
          </cell>
          <cell r="H566">
            <v>10.76</v>
          </cell>
          <cell r="J566">
            <v>40473</v>
          </cell>
          <cell r="K566">
            <v>2</v>
          </cell>
          <cell r="M566">
            <v>40473</v>
          </cell>
          <cell r="N566">
            <v>7.51</v>
          </cell>
          <cell r="P566">
            <v>40473</v>
          </cell>
          <cell r="Q566">
            <v>49.03</v>
          </cell>
        </row>
        <row r="567">
          <cell r="D567">
            <v>40472</v>
          </cell>
          <cell r="E567">
            <v>11.52</v>
          </cell>
          <cell r="G567">
            <v>40472</v>
          </cell>
          <cell r="H567">
            <v>10.64</v>
          </cell>
          <cell r="J567">
            <v>40472</v>
          </cell>
          <cell r="K567">
            <v>2</v>
          </cell>
          <cell r="M567">
            <v>40472</v>
          </cell>
          <cell r="N567">
            <v>7.4</v>
          </cell>
          <cell r="P567">
            <v>40472</v>
          </cell>
          <cell r="Q567">
            <v>49.1</v>
          </cell>
        </row>
        <row r="568">
          <cell r="D568">
            <v>40471</v>
          </cell>
          <cell r="E568">
            <v>11.57</v>
          </cell>
          <cell r="G568">
            <v>40471</v>
          </cell>
          <cell r="H568">
            <v>10.6</v>
          </cell>
          <cell r="J568">
            <v>40471</v>
          </cell>
          <cell r="K568">
            <v>1.98</v>
          </cell>
          <cell r="M568">
            <v>40471</v>
          </cell>
          <cell r="N568">
            <v>6.93</v>
          </cell>
          <cell r="P568">
            <v>40471</v>
          </cell>
          <cell r="Q568">
            <v>49.08</v>
          </cell>
        </row>
        <row r="569">
          <cell r="D569">
            <v>40470</v>
          </cell>
          <cell r="E569">
            <v>11.3072</v>
          </cell>
          <cell r="G569">
            <v>40470</v>
          </cell>
          <cell r="H569">
            <v>10.42</v>
          </cell>
          <cell r="J569">
            <v>40470</v>
          </cell>
          <cell r="K569">
            <v>2</v>
          </cell>
          <cell r="M569">
            <v>40470</v>
          </cell>
          <cell r="N569">
            <v>6.7899000000000003</v>
          </cell>
          <cell r="P569">
            <v>40470</v>
          </cell>
          <cell r="Q569">
            <v>47.3</v>
          </cell>
        </row>
        <row r="570">
          <cell r="D570">
            <v>40469</v>
          </cell>
          <cell r="E570">
            <v>11.59</v>
          </cell>
          <cell r="G570">
            <v>40469</v>
          </cell>
          <cell r="H570">
            <v>10.51</v>
          </cell>
          <cell r="J570">
            <v>40469</v>
          </cell>
          <cell r="K570">
            <v>2</v>
          </cell>
          <cell r="M570">
            <v>40469</v>
          </cell>
          <cell r="N570">
            <v>6.79</v>
          </cell>
          <cell r="P570">
            <v>40469</v>
          </cell>
          <cell r="Q570">
            <v>48.54</v>
          </cell>
        </row>
        <row r="571">
          <cell r="D571">
            <v>40466</v>
          </cell>
          <cell r="E571">
            <v>11.76</v>
          </cell>
          <cell r="G571">
            <v>40466</v>
          </cell>
          <cell r="H571">
            <v>10.61</v>
          </cell>
          <cell r="J571">
            <v>40466</v>
          </cell>
          <cell r="K571">
            <v>2.0299999999999998</v>
          </cell>
          <cell r="M571">
            <v>40466</v>
          </cell>
          <cell r="N571">
            <v>6.7</v>
          </cell>
          <cell r="P571">
            <v>40466</v>
          </cell>
          <cell r="Q571">
            <v>48.69</v>
          </cell>
        </row>
        <row r="572">
          <cell r="D572">
            <v>40465</v>
          </cell>
          <cell r="E572">
            <v>11.5</v>
          </cell>
          <cell r="G572">
            <v>40465</v>
          </cell>
          <cell r="H572">
            <v>10.45</v>
          </cell>
          <cell r="J572">
            <v>40465</v>
          </cell>
          <cell r="K572">
            <v>2.02</v>
          </cell>
          <cell r="M572">
            <v>40465</v>
          </cell>
          <cell r="N572">
            <v>6.72</v>
          </cell>
          <cell r="P572">
            <v>40465</v>
          </cell>
          <cell r="Q572">
            <v>49.12</v>
          </cell>
        </row>
        <row r="573">
          <cell r="D573">
            <v>40464</v>
          </cell>
          <cell r="E573">
            <v>11.45</v>
          </cell>
          <cell r="G573">
            <v>40464</v>
          </cell>
          <cell r="H573">
            <v>9.83</v>
          </cell>
          <cell r="J573">
            <v>40464</v>
          </cell>
          <cell r="K573">
            <v>2.024</v>
          </cell>
          <cell r="M573">
            <v>40464</v>
          </cell>
          <cell r="N573">
            <v>6.77</v>
          </cell>
          <cell r="P573">
            <v>40464</v>
          </cell>
          <cell r="Q573">
            <v>50.01</v>
          </cell>
        </row>
        <row r="574">
          <cell r="D574">
            <v>40463</v>
          </cell>
          <cell r="E574">
            <v>11.07</v>
          </cell>
          <cell r="G574">
            <v>40463</v>
          </cell>
          <cell r="H574">
            <v>9.76</v>
          </cell>
          <cell r="J574">
            <v>40463</v>
          </cell>
          <cell r="K574">
            <v>1.99</v>
          </cell>
          <cell r="M574">
            <v>40463</v>
          </cell>
          <cell r="N574">
            <v>6.51</v>
          </cell>
          <cell r="P574">
            <v>40463</v>
          </cell>
          <cell r="Q574">
            <v>48.97</v>
          </cell>
        </row>
        <row r="575">
          <cell r="D575">
            <v>40462</v>
          </cell>
          <cell r="E575">
            <v>10.89</v>
          </cell>
          <cell r="G575">
            <v>40462</v>
          </cell>
          <cell r="H575">
            <v>9.56</v>
          </cell>
          <cell r="J575">
            <v>40462</v>
          </cell>
          <cell r="K575">
            <v>2.0099999999999998</v>
          </cell>
          <cell r="M575">
            <v>40462</v>
          </cell>
          <cell r="N575">
            <v>6.15</v>
          </cell>
          <cell r="P575">
            <v>40462</v>
          </cell>
          <cell r="Q575">
            <v>48.68</v>
          </cell>
        </row>
        <row r="576">
          <cell r="D576">
            <v>40459</v>
          </cell>
          <cell r="E576">
            <v>11.04</v>
          </cell>
          <cell r="G576">
            <v>40459</v>
          </cell>
          <cell r="H576">
            <v>9.3000000000000007</v>
          </cell>
          <cell r="J576">
            <v>40459</v>
          </cell>
          <cell r="K576">
            <v>2.02</v>
          </cell>
          <cell r="M576">
            <v>40459</v>
          </cell>
          <cell r="N576">
            <v>6.06</v>
          </cell>
          <cell r="P576">
            <v>40459</v>
          </cell>
          <cell r="Q576">
            <v>49.36</v>
          </cell>
        </row>
        <row r="577">
          <cell r="D577">
            <v>40458</v>
          </cell>
          <cell r="E577">
            <v>10.8</v>
          </cell>
          <cell r="G577">
            <v>40458</v>
          </cell>
          <cell r="H577">
            <v>8.7799999999999994</v>
          </cell>
          <cell r="J577">
            <v>40458</v>
          </cell>
          <cell r="K577">
            <v>1.95</v>
          </cell>
          <cell r="M577">
            <v>40458</v>
          </cell>
          <cell r="N577">
            <v>5.86</v>
          </cell>
          <cell r="P577">
            <v>40458</v>
          </cell>
          <cell r="Q577">
            <v>47.92</v>
          </cell>
        </row>
        <row r="578">
          <cell r="D578">
            <v>40457</v>
          </cell>
          <cell r="E578">
            <v>11.06</v>
          </cell>
          <cell r="G578">
            <v>40457</v>
          </cell>
          <cell r="H578">
            <v>8.85</v>
          </cell>
          <cell r="J578">
            <v>40457</v>
          </cell>
          <cell r="K578">
            <v>1.98</v>
          </cell>
          <cell r="M578">
            <v>40457</v>
          </cell>
          <cell r="N578">
            <v>5.8998999999999997</v>
          </cell>
          <cell r="P578">
            <v>40457</v>
          </cell>
          <cell r="Q578">
            <v>48.01</v>
          </cell>
        </row>
        <row r="579">
          <cell r="D579">
            <v>40456</v>
          </cell>
          <cell r="E579">
            <v>10.89</v>
          </cell>
          <cell r="G579">
            <v>40456</v>
          </cell>
          <cell r="H579">
            <v>8.75</v>
          </cell>
          <cell r="J579">
            <v>40456</v>
          </cell>
          <cell r="K579">
            <v>2.0101</v>
          </cell>
          <cell r="M579">
            <v>40456</v>
          </cell>
          <cell r="N579">
            <v>6.02</v>
          </cell>
          <cell r="P579">
            <v>40456</v>
          </cell>
          <cell r="Q579">
            <v>49.68</v>
          </cell>
        </row>
        <row r="580">
          <cell r="D580">
            <v>40455</v>
          </cell>
          <cell r="E580">
            <v>10.51</v>
          </cell>
          <cell r="G580">
            <v>40455</v>
          </cell>
          <cell r="H580">
            <v>8.39</v>
          </cell>
          <cell r="J580">
            <v>40455</v>
          </cell>
          <cell r="K580">
            <v>1.99</v>
          </cell>
          <cell r="M580">
            <v>40455</v>
          </cell>
          <cell r="N580">
            <v>5.91</v>
          </cell>
          <cell r="P580">
            <v>40455</v>
          </cell>
          <cell r="Q580">
            <v>48.96</v>
          </cell>
        </row>
        <row r="581">
          <cell r="D581">
            <v>40452</v>
          </cell>
          <cell r="E581">
            <v>10.42</v>
          </cell>
          <cell r="G581">
            <v>40452</v>
          </cell>
          <cell r="H581">
            <v>8.56</v>
          </cell>
          <cell r="J581">
            <v>40452</v>
          </cell>
          <cell r="K581">
            <v>1.97</v>
          </cell>
          <cell r="M581">
            <v>40452</v>
          </cell>
          <cell r="N581">
            <v>5.8</v>
          </cell>
          <cell r="P581">
            <v>40452</v>
          </cell>
          <cell r="Q581">
            <v>50.21</v>
          </cell>
        </row>
        <row r="582">
          <cell r="D582">
            <v>40451</v>
          </cell>
          <cell r="E582">
            <v>10.37</v>
          </cell>
          <cell r="G582">
            <v>40451</v>
          </cell>
          <cell r="H582">
            <v>7.88</v>
          </cell>
          <cell r="J582">
            <v>40451</v>
          </cell>
          <cell r="K582">
            <v>1.99</v>
          </cell>
          <cell r="M582">
            <v>40451</v>
          </cell>
          <cell r="N582">
            <v>5.9</v>
          </cell>
          <cell r="P582">
            <v>40451</v>
          </cell>
          <cell r="Q582">
            <v>48.69</v>
          </cell>
        </row>
        <row r="583">
          <cell r="D583">
            <v>40450</v>
          </cell>
          <cell r="E583">
            <v>10.54</v>
          </cell>
          <cell r="G583">
            <v>40450</v>
          </cell>
          <cell r="H583">
            <v>7.74</v>
          </cell>
          <cell r="J583">
            <v>40450</v>
          </cell>
          <cell r="K583">
            <v>1.98</v>
          </cell>
          <cell r="M583">
            <v>40450</v>
          </cell>
          <cell r="N583">
            <v>5.97</v>
          </cell>
          <cell r="P583">
            <v>40450</v>
          </cell>
          <cell r="Q583">
            <v>48.36</v>
          </cell>
        </row>
        <row r="584">
          <cell r="D584">
            <v>40449</v>
          </cell>
          <cell r="E584">
            <v>10.61</v>
          </cell>
          <cell r="G584">
            <v>40449</v>
          </cell>
          <cell r="H584">
            <v>7.66</v>
          </cell>
          <cell r="J584">
            <v>40449</v>
          </cell>
          <cell r="K584">
            <v>1.95</v>
          </cell>
          <cell r="M584">
            <v>40449</v>
          </cell>
          <cell r="N584">
            <v>6.05</v>
          </cell>
          <cell r="P584">
            <v>40449</v>
          </cell>
          <cell r="Q584">
            <v>46.91</v>
          </cell>
        </row>
        <row r="585">
          <cell r="D585">
            <v>40448</v>
          </cell>
          <cell r="E585">
            <v>10.5</v>
          </cell>
          <cell r="G585">
            <v>40448</v>
          </cell>
          <cell r="H585">
            <v>7.67</v>
          </cell>
          <cell r="J585">
            <v>40448</v>
          </cell>
          <cell r="K585">
            <v>2.04</v>
          </cell>
          <cell r="M585">
            <v>40448</v>
          </cell>
          <cell r="N585">
            <v>5.73</v>
          </cell>
          <cell r="P585">
            <v>40448</v>
          </cell>
          <cell r="Q585">
            <v>48.36</v>
          </cell>
        </row>
        <row r="586">
          <cell r="D586">
            <v>40445</v>
          </cell>
          <cell r="E586">
            <v>10.29</v>
          </cell>
          <cell r="G586">
            <v>40445</v>
          </cell>
          <cell r="H586">
            <v>7.63</v>
          </cell>
          <cell r="J586">
            <v>40445</v>
          </cell>
          <cell r="K586">
            <v>1.93</v>
          </cell>
          <cell r="M586">
            <v>40445</v>
          </cell>
          <cell r="N586">
            <v>5.72</v>
          </cell>
          <cell r="P586">
            <v>40445</v>
          </cell>
          <cell r="Q586">
            <v>48.87</v>
          </cell>
        </row>
        <row r="587">
          <cell r="D587">
            <v>40444</v>
          </cell>
          <cell r="E587">
            <v>9.93</v>
          </cell>
          <cell r="G587">
            <v>40444</v>
          </cell>
          <cell r="H587">
            <v>7.27</v>
          </cell>
          <cell r="J587">
            <v>40444</v>
          </cell>
          <cell r="K587">
            <v>1.93</v>
          </cell>
          <cell r="M587">
            <v>40444</v>
          </cell>
          <cell r="N587">
            <v>5.96</v>
          </cell>
          <cell r="P587">
            <v>40444</v>
          </cell>
          <cell r="Q587">
            <v>47.32</v>
          </cell>
        </row>
        <row r="588">
          <cell r="D588">
            <v>40443</v>
          </cell>
          <cell r="E588">
            <v>10.11</v>
          </cell>
          <cell r="G588">
            <v>40443</v>
          </cell>
          <cell r="H588">
            <v>6.76</v>
          </cell>
          <cell r="J588">
            <v>40443</v>
          </cell>
          <cell r="K588">
            <v>1.93</v>
          </cell>
          <cell r="M588">
            <v>40443</v>
          </cell>
          <cell r="N588">
            <v>5.9</v>
          </cell>
          <cell r="P588">
            <v>40443</v>
          </cell>
          <cell r="Q588">
            <v>47.63</v>
          </cell>
        </row>
        <row r="589">
          <cell r="D589">
            <v>40442</v>
          </cell>
          <cell r="E589">
            <v>10.23</v>
          </cell>
          <cell r="G589">
            <v>40442</v>
          </cell>
          <cell r="H589">
            <v>7</v>
          </cell>
          <cell r="J589">
            <v>40442</v>
          </cell>
          <cell r="K589">
            <v>1.98</v>
          </cell>
          <cell r="M589">
            <v>40442</v>
          </cell>
          <cell r="N589">
            <v>5.95</v>
          </cell>
          <cell r="P589">
            <v>40442</v>
          </cell>
          <cell r="Q589">
            <v>47.14</v>
          </cell>
        </row>
        <row r="590">
          <cell r="D590">
            <v>40441</v>
          </cell>
          <cell r="E590">
            <v>10.14</v>
          </cell>
          <cell r="G590">
            <v>40441</v>
          </cell>
          <cell r="H590">
            <v>7.31</v>
          </cell>
          <cell r="J590">
            <v>40441</v>
          </cell>
          <cell r="K590">
            <v>2</v>
          </cell>
          <cell r="M590">
            <v>40441</v>
          </cell>
          <cell r="N590">
            <v>5.9</v>
          </cell>
          <cell r="P590">
            <v>40441</v>
          </cell>
          <cell r="Q590">
            <v>45.139000000000003</v>
          </cell>
        </row>
        <row r="591">
          <cell r="D591">
            <v>40438</v>
          </cell>
          <cell r="E591">
            <v>9.92</v>
          </cell>
          <cell r="G591">
            <v>40438</v>
          </cell>
          <cell r="H591">
            <v>7.03</v>
          </cell>
          <cell r="J591">
            <v>40438</v>
          </cell>
          <cell r="K591">
            <v>2.04</v>
          </cell>
          <cell r="M591">
            <v>40438</v>
          </cell>
          <cell r="N591">
            <v>6.22</v>
          </cell>
          <cell r="P591">
            <v>40438</v>
          </cell>
          <cell r="Q591">
            <v>46.72</v>
          </cell>
        </row>
        <row r="592">
          <cell r="D592">
            <v>40437</v>
          </cell>
          <cell r="E592">
            <v>9.73</v>
          </cell>
          <cell r="G592">
            <v>40437</v>
          </cell>
          <cell r="H592">
            <v>7.03</v>
          </cell>
          <cell r="J592">
            <v>40437</v>
          </cell>
          <cell r="K592">
            <v>1.99</v>
          </cell>
          <cell r="M592">
            <v>40437</v>
          </cell>
          <cell r="N592">
            <v>6.02</v>
          </cell>
          <cell r="P592">
            <v>40437</v>
          </cell>
          <cell r="Q592">
            <v>46.49</v>
          </cell>
        </row>
        <row r="593">
          <cell r="D593">
            <v>40436</v>
          </cell>
          <cell r="E593">
            <v>9.92</v>
          </cell>
          <cell r="G593">
            <v>40436</v>
          </cell>
          <cell r="H593">
            <v>7.05</v>
          </cell>
          <cell r="J593">
            <v>40436</v>
          </cell>
          <cell r="K593">
            <v>1.93</v>
          </cell>
          <cell r="M593">
            <v>40436</v>
          </cell>
          <cell r="N593">
            <v>5.91</v>
          </cell>
          <cell r="P593">
            <v>40436</v>
          </cell>
          <cell r="Q593">
            <v>45.52</v>
          </cell>
        </row>
        <row r="594">
          <cell r="D594">
            <v>40435</v>
          </cell>
          <cell r="E594">
            <v>9.2799999999999994</v>
          </cell>
          <cell r="G594">
            <v>40435</v>
          </cell>
          <cell r="H594">
            <v>6.53</v>
          </cell>
          <cell r="J594">
            <v>40435</v>
          </cell>
          <cell r="K594">
            <v>1.94</v>
          </cell>
          <cell r="M594">
            <v>40435</v>
          </cell>
          <cell r="N594">
            <v>6.05</v>
          </cell>
          <cell r="P594">
            <v>40435</v>
          </cell>
          <cell r="Q594">
            <v>45.1</v>
          </cell>
        </row>
        <row r="595">
          <cell r="D595">
            <v>40434</v>
          </cell>
          <cell r="E595">
            <v>8.7200000000000006</v>
          </cell>
          <cell r="G595">
            <v>40434</v>
          </cell>
          <cell r="H595">
            <v>6.67</v>
          </cell>
          <cell r="J595">
            <v>40434</v>
          </cell>
          <cell r="K595">
            <v>1.92</v>
          </cell>
          <cell r="M595">
            <v>40434</v>
          </cell>
          <cell r="N595">
            <v>5.91</v>
          </cell>
          <cell r="P595">
            <v>40434</v>
          </cell>
          <cell r="Q595">
            <v>44.15</v>
          </cell>
        </row>
        <row r="596">
          <cell r="D596">
            <v>40431</v>
          </cell>
          <cell r="E596">
            <v>8.6199999999999992</v>
          </cell>
          <cell r="G596">
            <v>40431</v>
          </cell>
          <cell r="H596">
            <v>6.55</v>
          </cell>
          <cell r="J596">
            <v>40431</v>
          </cell>
          <cell r="K596">
            <v>1.92</v>
          </cell>
          <cell r="M596">
            <v>40431</v>
          </cell>
          <cell r="N596">
            <v>5.62</v>
          </cell>
          <cell r="P596">
            <v>40431</v>
          </cell>
          <cell r="Q596">
            <v>44.12</v>
          </cell>
        </row>
        <row r="597">
          <cell r="D597">
            <v>40430</v>
          </cell>
          <cell r="E597">
            <v>8.59</v>
          </cell>
          <cell r="G597">
            <v>40430</v>
          </cell>
          <cell r="H597">
            <v>6.53</v>
          </cell>
          <cell r="J597">
            <v>40430</v>
          </cell>
          <cell r="K597">
            <v>1.91</v>
          </cell>
          <cell r="M597">
            <v>40430</v>
          </cell>
          <cell r="N597">
            <v>5.5</v>
          </cell>
          <cell r="P597">
            <v>40430</v>
          </cell>
          <cell r="Q597">
            <v>45.02</v>
          </cell>
        </row>
        <row r="598">
          <cell r="D598">
            <v>40429</v>
          </cell>
          <cell r="E598">
            <v>8.51</v>
          </cell>
          <cell r="G598">
            <v>40429</v>
          </cell>
          <cell r="H598">
            <v>6.64</v>
          </cell>
          <cell r="J598">
            <v>40429</v>
          </cell>
          <cell r="K598">
            <v>1.9</v>
          </cell>
          <cell r="M598">
            <v>40429</v>
          </cell>
          <cell r="N598">
            <v>5.5</v>
          </cell>
          <cell r="P598">
            <v>40429</v>
          </cell>
          <cell r="Q598">
            <v>44.67</v>
          </cell>
        </row>
        <row r="599">
          <cell r="D599">
            <v>40428</v>
          </cell>
          <cell r="E599">
            <v>8.4600000000000009</v>
          </cell>
          <cell r="G599">
            <v>40428</v>
          </cell>
          <cell r="H599">
            <v>6.39</v>
          </cell>
          <cell r="J599">
            <v>40428</v>
          </cell>
          <cell r="K599">
            <v>1.95</v>
          </cell>
          <cell r="M599">
            <v>40428</v>
          </cell>
          <cell r="N599">
            <v>5.6</v>
          </cell>
          <cell r="P599">
            <v>40428</v>
          </cell>
          <cell r="Q599">
            <v>44.39</v>
          </cell>
        </row>
        <row r="600">
          <cell r="D600">
            <v>40424</v>
          </cell>
          <cell r="E600">
            <v>8.64</v>
          </cell>
          <cell r="G600">
            <v>40424</v>
          </cell>
          <cell r="H600">
            <v>6.47</v>
          </cell>
          <cell r="J600">
            <v>40424</v>
          </cell>
          <cell r="K600">
            <v>1.97</v>
          </cell>
          <cell r="M600">
            <v>40424</v>
          </cell>
          <cell r="N600">
            <v>5.6</v>
          </cell>
          <cell r="P600">
            <v>40424</v>
          </cell>
          <cell r="Q600">
            <v>44.78</v>
          </cell>
        </row>
        <row r="601">
          <cell r="D601">
            <v>40423</v>
          </cell>
          <cell r="E601">
            <v>8.3699999999999992</v>
          </cell>
          <cell r="G601">
            <v>40423</v>
          </cell>
          <cell r="H601">
            <v>6.16</v>
          </cell>
          <cell r="J601">
            <v>40423</v>
          </cell>
          <cell r="K601">
            <v>2</v>
          </cell>
          <cell r="M601">
            <v>40423</v>
          </cell>
          <cell r="N601">
            <v>5.53</v>
          </cell>
          <cell r="P601">
            <v>40423</v>
          </cell>
          <cell r="Q601">
            <v>44.149000000000001</v>
          </cell>
        </row>
        <row r="602">
          <cell r="D602">
            <v>40422</v>
          </cell>
          <cell r="E602">
            <v>8.48</v>
          </cell>
          <cell r="G602">
            <v>40422</v>
          </cell>
          <cell r="H602">
            <v>6.1</v>
          </cell>
          <cell r="J602">
            <v>40422</v>
          </cell>
          <cell r="K602">
            <v>1.97</v>
          </cell>
          <cell r="M602">
            <v>40422</v>
          </cell>
          <cell r="N602">
            <v>5.4898999999999996</v>
          </cell>
          <cell r="P602">
            <v>40422</v>
          </cell>
          <cell r="Q602">
            <v>44.13</v>
          </cell>
        </row>
        <row r="603">
          <cell r="D603">
            <v>40421</v>
          </cell>
          <cell r="E603">
            <v>8.23</v>
          </cell>
          <cell r="G603">
            <v>40421</v>
          </cell>
          <cell r="H603">
            <v>5.81</v>
          </cell>
          <cell r="J603">
            <v>40421</v>
          </cell>
          <cell r="K603">
            <v>2</v>
          </cell>
          <cell r="M603">
            <v>40421</v>
          </cell>
          <cell r="N603">
            <v>5.55</v>
          </cell>
          <cell r="P603">
            <v>40421</v>
          </cell>
          <cell r="Q603">
            <v>42.84</v>
          </cell>
        </row>
        <row r="604">
          <cell r="D604">
            <v>40420</v>
          </cell>
          <cell r="E604">
            <v>8.25</v>
          </cell>
          <cell r="G604">
            <v>40420</v>
          </cell>
          <cell r="H604">
            <v>5.83</v>
          </cell>
          <cell r="J604">
            <v>40420</v>
          </cell>
          <cell r="K604">
            <v>1.91</v>
          </cell>
          <cell r="M604">
            <v>40420</v>
          </cell>
          <cell r="N604">
            <v>5.45</v>
          </cell>
          <cell r="P604">
            <v>40420</v>
          </cell>
          <cell r="Q604">
            <v>45.585999999999999</v>
          </cell>
        </row>
        <row r="605">
          <cell r="D605">
            <v>40417</v>
          </cell>
          <cell r="E605">
            <v>8.56</v>
          </cell>
          <cell r="G605">
            <v>40417</v>
          </cell>
          <cell r="H605">
            <v>5.81</v>
          </cell>
          <cell r="J605">
            <v>40417</v>
          </cell>
          <cell r="K605">
            <v>1.91</v>
          </cell>
          <cell r="M605">
            <v>40417</v>
          </cell>
          <cell r="N605">
            <v>5.46</v>
          </cell>
          <cell r="P605">
            <v>40417</v>
          </cell>
          <cell r="Q605">
            <v>45.99</v>
          </cell>
        </row>
        <row r="606">
          <cell r="D606">
            <v>40416</v>
          </cell>
          <cell r="E606">
            <v>8.0399999999999991</v>
          </cell>
          <cell r="G606">
            <v>40416</v>
          </cell>
          <cell r="H606">
            <v>5.69</v>
          </cell>
          <cell r="J606">
            <v>40416</v>
          </cell>
          <cell r="K606">
            <v>1.9</v>
          </cell>
          <cell r="M606">
            <v>40416</v>
          </cell>
          <cell r="N606">
            <v>5.51</v>
          </cell>
          <cell r="P606">
            <v>40416</v>
          </cell>
          <cell r="Q606">
            <v>46.84</v>
          </cell>
        </row>
        <row r="607">
          <cell r="D607">
            <v>40415</v>
          </cell>
          <cell r="E607">
            <v>8.4499999999999993</v>
          </cell>
          <cell r="G607">
            <v>40415</v>
          </cell>
          <cell r="H607">
            <v>5.65</v>
          </cell>
          <cell r="J607">
            <v>40415</v>
          </cell>
          <cell r="K607">
            <v>1.85</v>
          </cell>
          <cell r="M607">
            <v>40415</v>
          </cell>
          <cell r="N607">
            <v>5.35</v>
          </cell>
          <cell r="P607">
            <v>40415</v>
          </cell>
          <cell r="Q607">
            <v>47.74</v>
          </cell>
        </row>
        <row r="608">
          <cell r="D608">
            <v>40414</v>
          </cell>
          <cell r="E608">
            <v>7.88</v>
          </cell>
          <cell r="G608">
            <v>40414</v>
          </cell>
          <cell r="H608">
            <v>5.53</v>
          </cell>
          <cell r="J608">
            <v>40414</v>
          </cell>
          <cell r="K608">
            <v>1.91</v>
          </cell>
          <cell r="M608">
            <v>40414</v>
          </cell>
          <cell r="N608">
            <v>5.31</v>
          </cell>
          <cell r="P608">
            <v>40414</v>
          </cell>
          <cell r="Q608">
            <v>47.06</v>
          </cell>
        </row>
        <row r="609">
          <cell r="D609">
            <v>40413</v>
          </cell>
          <cell r="E609">
            <v>8.16</v>
          </cell>
          <cell r="G609">
            <v>40413</v>
          </cell>
          <cell r="H609">
            <v>5.6</v>
          </cell>
          <cell r="J609">
            <v>40413</v>
          </cell>
          <cell r="K609">
            <v>2.0699999999999998</v>
          </cell>
          <cell r="M609">
            <v>40413</v>
          </cell>
          <cell r="N609">
            <v>5.49</v>
          </cell>
          <cell r="P609">
            <v>40413</v>
          </cell>
          <cell r="Q609">
            <v>47.75</v>
          </cell>
        </row>
        <row r="610">
          <cell r="D610">
            <v>40410</v>
          </cell>
          <cell r="E610">
            <v>8.26</v>
          </cell>
          <cell r="G610">
            <v>40410</v>
          </cell>
          <cell r="H610">
            <v>5.76</v>
          </cell>
          <cell r="J610">
            <v>40410</v>
          </cell>
          <cell r="K610">
            <v>2.09</v>
          </cell>
          <cell r="M610">
            <v>40410</v>
          </cell>
          <cell r="N610">
            <v>5.33</v>
          </cell>
          <cell r="P610">
            <v>40410</v>
          </cell>
          <cell r="Q610">
            <v>48.72</v>
          </cell>
        </row>
        <row r="611">
          <cell r="D611">
            <v>40409</v>
          </cell>
          <cell r="E611">
            <v>8.32</v>
          </cell>
          <cell r="G611">
            <v>40409</v>
          </cell>
          <cell r="H611">
            <v>5.68</v>
          </cell>
          <cell r="J611">
            <v>40409</v>
          </cell>
          <cell r="K611">
            <v>2.21</v>
          </cell>
          <cell r="M611">
            <v>40409</v>
          </cell>
          <cell r="N611">
            <v>5.2500999999999998</v>
          </cell>
          <cell r="P611">
            <v>40409</v>
          </cell>
          <cell r="Q611">
            <v>50.46</v>
          </cell>
        </row>
        <row r="612">
          <cell r="D612">
            <v>40408</v>
          </cell>
          <cell r="E612">
            <v>8.65</v>
          </cell>
          <cell r="G612">
            <v>40408</v>
          </cell>
          <cell r="H612">
            <v>5.71</v>
          </cell>
          <cell r="J612">
            <v>40408</v>
          </cell>
          <cell r="K612">
            <v>2.31</v>
          </cell>
          <cell r="M612">
            <v>40408</v>
          </cell>
          <cell r="N612">
            <v>5.37</v>
          </cell>
          <cell r="P612">
            <v>40408</v>
          </cell>
          <cell r="Q612">
            <v>50.71</v>
          </cell>
        </row>
        <row r="613">
          <cell r="D613">
            <v>40407</v>
          </cell>
          <cell r="E613">
            <v>8.52</v>
          </cell>
          <cell r="G613">
            <v>40407</v>
          </cell>
          <cell r="H613">
            <v>5.81</v>
          </cell>
          <cell r="J613">
            <v>40407</v>
          </cell>
          <cell r="K613">
            <v>2.3283999999999998</v>
          </cell>
          <cell r="M613">
            <v>40407</v>
          </cell>
          <cell r="N613">
            <v>5.41</v>
          </cell>
          <cell r="P613">
            <v>40407</v>
          </cell>
          <cell r="Q613">
            <v>50.253</v>
          </cell>
        </row>
        <row r="614">
          <cell r="D614">
            <v>40406</v>
          </cell>
          <cell r="E614">
            <v>8.4499999999999993</v>
          </cell>
          <cell r="G614">
            <v>40406</v>
          </cell>
          <cell r="H614">
            <v>5.7</v>
          </cell>
          <cell r="J614">
            <v>40406</v>
          </cell>
          <cell r="K614">
            <v>2.34</v>
          </cell>
          <cell r="M614">
            <v>40406</v>
          </cell>
          <cell r="N614">
            <v>5.5</v>
          </cell>
          <cell r="P614">
            <v>40406</v>
          </cell>
          <cell r="Q614">
            <v>50.83</v>
          </cell>
        </row>
        <row r="615">
          <cell r="D615">
            <v>40403</v>
          </cell>
          <cell r="E615">
            <v>8.5299999999999994</v>
          </cell>
          <cell r="G615">
            <v>40403</v>
          </cell>
          <cell r="H615">
            <v>5.75</v>
          </cell>
          <cell r="J615">
            <v>40403</v>
          </cell>
          <cell r="K615">
            <v>2.33</v>
          </cell>
          <cell r="M615">
            <v>40403</v>
          </cell>
          <cell r="N615">
            <v>5.69</v>
          </cell>
          <cell r="P615">
            <v>40403</v>
          </cell>
          <cell r="Q615">
            <v>53.4</v>
          </cell>
        </row>
        <row r="616">
          <cell r="D616">
            <v>40402</v>
          </cell>
          <cell r="E616">
            <v>8.64</v>
          </cell>
          <cell r="G616">
            <v>40402</v>
          </cell>
          <cell r="H616">
            <v>5.8</v>
          </cell>
          <cell r="J616">
            <v>40402</v>
          </cell>
          <cell r="K616">
            <v>2.36</v>
          </cell>
          <cell r="M616">
            <v>40402</v>
          </cell>
          <cell r="N616">
            <v>5.57</v>
          </cell>
          <cell r="P616">
            <v>40402</v>
          </cell>
          <cell r="Q616">
            <v>54.17</v>
          </cell>
        </row>
        <row r="617">
          <cell r="D617">
            <v>40401</v>
          </cell>
          <cell r="E617">
            <v>8.7200000000000006</v>
          </cell>
          <cell r="G617">
            <v>40401</v>
          </cell>
          <cell r="H617">
            <v>5.9</v>
          </cell>
          <cell r="J617">
            <v>40401</v>
          </cell>
          <cell r="K617">
            <v>2.85</v>
          </cell>
          <cell r="M617">
            <v>40401</v>
          </cell>
          <cell r="N617">
            <v>5.6425000000000001</v>
          </cell>
          <cell r="P617">
            <v>40401</v>
          </cell>
          <cell r="Q617">
            <v>56.192</v>
          </cell>
        </row>
        <row r="618">
          <cell r="D618">
            <v>40400</v>
          </cell>
          <cell r="E618">
            <v>9.08</v>
          </cell>
          <cell r="G618">
            <v>40400</v>
          </cell>
          <cell r="H618">
            <v>6.11</v>
          </cell>
          <cell r="J618">
            <v>40400</v>
          </cell>
          <cell r="K618">
            <v>2.79</v>
          </cell>
          <cell r="M618">
            <v>40400</v>
          </cell>
          <cell r="N618">
            <v>5.61</v>
          </cell>
          <cell r="P618">
            <v>40400</v>
          </cell>
          <cell r="Q618">
            <v>55.93</v>
          </cell>
        </row>
        <row r="619">
          <cell r="D619">
            <v>40399</v>
          </cell>
          <cell r="E619">
            <v>9.2100000000000009</v>
          </cell>
          <cell r="G619">
            <v>40399</v>
          </cell>
          <cell r="H619">
            <v>6.08</v>
          </cell>
          <cell r="J619">
            <v>40399</v>
          </cell>
          <cell r="K619">
            <v>2.8</v>
          </cell>
          <cell r="M619">
            <v>40399</v>
          </cell>
          <cell r="N619">
            <v>5.59</v>
          </cell>
          <cell r="P619">
            <v>40399</v>
          </cell>
          <cell r="Q619">
            <v>55.31</v>
          </cell>
        </row>
        <row r="620">
          <cell r="D620">
            <v>40396</v>
          </cell>
          <cell r="E620">
            <v>9.33</v>
          </cell>
          <cell r="G620">
            <v>40396</v>
          </cell>
          <cell r="H620">
            <v>6.3</v>
          </cell>
          <cell r="J620">
            <v>40396</v>
          </cell>
          <cell r="K620">
            <v>2.78</v>
          </cell>
          <cell r="M620">
            <v>40396</v>
          </cell>
          <cell r="N620">
            <v>5.64</v>
          </cell>
          <cell r="P620">
            <v>40396</v>
          </cell>
          <cell r="Q620">
            <v>53.45</v>
          </cell>
        </row>
        <row r="621">
          <cell r="D621">
            <v>40395</v>
          </cell>
          <cell r="E621">
            <v>9.33</v>
          </cell>
          <cell r="G621">
            <v>40395</v>
          </cell>
          <cell r="H621">
            <v>6.45</v>
          </cell>
          <cell r="J621">
            <v>40395</v>
          </cell>
          <cell r="K621">
            <v>2.8</v>
          </cell>
          <cell r="M621">
            <v>40395</v>
          </cell>
          <cell r="N621">
            <v>5.68</v>
          </cell>
          <cell r="P621">
            <v>40395</v>
          </cell>
          <cell r="Q621">
            <v>52.23</v>
          </cell>
        </row>
        <row r="622">
          <cell r="D622">
            <v>40394</v>
          </cell>
          <cell r="E622">
            <v>9.24</v>
          </cell>
          <cell r="G622">
            <v>40394</v>
          </cell>
          <cell r="H622">
            <v>6.82</v>
          </cell>
          <cell r="J622">
            <v>40394</v>
          </cell>
          <cell r="K622">
            <v>2.8</v>
          </cell>
          <cell r="M622">
            <v>40394</v>
          </cell>
          <cell r="N622">
            <v>5.65</v>
          </cell>
          <cell r="P622">
            <v>40394</v>
          </cell>
          <cell r="Q622">
            <v>53.39</v>
          </cell>
        </row>
        <row r="623">
          <cell r="D623">
            <v>40393</v>
          </cell>
          <cell r="E623">
            <v>9.26</v>
          </cell>
          <cell r="G623">
            <v>40393</v>
          </cell>
          <cell r="H623">
            <v>6.44</v>
          </cell>
          <cell r="J623">
            <v>40393</v>
          </cell>
          <cell r="K623">
            <v>2.83</v>
          </cell>
          <cell r="M623">
            <v>40393</v>
          </cell>
          <cell r="N623">
            <v>5.4199000000000002</v>
          </cell>
          <cell r="P623">
            <v>40393</v>
          </cell>
          <cell r="Q623">
            <v>55.53</v>
          </cell>
        </row>
        <row r="624">
          <cell r="D624">
            <v>40392</v>
          </cell>
          <cell r="E624">
            <v>9.14</v>
          </cell>
          <cell r="G624">
            <v>40392</v>
          </cell>
          <cell r="H624">
            <v>6.65</v>
          </cell>
          <cell r="J624">
            <v>40392</v>
          </cell>
          <cell r="K624">
            <v>2.79</v>
          </cell>
          <cell r="M624">
            <v>40392</v>
          </cell>
          <cell r="N624">
            <v>5.4</v>
          </cell>
          <cell r="P624">
            <v>40392</v>
          </cell>
          <cell r="Q624">
            <v>56.98</v>
          </cell>
        </row>
        <row r="625">
          <cell r="D625">
            <v>40389</v>
          </cell>
          <cell r="E625">
            <v>9.2200000000000006</v>
          </cell>
          <cell r="G625">
            <v>40389</v>
          </cell>
          <cell r="H625">
            <v>6.7</v>
          </cell>
          <cell r="J625">
            <v>40389</v>
          </cell>
          <cell r="K625">
            <v>2.76</v>
          </cell>
          <cell r="M625">
            <v>40389</v>
          </cell>
          <cell r="N625">
            <v>5.1699000000000002</v>
          </cell>
          <cell r="P625">
            <v>40389</v>
          </cell>
          <cell r="Q625">
            <v>57.53</v>
          </cell>
        </row>
        <row r="626">
          <cell r="D626">
            <v>40388</v>
          </cell>
          <cell r="E626">
            <v>7.58</v>
          </cell>
          <cell r="G626">
            <v>40388</v>
          </cell>
          <cell r="H626">
            <v>6.4</v>
          </cell>
          <cell r="J626">
            <v>40388</v>
          </cell>
          <cell r="K626">
            <v>2.75</v>
          </cell>
          <cell r="M626">
            <v>40388</v>
          </cell>
          <cell r="N626">
            <v>5.13</v>
          </cell>
          <cell r="P626">
            <v>40388</v>
          </cell>
          <cell r="Q626">
            <v>55.7</v>
          </cell>
        </row>
        <row r="627">
          <cell r="D627">
            <v>40387</v>
          </cell>
          <cell r="E627">
            <v>7.21</v>
          </cell>
          <cell r="G627">
            <v>40387</v>
          </cell>
          <cell r="H627">
            <v>6.36</v>
          </cell>
          <cell r="J627">
            <v>40387</v>
          </cell>
          <cell r="K627">
            <v>2.71</v>
          </cell>
          <cell r="M627">
            <v>40387</v>
          </cell>
          <cell r="N627">
            <v>4.84</v>
          </cell>
          <cell r="P627">
            <v>40387</v>
          </cell>
          <cell r="Q627">
            <v>55.41</v>
          </cell>
        </row>
        <row r="628">
          <cell r="D628">
            <v>40386</v>
          </cell>
          <cell r="E628">
            <v>7</v>
          </cell>
          <cell r="G628">
            <v>40386</v>
          </cell>
          <cell r="H628">
            <v>6.43</v>
          </cell>
          <cell r="J628">
            <v>40386</v>
          </cell>
          <cell r="K628">
            <v>2.76</v>
          </cell>
          <cell r="M628">
            <v>40386</v>
          </cell>
          <cell r="N628">
            <v>4.8499999999999996</v>
          </cell>
          <cell r="P628">
            <v>40386</v>
          </cell>
          <cell r="Q628">
            <v>53.18</v>
          </cell>
        </row>
        <row r="629">
          <cell r="D629">
            <v>40385</v>
          </cell>
          <cell r="E629">
            <v>7.19</v>
          </cell>
          <cell r="G629">
            <v>40385</v>
          </cell>
          <cell r="H629">
            <v>6.48</v>
          </cell>
          <cell r="J629">
            <v>40385</v>
          </cell>
          <cell r="K629">
            <v>2.79</v>
          </cell>
          <cell r="M629">
            <v>40385</v>
          </cell>
          <cell r="N629">
            <v>4.7699999999999996</v>
          </cell>
          <cell r="P629">
            <v>40385</v>
          </cell>
          <cell r="Q629">
            <v>55.53</v>
          </cell>
        </row>
        <row r="630">
          <cell r="D630">
            <v>40382</v>
          </cell>
          <cell r="E630">
            <v>7.16</v>
          </cell>
          <cell r="G630">
            <v>40382</v>
          </cell>
          <cell r="H630">
            <v>6.36</v>
          </cell>
          <cell r="J630">
            <v>40382</v>
          </cell>
          <cell r="K630">
            <v>2.7</v>
          </cell>
          <cell r="M630">
            <v>40382</v>
          </cell>
          <cell r="N630">
            <v>4.51</v>
          </cell>
          <cell r="P630">
            <v>40382</v>
          </cell>
          <cell r="Q630">
            <v>55.7</v>
          </cell>
        </row>
        <row r="631">
          <cell r="D631">
            <v>40381</v>
          </cell>
          <cell r="E631">
            <v>7.15</v>
          </cell>
          <cell r="G631">
            <v>40381</v>
          </cell>
          <cell r="H631">
            <v>6.33</v>
          </cell>
          <cell r="J631">
            <v>40381</v>
          </cell>
          <cell r="K631">
            <v>2.63</v>
          </cell>
          <cell r="M631">
            <v>40381</v>
          </cell>
          <cell r="N631">
            <v>4.55</v>
          </cell>
          <cell r="P631">
            <v>40381</v>
          </cell>
          <cell r="Q631">
            <v>54.56</v>
          </cell>
        </row>
        <row r="632">
          <cell r="D632">
            <v>40380</v>
          </cell>
          <cell r="E632">
            <v>6.97</v>
          </cell>
          <cell r="G632">
            <v>40380</v>
          </cell>
          <cell r="H632">
            <v>6.05</v>
          </cell>
          <cell r="J632">
            <v>40380</v>
          </cell>
          <cell r="K632">
            <v>2.59</v>
          </cell>
          <cell r="M632">
            <v>40380</v>
          </cell>
          <cell r="N632">
            <v>4.3499999999999996</v>
          </cell>
          <cell r="P632">
            <v>40380</v>
          </cell>
          <cell r="Q632">
            <v>53.28</v>
          </cell>
        </row>
        <row r="633">
          <cell r="D633">
            <v>40379</v>
          </cell>
          <cell r="E633">
            <v>7.13</v>
          </cell>
          <cell r="G633">
            <v>40379</v>
          </cell>
          <cell r="H633">
            <v>6.05</v>
          </cell>
          <cell r="J633">
            <v>40379</v>
          </cell>
          <cell r="K633">
            <v>2.59</v>
          </cell>
          <cell r="M633">
            <v>40379</v>
          </cell>
          <cell r="N633">
            <v>4.4000000000000004</v>
          </cell>
          <cell r="P633">
            <v>40379</v>
          </cell>
          <cell r="Q633">
            <v>55.24</v>
          </cell>
        </row>
        <row r="634">
          <cell r="D634">
            <v>40378</v>
          </cell>
          <cell r="E634">
            <v>6.98</v>
          </cell>
          <cell r="G634">
            <v>40378</v>
          </cell>
          <cell r="H634">
            <v>6.06</v>
          </cell>
          <cell r="J634">
            <v>40378</v>
          </cell>
          <cell r="K634">
            <v>2.58</v>
          </cell>
          <cell r="M634">
            <v>40378</v>
          </cell>
          <cell r="N634">
            <v>4.5399000000000003</v>
          </cell>
          <cell r="P634">
            <v>40378</v>
          </cell>
          <cell r="Q634">
            <v>54.27</v>
          </cell>
        </row>
        <row r="635">
          <cell r="D635">
            <v>40375</v>
          </cell>
          <cell r="E635">
            <v>6.95</v>
          </cell>
          <cell r="G635">
            <v>40375</v>
          </cell>
          <cell r="H635">
            <v>6</v>
          </cell>
          <cell r="J635">
            <v>40375</v>
          </cell>
          <cell r="K635">
            <v>2.5499999999999998</v>
          </cell>
          <cell r="M635">
            <v>40375</v>
          </cell>
          <cell r="N635">
            <v>4.3600000000000003</v>
          </cell>
          <cell r="P635">
            <v>40375</v>
          </cell>
          <cell r="Q635">
            <v>52.51</v>
          </cell>
        </row>
        <row r="636">
          <cell r="D636">
            <v>40374</v>
          </cell>
          <cell r="E636">
            <v>7.13</v>
          </cell>
          <cell r="G636">
            <v>40374</v>
          </cell>
          <cell r="H636">
            <v>6.13</v>
          </cell>
          <cell r="J636">
            <v>40374</v>
          </cell>
          <cell r="K636">
            <v>2.58</v>
          </cell>
          <cell r="M636">
            <v>40374</v>
          </cell>
          <cell r="N636">
            <v>4.24</v>
          </cell>
          <cell r="P636">
            <v>40374</v>
          </cell>
          <cell r="Q636">
            <v>55.64</v>
          </cell>
        </row>
        <row r="637">
          <cell r="D637">
            <v>40373</v>
          </cell>
          <cell r="E637">
            <v>7.19</v>
          </cell>
          <cell r="G637">
            <v>40373</v>
          </cell>
          <cell r="H637">
            <v>6.12</v>
          </cell>
          <cell r="J637">
            <v>40373</v>
          </cell>
          <cell r="K637">
            <v>2.59</v>
          </cell>
          <cell r="M637">
            <v>40373</v>
          </cell>
          <cell r="N637">
            <v>4.21</v>
          </cell>
          <cell r="P637">
            <v>40373</v>
          </cell>
          <cell r="Q637">
            <v>54.83</v>
          </cell>
        </row>
        <row r="638">
          <cell r="D638">
            <v>40372</v>
          </cell>
          <cell r="E638">
            <v>7.2</v>
          </cell>
          <cell r="G638">
            <v>40372</v>
          </cell>
          <cell r="H638">
            <v>6.02</v>
          </cell>
          <cell r="J638">
            <v>40372</v>
          </cell>
          <cell r="K638">
            <v>2.6</v>
          </cell>
          <cell r="M638">
            <v>40372</v>
          </cell>
          <cell r="N638">
            <v>4.3099999999999996</v>
          </cell>
          <cell r="P638">
            <v>40372</v>
          </cell>
          <cell r="Q638">
            <v>55.590499999999999</v>
          </cell>
        </row>
        <row r="639">
          <cell r="D639">
            <v>40371</v>
          </cell>
          <cell r="E639">
            <v>6.9</v>
          </cell>
          <cell r="G639">
            <v>40371</v>
          </cell>
          <cell r="H639">
            <v>5.82</v>
          </cell>
          <cell r="J639">
            <v>40371</v>
          </cell>
          <cell r="K639">
            <v>2.58</v>
          </cell>
          <cell r="M639">
            <v>40371</v>
          </cell>
          <cell r="N639">
            <v>4.24</v>
          </cell>
          <cell r="P639">
            <v>40371</v>
          </cell>
          <cell r="Q639">
            <v>53.79</v>
          </cell>
        </row>
        <row r="640">
          <cell r="D640">
            <v>40368</v>
          </cell>
          <cell r="E640">
            <v>7.04</v>
          </cell>
          <cell r="G640">
            <v>40368</v>
          </cell>
          <cell r="H640">
            <v>5.73</v>
          </cell>
          <cell r="J640">
            <v>40368</v>
          </cell>
          <cell r="K640">
            <v>2.58</v>
          </cell>
          <cell r="M640">
            <v>40368</v>
          </cell>
          <cell r="N640">
            <v>4.2300000000000004</v>
          </cell>
          <cell r="P640">
            <v>40368</v>
          </cell>
          <cell r="Q640">
            <v>53.33</v>
          </cell>
        </row>
        <row r="641">
          <cell r="D641">
            <v>40367</v>
          </cell>
          <cell r="E641">
            <v>6.9</v>
          </cell>
          <cell r="G641">
            <v>40367</v>
          </cell>
          <cell r="H641">
            <v>5.76</v>
          </cell>
          <cell r="J641">
            <v>40367</v>
          </cell>
          <cell r="K641">
            <v>2.58</v>
          </cell>
          <cell r="M641">
            <v>40367</v>
          </cell>
          <cell r="N641">
            <v>4.1500000000000004</v>
          </cell>
          <cell r="P641">
            <v>40367</v>
          </cell>
          <cell r="Q641">
            <v>49.46</v>
          </cell>
        </row>
        <row r="642">
          <cell r="D642">
            <v>40366</v>
          </cell>
          <cell r="E642">
            <v>6.89</v>
          </cell>
          <cell r="G642">
            <v>40366</v>
          </cell>
          <cell r="H642">
            <v>5.67</v>
          </cell>
          <cell r="J642">
            <v>40366</v>
          </cell>
          <cell r="K642">
            <v>2.61</v>
          </cell>
          <cell r="M642">
            <v>40366</v>
          </cell>
          <cell r="N642">
            <v>4.2</v>
          </cell>
          <cell r="P642">
            <v>40366</v>
          </cell>
          <cell r="Q642">
            <v>49.69</v>
          </cell>
        </row>
        <row r="643">
          <cell r="D643">
            <v>40365</v>
          </cell>
          <cell r="E643">
            <v>6.72</v>
          </cell>
          <cell r="G643">
            <v>40365</v>
          </cell>
          <cell r="H643">
            <v>5.48</v>
          </cell>
          <cell r="J643">
            <v>40365</v>
          </cell>
          <cell r="K643">
            <v>2.58</v>
          </cell>
          <cell r="M643">
            <v>40365</v>
          </cell>
          <cell r="N643">
            <v>4.1300999999999997</v>
          </cell>
          <cell r="P643">
            <v>40365</v>
          </cell>
          <cell r="Q643">
            <v>47.9</v>
          </cell>
        </row>
        <row r="644">
          <cell r="D644">
            <v>40361</v>
          </cell>
          <cell r="E644">
            <v>6.87</v>
          </cell>
          <cell r="G644">
            <v>40361</v>
          </cell>
          <cell r="H644">
            <v>5.69</v>
          </cell>
          <cell r="J644">
            <v>40361</v>
          </cell>
          <cell r="K644">
            <v>2.63</v>
          </cell>
          <cell r="M644">
            <v>40361</v>
          </cell>
          <cell r="N644">
            <v>4.2</v>
          </cell>
          <cell r="P644">
            <v>40361</v>
          </cell>
          <cell r="Q644">
            <v>48.14</v>
          </cell>
        </row>
        <row r="645">
          <cell r="D645">
            <v>40360</v>
          </cell>
          <cell r="E645">
            <v>7.03</v>
          </cell>
          <cell r="G645">
            <v>40360</v>
          </cell>
          <cell r="H645">
            <v>5.86</v>
          </cell>
          <cell r="J645">
            <v>40360</v>
          </cell>
          <cell r="K645">
            <v>2.6501999999999999</v>
          </cell>
          <cell r="M645">
            <v>40360</v>
          </cell>
          <cell r="N645">
            <v>4.2</v>
          </cell>
          <cell r="P645">
            <v>40360</v>
          </cell>
          <cell r="Q645">
            <v>48.8</v>
          </cell>
        </row>
        <row r="646">
          <cell r="D646">
            <v>40359</v>
          </cell>
          <cell r="E646">
            <v>6.65</v>
          </cell>
          <cell r="G646">
            <v>40359</v>
          </cell>
          <cell r="H646">
            <v>5.74</v>
          </cell>
          <cell r="J646">
            <v>40359</v>
          </cell>
          <cell r="K646">
            <v>2.65</v>
          </cell>
          <cell r="M646">
            <v>40359</v>
          </cell>
          <cell r="N646">
            <v>4.34</v>
          </cell>
          <cell r="P646">
            <v>40359</v>
          </cell>
          <cell r="Q646">
            <v>49.26</v>
          </cell>
        </row>
        <row r="647">
          <cell r="D647">
            <v>40358</v>
          </cell>
          <cell r="E647">
            <v>6.81</v>
          </cell>
          <cell r="G647">
            <v>40358</v>
          </cell>
          <cell r="H647">
            <v>5.73</v>
          </cell>
          <cell r="J647">
            <v>40358</v>
          </cell>
          <cell r="K647">
            <v>2.62</v>
          </cell>
          <cell r="M647">
            <v>40358</v>
          </cell>
          <cell r="N647">
            <v>4.2</v>
          </cell>
          <cell r="P647">
            <v>40358</v>
          </cell>
          <cell r="Q647">
            <v>49.75</v>
          </cell>
        </row>
        <row r="648">
          <cell r="D648">
            <v>40357</v>
          </cell>
          <cell r="E648">
            <v>6.93</v>
          </cell>
          <cell r="G648">
            <v>40357</v>
          </cell>
          <cell r="H648">
            <v>5.86</v>
          </cell>
          <cell r="J648">
            <v>40357</v>
          </cell>
          <cell r="K648">
            <v>2.67</v>
          </cell>
          <cell r="M648">
            <v>40357</v>
          </cell>
          <cell r="N648">
            <v>4.32</v>
          </cell>
          <cell r="P648">
            <v>40357</v>
          </cell>
          <cell r="Q648">
            <v>52.97</v>
          </cell>
        </row>
        <row r="649">
          <cell r="D649">
            <v>40354</v>
          </cell>
          <cell r="E649">
            <v>7.07</v>
          </cell>
          <cell r="G649">
            <v>40354</v>
          </cell>
          <cell r="H649">
            <v>5.9</v>
          </cell>
          <cell r="J649">
            <v>40354</v>
          </cell>
          <cell r="K649">
            <v>2.79</v>
          </cell>
          <cell r="M649">
            <v>40354</v>
          </cell>
          <cell r="N649">
            <v>4.3</v>
          </cell>
          <cell r="P649">
            <v>40354</v>
          </cell>
          <cell r="Q649">
            <v>52.23</v>
          </cell>
        </row>
        <row r="650">
          <cell r="D650">
            <v>40353</v>
          </cell>
          <cell r="E650">
            <v>7.08</v>
          </cell>
          <cell r="G650">
            <v>40353</v>
          </cell>
          <cell r="H650">
            <v>5.7</v>
          </cell>
          <cell r="J650">
            <v>40353</v>
          </cell>
          <cell r="K650">
            <v>2.83</v>
          </cell>
          <cell r="M650">
            <v>40353</v>
          </cell>
          <cell r="N650">
            <v>4.3</v>
          </cell>
          <cell r="P650">
            <v>40353</v>
          </cell>
          <cell r="Q650">
            <v>58.578000000000003</v>
          </cell>
        </row>
        <row r="651">
          <cell r="D651">
            <v>40352</v>
          </cell>
          <cell r="E651">
            <v>7.23</v>
          </cell>
          <cell r="G651">
            <v>40352</v>
          </cell>
          <cell r="H651">
            <v>5.86</v>
          </cell>
          <cell r="J651">
            <v>40352</v>
          </cell>
          <cell r="K651">
            <v>2.87</v>
          </cell>
          <cell r="M651">
            <v>40352</v>
          </cell>
          <cell r="N651">
            <v>4.3</v>
          </cell>
          <cell r="P651">
            <v>40352</v>
          </cell>
          <cell r="Q651">
            <v>59.64</v>
          </cell>
        </row>
        <row r="652">
          <cell r="D652">
            <v>40351</v>
          </cell>
          <cell r="E652">
            <v>7.22</v>
          </cell>
          <cell r="G652">
            <v>40351</v>
          </cell>
          <cell r="H652">
            <v>5.79</v>
          </cell>
          <cell r="J652">
            <v>40351</v>
          </cell>
          <cell r="K652">
            <v>2.88</v>
          </cell>
          <cell r="M652">
            <v>40351</v>
          </cell>
          <cell r="N652">
            <v>4.25</v>
          </cell>
          <cell r="P652">
            <v>40351</v>
          </cell>
          <cell r="Q652">
            <v>58.67</v>
          </cell>
        </row>
        <row r="653">
          <cell r="D653">
            <v>40350</v>
          </cell>
          <cell r="E653">
            <v>7.17</v>
          </cell>
          <cell r="G653">
            <v>40350</v>
          </cell>
          <cell r="H653">
            <v>5.94</v>
          </cell>
          <cell r="J653">
            <v>40350</v>
          </cell>
          <cell r="K653">
            <v>2.98</v>
          </cell>
          <cell r="M653">
            <v>40350</v>
          </cell>
          <cell r="N653">
            <v>4.25</v>
          </cell>
          <cell r="P653">
            <v>40350</v>
          </cell>
          <cell r="Q653">
            <v>58.84</v>
          </cell>
        </row>
        <row r="654">
          <cell r="D654">
            <v>40347</v>
          </cell>
          <cell r="E654">
            <v>7.28</v>
          </cell>
          <cell r="G654">
            <v>40347</v>
          </cell>
          <cell r="H654">
            <v>6</v>
          </cell>
          <cell r="J654">
            <v>40347</v>
          </cell>
          <cell r="K654">
            <v>2.9</v>
          </cell>
          <cell r="M654">
            <v>40347</v>
          </cell>
          <cell r="N654">
            <v>4.28</v>
          </cell>
          <cell r="P654">
            <v>40347</v>
          </cell>
          <cell r="Q654">
            <v>61.03</v>
          </cell>
        </row>
        <row r="655">
          <cell r="D655">
            <v>40346</v>
          </cell>
          <cell r="E655">
            <v>7.42</v>
          </cell>
          <cell r="G655">
            <v>40346</v>
          </cell>
          <cell r="H655">
            <v>5.98</v>
          </cell>
          <cell r="J655">
            <v>40346</v>
          </cell>
          <cell r="K655">
            <v>3</v>
          </cell>
          <cell r="M655">
            <v>40346</v>
          </cell>
          <cell r="N655">
            <v>4.46</v>
          </cell>
          <cell r="P655">
            <v>40346</v>
          </cell>
          <cell r="Q655">
            <v>61.91</v>
          </cell>
        </row>
        <row r="656">
          <cell r="D656">
            <v>40345</v>
          </cell>
          <cell r="E656">
            <v>7.43</v>
          </cell>
          <cell r="G656">
            <v>40345</v>
          </cell>
          <cell r="H656">
            <v>6.01</v>
          </cell>
          <cell r="J656">
            <v>40345</v>
          </cell>
          <cell r="K656">
            <v>2.99</v>
          </cell>
          <cell r="M656">
            <v>40345</v>
          </cell>
          <cell r="N656">
            <v>4.3</v>
          </cell>
          <cell r="P656">
            <v>40345</v>
          </cell>
          <cell r="Q656">
            <v>61.61</v>
          </cell>
        </row>
        <row r="657">
          <cell r="D657">
            <v>40344</v>
          </cell>
          <cell r="E657">
            <v>7.27</v>
          </cell>
          <cell r="G657">
            <v>40344</v>
          </cell>
          <cell r="H657">
            <v>6.08</v>
          </cell>
          <cell r="J657">
            <v>40344</v>
          </cell>
          <cell r="K657">
            <v>2.97</v>
          </cell>
          <cell r="M657">
            <v>40344</v>
          </cell>
          <cell r="N657">
            <v>4.2</v>
          </cell>
          <cell r="P657">
            <v>40344</v>
          </cell>
          <cell r="Q657">
            <v>62.79</v>
          </cell>
        </row>
        <row r="658">
          <cell r="D658">
            <v>40343</v>
          </cell>
          <cell r="E658">
            <v>7.04</v>
          </cell>
          <cell r="G658">
            <v>40343</v>
          </cell>
          <cell r="H658">
            <v>5.81</v>
          </cell>
          <cell r="J658">
            <v>40343</v>
          </cell>
          <cell r="K658">
            <v>2.99</v>
          </cell>
          <cell r="M658">
            <v>40343</v>
          </cell>
          <cell r="N658">
            <v>4.3000999999999996</v>
          </cell>
          <cell r="P658">
            <v>40343</v>
          </cell>
          <cell r="Q658">
            <v>59.317</v>
          </cell>
        </row>
        <row r="659">
          <cell r="D659">
            <v>40340</v>
          </cell>
          <cell r="E659">
            <v>7.25</v>
          </cell>
          <cell r="G659">
            <v>40340</v>
          </cell>
          <cell r="H659">
            <v>5.94</v>
          </cell>
          <cell r="J659">
            <v>40340</v>
          </cell>
          <cell r="K659">
            <v>3.11</v>
          </cell>
          <cell r="M659">
            <v>40340</v>
          </cell>
          <cell r="N659">
            <v>4.24</v>
          </cell>
          <cell r="P659">
            <v>40340</v>
          </cell>
          <cell r="Q659">
            <v>59.5</v>
          </cell>
        </row>
        <row r="660">
          <cell r="D660">
            <v>40339</v>
          </cell>
          <cell r="E660">
            <v>7.07</v>
          </cell>
          <cell r="G660">
            <v>40339</v>
          </cell>
          <cell r="H660">
            <v>5.7</v>
          </cell>
          <cell r="J660">
            <v>40339</v>
          </cell>
          <cell r="K660">
            <v>3.11</v>
          </cell>
          <cell r="M660">
            <v>40339</v>
          </cell>
          <cell r="N660">
            <v>4.25</v>
          </cell>
          <cell r="P660">
            <v>40339</v>
          </cell>
          <cell r="Q660">
            <v>59.11</v>
          </cell>
        </row>
        <row r="661">
          <cell r="D661">
            <v>40338</v>
          </cell>
          <cell r="E661">
            <v>6.75</v>
          </cell>
          <cell r="G661">
            <v>40338</v>
          </cell>
          <cell r="H661">
            <v>5.62</v>
          </cell>
          <cell r="J661">
            <v>40338</v>
          </cell>
          <cell r="K661">
            <v>3.02</v>
          </cell>
          <cell r="M661">
            <v>40338</v>
          </cell>
          <cell r="N661">
            <v>4.2699999999999996</v>
          </cell>
          <cell r="P661">
            <v>40338</v>
          </cell>
          <cell r="Q661">
            <v>57.57</v>
          </cell>
        </row>
        <row r="662">
          <cell r="D662">
            <v>40337</v>
          </cell>
          <cell r="E662">
            <v>6.79</v>
          </cell>
          <cell r="G662">
            <v>40337</v>
          </cell>
          <cell r="H662">
            <v>5.74</v>
          </cell>
          <cell r="J662">
            <v>40337</v>
          </cell>
          <cell r="K662">
            <v>3.03</v>
          </cell>
          <cell r="M662">
            <v>40337</v>
          </cell>
          <cell r="N662">
            <v>4.32</v>
          </cell>
          <cell r="P662">
            <v>40337</v>
          </cell>
          <cell r="Q662">
            <v>58.29</v>
          </cell>
        </row>
        <row r="663">
          <cell r="D663">
            <v>40336</v>
          </cell>
          <cell r="E663">
            <v>6.89</v>
          </cell>
          <cell r="G663">
            <v>40336</v>
          </cell>
          <cell r="H663">
            <v>5.83</v>
          </cell>
          <cell r="J663">
            <v>40336</v>
          </cell>
          <cell r="K663">
            <v>3.06</v>
          </cell>
          <cell r="M663">
            <v>40336</v>
          </cell>
          <cell r="N663">
            <v>4.3600000000000003</v>
          </cell>
          <cell r="P663">
            <v>40336</v>
          </cell>
          <cell r="Q663">
            <v>56.56</v>
          </cell>
        </row>
        <row r="664">
          <cell r="D664">
            <v>40333</v>
          </cell>
          <cell r="E664">
            <v>7.24</v>
          </cell>
          <cell r="G664">
            <v>40333</v>
          </cell>
          <cell r="H664">
            <v>6</v>
          </cell>
          <cell r="J664">
            <v>40333</v>
          </cell>
          <cell r="K664">
            <v>3.03</v>
          </cell>
          <cell r="M664">
            <v>40333</v>
          </cell>
          <cell r="N664">
            <v>4.4800000000000004</v>
          </cell>
          <cell r="P664">
            <v>40333</v>
          </cell>
          <cell r="Q664">
            <v>59.68</v>
          </cell>
        </row>
        <row r="665">
          <cell r="D665">
            <v>40332</v>
          </cell>
          <cell r="E665">
            <v>7.64</v>
          </cell>
          <cell r="G665">
            <v>40332</v>
          </cell>
          <cell r="H665">
            <v>6.35</v>
          </cell>
          <cell r="J665">
            <v>40332</v>
          </cell>
          <cell r="K665">
            <v>3.09</v>
          </cell>
          <cell r="M665">
            <v>40332</v>
          </cell>
          <cell r="N665">
            <v>4.5199999999999996</v>
          </cell>
          <cell r="P665">
            <v>40332</v>
          </cell>
          <cell r="Q665">
            <v>61.65</v>
          </cell>
        </row>
        <row r="666">
          <cell r="D666">
            <v>40331</v>
          </cell>
          <cell r="E666">
            <v>7.78</v>
          </cell>
          <cell r="G666">
            <v>40331</v>
          </cell>
          <cell r="H666">
            <v>6.22</v>
          </cell>
          <cell r="J666">
            <v>40331</v>
          </cell>
          <cell r="K666">
            <v>3.09</v>
          </cell>
          <cell r="M666">
            <v>40331</v>
          </cell>
          <cell r="N666">
            <v>4.54</v>
          </cell>
          <cell r="P666">
            <v>40331</v>
          </cell>
          <cell r="Q666">
            <v>61.85</v>
          </cell>
        </row>
        <row r="667">
          <cell r="D667">
            <v>40330</v>
          </cell>
          <cell r="E667">
            <v>7.73</v>
          </cell>
          <cell r="G667">
            <v>40330</v>
          </cell>
          <cell r="H667">
            <v>6</v>
          </cell>
          <cell r="J667">
            <v>40330</v>
          </cell>
          <cell r="K667">
            <v>3.15</v>
          </cell>
          <cell r="M667">
            <v>40330</v>
          </cell>
          <cell r="N667">
            <v>4.5499000000000001</v>
          </cell>
          <cell r="P667">
            <v>40330</v>
          </cell>
          <cell r="Q667">
            <v>59.03</v>
          </cell>
        </row>
        <row r="668">
          <cell r="D668">
            <v>40326</v>
          </cell>
          <cell r="E668">
            <v>7.82</v>
          </cell>
          <cell r="G668">
            <v>40326</v>
          </cell>
          <cell r="H668">
            <v>6.15</v>
          </cell>
          <cell r="J668">
            <v>40326</v>
          </cell>
          <cell r="K668">
            <v>3.165</v>
          </cell>
          <cell r="M668">
            <v>40326</v>
          </cell>
          <cell r="N668">
            <v>4.75</v>
          </cell>
          <cell r="P668">
            <v>40326</v>
          </cell>
          <cell r="Q668">
            <v>60.69</v>
          </cell>
        </row>
        <row r="669">
          <cell r="D669">
            <v>40325</v>
          </cell>
          <cell r="E669">
            <v>7.85</v>
          </cell>
          <cell r="G669">
            <v>40325</v>
          </cell>
          <cell r="H669">
            <v>6.22</v>
          </cell>
          <cell r="J669">
            <v>40325</v>
          </cell>
          <cell r="K669">
            <v>3.25</v>
          </cell>
          <cell r="M669">
            <v>40325</v>
          </cell>
          <cell r="N669">
            <v>4.5999999999999996</v>
          </cell>
          <cell r="P669">
            <v>40325</v>
          </cell>
          <cell r="Q669">
            <v>61.72</v>
          </cell>
        </row>
        <row r="670">
          <cell r="D670">
            <v>40324</v>
          </cell>
          <cell r="E670">
            <v>7.57</v>
          </cell>
          <cell r="G670">
            <v>40324</v>
          </cell>
          <cell r="H670">
            <v>6.03</v>
          </cell>
          <cell r="J670">
            <v>40324</v>
          </cell>
          <cell r="K670">
            <v>3.16</v>
          </cell>
          <cell r="M670">
            <v>40324</v>
          </cell>
          <cell r="N670">
            <v>4.68</v>
          </cell>
          <cell r="P670">
            <v>40324</v>
          </cell>
          <cell r="Q670">
            <v>59.32</v>
          </cell>
        </row>
        <row r="671">
          <cell r="D671">
            <v>40323</v>
          </cell>
          <cell r="E671">
            <v>7.33</v>
          </cell>
          <cell r="G671">
            <v>40323</v>
          </cell>
          <cell r="H671">
            <v>5.94</v>
          </cell>
          <cell r="J671">
            <v>40323</v>
          </cell>
          <cell r="K671">
            <v>3.23</v>
          </cell>
          <cell r="M671">
            <v>40323</v>
          </cell>
          <cell r="N671">
            <v>4.46</v>
          </cell>
          <cell r="P671">
            <v>40323</v>
          </cell>
          <cell r="Q671">
            <v>59.23</v>
          </cell>
        </row>
        <row r="672">
          <cell r="D672">
            <v>40322</v>
          </cell>
          <cell r="E672">
            <v>7.29</v>
          </cell>
          <cell r="G672">
            <v>40322</v>
          </cell>
          <cell r="H672">
            <v>5.85</v>
          </cell>
          <cell r="J672">
            <v>40322</v>
          </cell>
          <cell r="K672">
            <v>3.17</v>
          </cell>
          <cell r="M672">
            <v>40322</v>
          </cell>
          <cell r="N672">
            <v>4.45</v>
          </cell>
          <cell r="P672">
            <v>40322</v>
          </cell>
          <cell r="Q672">
            <v>59.67</v>
          </cell>
        </row>
        <row r="673">
          <cell r="D673">
            <v>40319</v>
          </cell>
          <cell r="E673">
            <v>7.49</v>
          </cell>
          <cell r="G673">
            <v>40319</v>
          </cell>
          <cell r="H673">
            <v>5.99</v>
          </cell>
          <cell r="J673">
            <v>40319</v>
          </cell>
          <cell r="K673">
            <v>3.18</v>
          </cell>
          <cell r="M673">
            <v>40319</v>
          </cell>
          <cell r="N673">
            <v>4.51</v>
          </cell>
          <cell r="P673">
            <v>40319</v>
          </cell>
          <cell r="Q673">
            <v>61.61</v>
          </cell>
        </row>
        <row r="674">
          <cell r="D674">
            <v>40318</v>
          </cell>
          <cell r="E674">
            <v>7.35</v>
          </cell>
          <cell r="G674">
            <v>40318</v>
          </cell>
          <cell r="H674">
            <v>5.85</v>
          </cell>
          <cell r="J674">
            <v>40318</v>
          </cell>
          <cell r="K674">
            <v>3.16</v>
          </cell>
          <cell r="M674">
            <v>40318</v>
          </cell>
          <cell r="N674">
            <v>4.4001000000000001</v>
          </cell>
          <cell r="P674">
            <v>40318</v>
          </cell>
          <cell r="Q674">
            <v>61.32</v>
          </cell>
        </row>
        <row r="675">
          <cell r="D675">
            <v>40317</v>
          </cell>
          <cell r="E675">
            <v>7.44</v>
          </cell>
          <cell r="G675">
            <v>40317</v>
          </cell>
          <cell r="H675">
            <v>6.02</v>
          </cell>
          <cell r="J675">
            <v>40317</v>
          </cell>
          <cell r="K675">
            <v>3.35</v>
          </cell>
          <cell r="M675">
            <v>40317</v>
          </cell>
          <cell r="N675">
            <v>4.45</v>
          </cell>
          <cell r="P675">
            <v>40317</v>
          </cell>
          <cell r="Q675">
            <v>64.790000000000006</v>
          </cell>
        </row>
        <row r="676">
          <cell r="D676">
            <v>40316</v>
          </cell>
          <cell r="E676">
            <v>7.57</v>
          </cell>
          <cell r="G676">
            <v>40316</v>
          </cell>
          <cell r="H676">
            <v>6.1</v>
          </cell>
          <cell r="J676">
            <v>40316</v>
          </cell>
          <cell r="K676">
            <v>3.25</v>
          </cell>
          <cell r="M676">
            <v>40316</v>
          </cell>
          <cell r="N676">
            <v>4.5800999999999998</v>
          </cell>
          <cell r="P676">
            <v>40316</v>
          </cell>
          <cell r="Q676">
            <v>65.39</v>
          </cell>
        </row>
        <row r="677">
          <cell r="D677">
            <v>40315</v>
          </cell>
          <cell r="E677">
            <v>7.78</v>
          </cell>
          <cell r="G677">
            <v>40315</v>
          </cell>
          <cell r="H677">
            <v>6.15</v>
          </cell>
          <cell r="J677">
            <v>40315</v>
          </cell>
          <cell r="K677">
            <v>3.2999000000000001</v>
          </cell>
          <cell r="M677">
            <v>40315</v>
          </cell>
          <cell r="N677">
            <v>4.7899000000000003</v>
          </cell>
          <cell r="P677">
            <v>40315</v>
          </cell>
          <cell r="Q677">
            <v>66.25</v>
          </cell>
        </row>
        <row r="678">
          <cell r="D678">
            <v>40312</v>
          </cell>
          <cell r="E678">
            <v>7.9</v>
          </cell>
          <cell r="G678">
            <v>40312</v>
          </cell>
          <cell r="H678">
            <v>6.09</v>
          </cell>
          <cell r="J678">
            <v>40312</v>
          </cell>
          <cell r="K678">
            <v>3.25</v>
          </cell>
          <cell r="M678">
            <v>40312</v>
          </cell>
          <cell r="N678">
            <v>4.63</v>
          </cell>
          <cell r="P678">
            <v>40312</v>
          </cell>
          <cell r="Q678">
            <v>66.16</v>
          </cell>
        </row>
        <row r="679">
          <cell r="D679">
            <v>40311</v>
          </cell>
          <cell r="E679">
            <v>8.1999999999999993</v>
          </cell>
          <cell r="G679">
            <v>40311</v>
          </cell>
          <cell r="H679">
            <v>6.19</v>
          </cell>
          <cell r="J679">
            <v>40311</v>
          </cell>
          <cell r="K679">
            <v>3.32</v>
          </cell>
          <cell r="M679">
            <v>40311</v>
          </cell>
          <cell r="N679">
            <v>4.6101000000000001</v>
          </cell>
          <cell r="P679">
            <v>40311</v>
          </cell>
          <cell r="Q679">
            <v>66.3</v>
          </cell>
        </row>
        <row r="680">
          <cell r="D680">
            <v>40310</v>
          </cell>
          <cell r="E680">
            <v>8.25</v>
          </cell>
          <cell r="G680">
            <v>40310</v>
          </cell>
          <cell r="H680">
            <v>6.27</v>
          </cell>
          <cell r="J680">
            <v>40310</v>
          </cell>
          <cell r="K680">
            <v>3.4169999999999998</v>
          </cell>
          <cell r="M680">
            <v>40310</v>
          </cell>
          <cell r="N680">
            <v>4.6900000000000004</v>
          </cell>
          <cell r="P680">
            <v>40310</v>
          </cell>
          <cell r="Q680">
            <v>68.27</v>
          </cell>
        </row>
        <row r="681">
          <cell r="D681">
            <v>40309</v>
          </cell>
          <cell r="E681">
            <v>8.09</v>
          </cell>
          <cell r="G681">
            <v>40309</v>
          </cell>
          <cell r="H681">
            <v>6.04</v>
          </cell>
          <cell r="J681">
            <v>40309</v>
          </cell>
          <cell r="K681">
            <v>3.36</v>
          </cell>
          <cell r="M681">
            <v>40309</v>
          </cell>
          <cell r="N681">
            <v>4.6399999999999997</v>
          </cell>
          <cell r="P681">
            <v>40309</v>
          </cell>
          <cell r="Q681">
            <v>67.83</v>
          </cell>
        </row>
        <row r="682">
          <cell r="D682">
            <v>40308</v>
          </cell>
          <cell r="E682">
            <v>7.9450000000000003</v>
          </cell>
          <cell r="G682">
            <v>40308</v>
          </cell>
          <cell r="H682">
            <v>6</v>
          </cell>
          <cell r="J682">
            <v>40308</v>
          </cell>
          <cell r="K682">
            <v>3.33</v>
          </cell>
          <cell r="M682">
            <v>40308</v>
          </cell>
          <cell r="N682">
            <v>4.7450000000000001</v>
          </cell>
          <cell r="P682">
            <v>40308</v>
          </cell>
          <cell r="Q682">
            <v>66.91</v>
          </cell>
        </row>
        <row r="683">
          <cell r="D683">
            <v>40305</v>
          </cell>
          <cell r="E683">
            <v>7.61</v>
          </cell>
          <cell r="G683">
            <v>40305</v>
          </cell>
          <cell r="H683">
            <v>6.09</v>
          </cell>
          <cell r="J683">
            <v>40305</v>
          </cell>
          <cell r="K683">
            <v>3.29</v>
          </cell>
          <cell r="M683">
            <v>40305</v>
          </cell>
          <cell r="N683">
            <v>4.76</v>
          </cell>
          <cell r="P683">
            <v>40305</v>
          </cell>
          <cell r="Q683">
            <v>64.92</v>
          </cell>
        </row>
        <row r="684">
          <cell r="D684">
            <v>40304</v>
          </cell>
          <cell r="E684">
            <v>7.71</v>
          </cell>
          <cell r="G684">
            <v>40304</v>
          </cell>
          <cell r="H684">
            <v>6.05</v>
          </cell>
          <cell r="J684">
            <v>40304</v>
          </cell>
          <cell r="K684">
            <v>3.21</v>
          </cell>
          <cell r="M684">
            <v>40304</v>
          </cell>
          <cell r="N684">
            <v>5.01</v>
          </cell>
          <cell r="P684">
            <v>40304</v>
          </cell>
          <cell r="Q684">
            <v>66.86</v>
          </cell>
        </row>
        <row r="685">
          <cell r="D685">
            <v>40303</v>
          </cell>
          <cell r="E685">
            <v>7.8</v>
          </cell>
          <cell r="G685">
            <v>40303</v>
          </cell>
          <cell r="H685">
            <v>6.07</v>
          </cell>
          <cell r="J685">
            <v>40303</v>
          </cell>
          <cell r="K685">
            <v>3.3100999999999998</v>
          </cell>
          <cell r="M685">
            <v>40303</v>
          </cell>
          <cell r="N685">
            <v>4.9499000000000004</v>
          </cell>
          <cell r="P685">
            <v>40303</v>
          </cell>
          <cell r="Q685">
            <v>68.62</v>
          </cell>
        </row>
        <row r="686">
          <cell r="D686">
            <v>40302</v>
          </cell>
          <cell r="E686">
            <v>7.78</v>
          </cell>
          <cell r="G686">
            <v>40302</v>
          </cell>
          <cell r="H686">
            <v>6.15</v>
          </cell>
          <cell r="J686">
            <v>40302</v>
          </cell>
          <cell r="K686">
            <v>3.32</v>
          </cell>
          <cell r="M686">
            <v>40302</v>
          </cell>
          <cell r="N686">
            <v>4.95</v>
          </cell>
          <cell r="P686">
            <v>40302</v>
          </cell>
          <cell r="Q686">
            <v>69.16</v>
          </cell>
        </row>
        <row r="687">
          <cell r="D687">
            <v>40301</v>
          </cell>
          <cell r="E687">
            <v>8</v>
          </cell>
          <cell r="G687">
            <v>40301</v>
          </cell>
          <cell r="H687">
            <v>6.86</v>
          </cell>
          <cell r="J687">
            <v>40301</v>
          </cell>
          <cell r="K687">
            <v>3.43</v>
          </cell>
          <cell r="M687">
            <v>40301</v>
          </cell>
          <cell r="N687">
            <v>4.8899999999999997</v>
          </cell>
          <cell r="P687">
            <v>40301</v>
          </cell>
          <cell r="Q687">
            <v>71.53</v>
          </cell>
        </row>
        <row r="688">
          <cell r="D688">
            <v>40298</v>
          </cell>
          <cell r="E688">
            <v>8.0399999999999991</v>
          </cell>
          <cell r="G688">
            <v>40298</v>
          </cell>
          <cell r="H688">
            <v>6.85</v>
          </cell>
          <cell r="J688">
            <v>40298</v>
          </cell>
          <cell r="K688">
            <v>3.27</v>
          </cell>
          <cell r="M688">
            <v>40298</v>
          </cell>
          <cell r="N688">
            <v>4.6500000000000004</v>
          </cell>
          <cell r="P688">
            <v>40298</v>
          </cell>
          <cell r="Q688">
            <v>71.19</v>
          </cell>
        </row>
        <row r="689">
          <cell r="D689">
            <v>40297</v>
          </cell>
          <cell r="E689">
            <v>9.44</v>
          </cell>
          <cell r="G689">
            <v>40297</v>
          </cell>
          <cell r="H689">
            <v>7.13</v>
          </cell>
          <cell r="J689">
            <v>40297</v>
          </cell>
          <cell r="K689">
            <v>3.38</v>
          </cell>
          <cell r="M689">
            <v>40297</v>
          </cell>
          <cell r="N689">
            <v>4.6399999999999997</v>
          </cell>
          <cell r="P689">
            <v>40297</v>
          </cell>
          <cell r="Q689">
            <v>72.09</v>
          </cell>
        </row>
        <row r="690">
          <cell r="D690">
            <v>40296</v>
          </cell>
          <cell r="E690">
            <v>9.08</v>
          </cell>
          <cell r="G690">
            <v>40296</v>
          </cell>
          <cell r="H690">
            <v>7.07</v>
          </cell>
          <cell r="J690">
            <v>40296</v>
          </cell>
          <cell r="K690">
            <v>3.4</v>
          </cell>
          <cell r="M690">
            <v>40296</v>
          </cell>
          <cell r="N690">
            <v>4.55</v>
          </cell>
          <cell r="P690">
            <v>40296</v>
          </cell>
          <cell r="Q690">
            <v>71.709999999999994</v>
          </cell>
        </row>
        <row r="691">
          <cell r="D691">
            <v>40295</v>
          </cell>
          <cell r="E691">
            <v>9.14</v>
          </cell>
          <cell r="G691">
            <v>40295</v>
          </cell>
          <cell r="H691">
            <v>7.07</v>
          </cell>
          <cell r="J691">
            <v>40295</v>
          </cell>
          <cell r="K691">
            <v>3.36</v>
          </cell>
          <cell r="M691">
            <v>40295</v>
          </cell>
          <cell r="N691">
            <v>4.54</v>
          </cell>
          <cell r="P691">
            <v>40295</v>
          </cell>
          <cell r="Q691">
            <v>71.36</v>
          </cell>
        </row>
        <row r="692">
          <cell r="D692">
            <v>40294</v>
          </cell>
          <cell r="E692">
            <v>9.36</v>
          </cell>
          <cell r="G692">
            <v>40294</v>
          </cell>
          <cell r="H692">
            <v>7.21</v>
          </cell>
          <cell r="J692">
            <v>40294</v>
          </cell>
          <cell r="K692">
            <v>3.06</v>
          </cell>
          <cell r="M692">
            <v>40294</v>
          </cell>
          <cell r="N692">
            <v>4.5399000000000003</v>
          </cell>
          <cell r="P692">
            <v>40294</v>
          </cell>
          <cell r="Q692">
            <v>72.703999999999994</v>
          </cell>
        </row>
        <row r="693">
          <cell r="D693">
            <v>40291</v>
          </cell>
          <cell r="E693">
            <v>8.98</v>
          </cell>
          <cell r="G693">
            <v>40291</v>
          </cell>
          <cell r="H693">
            <v>7.1</v>
          </cell>
          <cell r="J693">
            <v>40291</v>
          </cell>
          <cell r="K693">
            <v>3.06</v>
          </cell>
          <cell r="M693">
            <v>40291</v>
          </cell>
          <cell r="N693">
            <v>4.5199999999999996</v>
          </cell>
          <cell r="P693">
            <v>40291</v>
          </cell>
          <cell r="Q693">
            <v>70.62</v>
          </cell>
        </row>
        <row r="694">
          <cell r="D694">
            <v>40290</v>
          </cell>
          <cell r="E694">
            <v>8.99</v>
          </cell>
          <cell r="G694">
            <v>40290</v>
          </cell>
          <cell r="H694">
            <v>7.08</v>
          </cell>
          <cell r="J694">
            <v>40290</v>
          </cell>
          <cell r="K694">
            <v>3.04</v>
          </cell>
          <cell r="M694">
            <v>40290</v>
          </cell>
          <cell r="N694">
            <v>4.5</v>
          </cell>
          <cell r="P694">
            <v>40290</v>
          </cell>
          <cell r="Q694">
            <v>71.400000000000006</v>
          </cell>
        </row>
        <row r="695">
          <cell r="D695">
            <v>40289</v>
          </cell>
          <cell r="E695">
            <v>8.94</v>
          </cell>
          <cell r="G695">
            <v>40289</v>
          </cell>
          <cell r="H695">
            <v>7.06</v>
          </cell>
          <cell r="J695">
            <v>40289</v>
          </cell>
          <cell r="K695">
            <v>3.07</v>
          </cell>
          <cell r="M695">
            <v>40289</v>
          </cell>
          <cell r="N695">
            <v>4.57</v>
          </cell>
          <cell r="P695">
            <v>40289</v>
          </cell>
          <cell r="Q695">
            <v>71.599999999999994</v>
          </cell>
        </row>
        <row r="696">
          <cell r="D696">
            <v>40288</v>
          </cell>
          <cell r="E696">
            <v>8.8699999999999992</v>
          </cell>
          <cell r="G696">
            <v>40288</v>
          </cell>
          <cell r="H696">
            <v>6.91</v>
          </cell>
          <cell r="J696">
            <v>40288</v>
          </cell>
          <cell r="K696">
            <v>3.03</v>
          </cell>
          <cell r="M696">
            <v>40288</v>
          </cell>
          <cell r="N696">
            <v>4.5698999999999996</v>
          </cell>
          <cell r="P696">
            <v>40288</v>
          </cell>
          <cell r="Q696">
            <v>72.150000000000006</v>
          </cell>
        </row>
        <row r="697">
          <cell r="D697">
            <v>40287</v>
          </cell>
          <cell r="E697">
            <v>8.6449999999999996</v>
          </cell>
          <cell r="G697">
            <v>40287</v>
          </cell>
          <cell r="H697">
            <v>6.82</v>
          </cell>
          <cell r="J697">
            <v>40287</v>
          </cell>
          <cell r="K697">
            <v>3.07</v>
          </cell>
          <cell r="M697">
            <v>40287</v>
          </cell>
          <cell r="N697">
            <v>4.72</v>
          </cell>
          <cell r="P697">
            <v>40287</v>
          </cell>
          <cell r="Q697">
            <v>71.09</v>
          </cell>
        </row>
        <row r="698">
          <cell r="D698">
            <v>40284</v>
          </cell>
          <cell r="E698">
            <v>8.75</v>
          </cell>
          <cell r="G698">
            <v>40284</v>
          </cell>
          <cell r="H698">
            <v>6.77</v>
          </cell>
          <cell r="J698">
            <v>40284</v>
          </cell>
          <cell r="K698">
            <v>3.04</v>
          </cell>
          <cell r="M698">
            <v>40284</v>
          </cell>
          <cell r="N698">
            <v>4.7</v>
          </cell>
          <cell r="P698">
            <v>40284</v>
          </cell>
          <cell r="Q698">
            <v>72.03</v>
          </cell>
        </row>
        <row r="699">
          <cell r="D699">
            <v>40283</v>
          </cell>
          <cell r="E699">
            <v>9.06</v>
          </cell>
          <cell r="G699">
            <v>40283</v>
          </cell>
          <cell r="H699">
            <v>6.88</v>
          </cell>
          <cell r="J699">
            <v>40283</v>
          </cell>
          <cell r="K699">
            <v>3.06</v>
          </cell>
          <cell r="M699">
            <v>40283</v>
          </cell>
          <cell r="N699">
            <v>4.6599000000000004</v>
          </cell>
          <cell r="P699">
            <v>40283</v>
          </cell>
          <cell r="Q699">
            <v>73.58</v>
          </cell>
        </row>
        <row r="700">
          <cell r="D700">
            <v>40282</v>
          </cell>
          <cell r="E700">
            <v>9.0299999999999994</v>
          </cell>
          <cell r="G700">
            <v>40282</v>
          </cell>
          <cell r="H700">
            <v>6.96</v>
          </cell>
          <cell r="J700">
            <v>40282</v>
          </cell>
          <cell r="K700">
            <v>3.05</v>
          </cell>
          <cell r="M700">
            <v>40282</v>
          </cell>
          <cell r="N700">
            <v>4.62</v>
          </cell>
          <cell r="P700">
            <v>40282</v>
          </cell>
          <cell r="Q700">
            <v>73.84</v>
          </cell>
        </row>
        <row r="701">
          <cell r="D701">
            <v>40281</v>
          </cell>
          <cell r="E701">
            <v>8.89</v>
          </cell>
          <cell r="G701">
            <v>40281</v>
          </cell>
          <cell r="H701">
            <v>6.79</v>
          </cell>
          <cell r="J701">
            <v>40281</v>
          </cell>
          <cell r="K701">
            <v>3.07</v>
          </cell>
          <cell r="M701">
            <v>40281</v>
          </cell>
          <cell r="N701">
            <v>4.4200999999999997</v>
          </cell>
          <cell r="P701">
            <v>40281</v>
          </cell>
          <cell r="Q701">
            <v>72.56</v>
          </cell>
        </row>
        <row r="702">
          <cell r="D702">
            <v>40280</v>
          </cell>
          <cell r="E702">
            <v>8.7050000000000001</v>
          </cell>
          <cell r="G702">
            <v>40280</v>
          </cell>
          <cell r="H702">
            <v>6.8</v>
          </cell>
          <cell r="J702">
            <v>40280</v>
          </cell>
          <cell r="K702">
            <v>3.02</v>
          </cell>
          <cell r="M702">
            <v>40280</v>
          </cell>
          <cell r="N702">
            <v>4.5799000000000003</v>
          </cell>
          <cell r="P702">
            <v>40280</v>
          </cell>
          <cell r="Q702">
            <v>70.540000000000006</v>
          </cell>
        </row>
        <row r="703">
          <cell r="D703">
            <v>40277</v>
          </cell>
          <cell r="E703">
            <v>8.81</v>
          </cell>
          <cell r="G703">
            <v>40277</v>
          </cell>
          <cell r="H703">
            <v>6.76</v>
          </cell>
          <cell r="J703">
            <v>40277</v>
          </cell>
          <cell r="K703">
            <v>3.08</v>
          </cell>
          <cell r="M703">
            <v>40277</v>
          </cell>
          <cell r="N703">
            <v>4.7</v>
          </cell>
          <cell r="P703">
            <v>40277</v>
          </cell>
          <cell r="Q703">
            <v>69.97</v>
          </cell>
        </row>
        <row r="704">
          <cell r="D704">
            <v>40276</v>
          </cell>
          <cell r="E704">
            <v>8.9499999999999993</v>
          </cell>
          <cell r="G704">
            <v>40276</v>
          </cell>
          <cell r="H704">
            <v>6.74</v>
          </cell>
          <cell r="J704">
            <v>40276</v>
          </cell>
          <cell r="K704">
            <v>3.04</v>
          </cell>
          <cell r="M704">
            <v>40276</v>
          </cell>
          <cell r="N704">
            <v>4.5999999999999996</v>
          </cell>
          <cell r="P704">
            <v>40276</v>
          </cell>
          <cell r="Q704">
            <v>69.680000000000007</v>
          </cell>
        </row>
        <row r="705">
          <cell r="D705">
            <v>40275</v>
          </cell>
          <cell r="E705">
            <v>8.9600000000000009</v>
          </cell>
          <cell r="G705">
            <v>40275</v>
          </cell>
          <cell r="H705">
            <v>6.85</v>
          </cell>
          <cell r="J705">
            <v>40275</v>
          </cell>
          <cell r="K705">
            <v>3.05</v>
          </cell>
          <cell r="M705">
            <v>40275</v>
          </cell>
          <cell r="N705">
            <v>4.4999000000000002</v>
          </cell>
          <cell r="P705">
            <v>40275</v>
          </cell>
          <cell r="Q705">
            <v>69.83</v>
          </cell>
        </row>
        <row r="706">
          <cell r="D706">
            <v>40274</v>
          </cell>
          <cell r="E706">
            <v>8.9600000000000009</v>
          </cell>
          <cell r="G706">
            <v>40274</v>
          </cell>
          <cell r="H706">
            <v>6.98</v>
          </cell>
          <cell r="J706">
            <v>40274</v>
          </cell>
          <cell r="K706">
            <v>3.0501</v>
          </cell>
          <cell r="M706">
            <v>40274</v>
          </cell>
          <cell r="N706">
            <v>4.4499000000000004</v>
          </cell>
          <cell r="P706">
            <v>40274</v>
          </cell>
          <cell r="Q706">
            <v>70.09</v>
          </cell>
        </row>
        <row r="707">
          <cell r="D707">
            <v>40273</v>
          </cell>
          <cell r="E707">
            <v>8.7200000000000006</v>
          </cell>
          <cell r="G707">
            <v>40273</v>
          </cell>
          <cell r="H707">
            <v>6.68</v>
          </cell>
          <cell r="J707">
            <v>40273</v>
          </cell>
          <cell r="K707">
            <v>3.05</v>
          </cell>
          <cell r="M707">
            <v>40273</v>
          </cell>
          <cell r="N707">
            <v>4.38</v>
          </cell>
          <cell r="P707">
            <v>40273</v>
          </cell>
          <cell r="Q707">
            <v>67.52</v>
          </cell>
        </row>
        <row r="708">
          <cell r="D708">
            <v>40269</v>
          </cell>
          <cell r="E708">
            <v>8.4600000000000009</v>
          </cell>
          <cell r="G708">
            <v>40269</v>
          </cell>
          <cell r="H708">
            <v>6.7</v>
          </cell>
          <cell r="J708">
            <v>40269</v>
          </cell>
          <cell r="K708">
            <v>3.04</v>
          </cell>
          <cell r="M708">
            <v>40269</v>
          </cell>
          <cell r="N708">
            <v>4.4699</v>
          </cell>
          <cell r="P708">
            <v>40269</v>
          </cell>
          <cell r="Q708">
            <v>68.48</v>
          </cell>
        </row>
        <row r="709">
          <cell r="D709">
            <v>40268</v>
          </cell>
          <cell r="E709">
            <v>8.42</v>
          </cell>
          <cell r="G709">
            <v>40268</v>
          </cell>
          <cell r="H709">
            <v>6.73</v>
          </cell>
          <cell r="J709">
            <v>40268</v>
          </cell>
          <cell r="K709">
            <v>2.99</v>
          </cell>
          <cell r="M709">
            <v>40268</v>
          </cell>
          <cell r="N709">
            <v>4.4000000000000004</v>
          </cell>
          <cell r="P709">
            <v>40268</v>
          </cell>
          <cell r="Q709">
            <v>73.97</v>
          </cell>
        </row>
        <row r="710">
          <cell r="D710">
            <v>40267</v>
          </cell>
          <cell r="E710">
            <v>8.44</v>
          </cell>
          <cell r="G710">
            <v>40267</v>
          </cell>
          <cell r="H710">
            <v>6.71</v>
          </cell>
          <cell r="J710">
            <v>40267</v>
          </cell>
          <cell r="K710">
            <v>2.97</v>
          </cell>
          <cell r="M710">
            <v>40267</v>
          </cell>
          <cell r="N710">
            <v>4.38</v>
          </cell>
          <cell r="P710">
            <v>40267</v>
          </cell>
          <cell r="Q710">
            <v>74.917000000000002</v>
          </cell>
        </row>
        <row r="711">
          <cell r="D711">
            <v>40266</v>
          </cell>
          <cell r="E711">
            <v>8.51</v>
          </cell>
          <cell r="G711">
            <v>40266</v>
          </cell>
          <cell r="H711">
            <v>6.56</v>
          </cell>
          <cell r="J711">
            <v>40266</v>
          </cell>
          <cell r="K711">
            <v>3.03</v>
          </cell>
          <cell r="M711">
            <v>40266</v>
          </cell>
          <cell r="N711">
            <v>4.4000000000000004</v>
          </cell>
          <cell r="P711">
            <v>40266</v>
          </cell>
          <cell r="Q711">
            <v>75.7</v>
          </cell>
        </row>
        <row r="712">
          <cell r="D712">
            <v>40263</v>
          </cell>
          <cell r="E712">
            <v>8.4</v>
          </cell>
          <cell r="G712">
            <v>40263</v>
          </cell>
          <cell r="H712">
            <v>6.74</v>
          </cell>
          <cell r="J712">
            <v>40263</v>
          </cell>
          <cell r="K712">
            <v>2.9701</v>
          </cell>
          <cell r="M712">
            <v>40263</v>
          </cell>
          <cell r="N712">
            <v>4.29</v>
          </cell>
          <cell r="P712">
            <v>40263</v>
          </cell>
          <cell r="Q712">
            <v>75.058000000000007</v>
          </cell>
        </row>
        <row r="713">
          <cell r="D713">
            <v>40262</v>
          </cell>
          <cell r="E713">
            <v>8.41</v>
          </cell>
          <cell r="G713">
            <v>40262</v>
          </cell>
          <cell r="H713">
            <v>6.74</v>
          </cell>
          <cell r="J713">
            <v>40262</v>
          </cell>
          <cell r="K713">
            <v>2.93</v>
          </cell>
          <cell r="M713">
            <v>40262</v>
          </cell>
          <cell r="N713">
            <v>4.26</v>
          </cell>
          <cell r="P713">
            <v>40262</v>
          </cell>
          <cell r="Q713">
            <v>73.430000000000007</v>
          </cell>
        </row>
        <row r="714">
          <cell r="D714">
            <v>40261</v>
          </cell>
          <cell r="E714">
            <v>8.6999999999999993</v>
          </cell>
          <cell r="G714">
            <v>40261</v>
          </cell>
          <cell r="H714">
            <v>6.76</v>
          </cell>
          <cell r="J714">
            <v>40261</v>
          </cell>
          <cell r="K714">
            <v>3.11</v>
          </cell>
          <cell r="M714">
            <v>40261</v>
          </cell>
          <cell r="N714">
            <v>4.21</v>
          </cell>
          <cell r="P714">
            <v>40261</v>
          </cell>
          <cell r="Q714">
            <v>74.09</v>
          </cell>
        </row>
        <row r="715">
          <cell r="D715">
            <v>40260</v>
          </cell>
          <cell r="E715">
            <v>8.7100000000000009</v>
          </cell>
          <cell r="G715">
            <v>40260</v>
          </cell>
          <cell r="H715">
            <v>6.99</v>
          </cell>
          <cell r="J715">
            <v>40260</v>
          </cell>
          <cell r="K715">
            <v>3.05</v>
          </cell>
          <cell r="M715">
            <v>40260</v>
          </cell>
          <cell r="N715">
            <v>4.3799000000000001</v>
          </cell>
          <cell r="P715">
            <v>40260</v>
          </cell>
          <cell r="Q715">
            <v>75.400000000000006</v>
          </cell>
        </row>
        <row r="716">
          <cell r="D716">
            <v>40259</v>
          </cell>
          <cell r="E716">
            <v>8.66</v>
          </cell>
          <cell r="G716">
            <v>40259</v>
          </cell>
          <cell r="H716">
            <v>6.89</v>
          </cell>
          <cell r="J716">
            <v>40259</v>
          </cell>
          <cell r="K716">
            <v>3.02</v>
          </cell>
          <cell r="M716">
            <v>40259</v>
          </cell>
          <cell r="N716">
            <v>4.26</v>
          </cell>
          <cell r="P716">
            <v>40259</v>
          </cell>
          <cell r="Q716">
            <v>73.900000000000006</v>
          </cell>
        </row>
        <row r="717">
          <cell r="D717">
            <v>40256</v>
          </cell>
          <cell r="E717">
            <v>8.7100000000000009</v>
          </cell>
          <cell r="G717">
            <v>40256</v>
          </cell>
          <cell r="H717">
            <v>6.81</v>
          </cell>
          <cell r="J717">
            <v>40256</v>
          </cell>
          <cell r="K717">
            <v>3.23</v>
          </cell>
          <cell r="M717">
            <v>40256</v>
          </cell>
          <cell r="N717">
            <v>4.32</v>
          </cell>
          <cell r="P717">
            <v>40256</v>
          </cell>
          <cell r="Q717">
            <v>73.057500000000005</v>
          </cell>
        </row>
        <row r="718">
          <cell r="D718">
            <v>40255</v>
          </cell>
          <cell r="E718">
            <v>9.02</v>
          </cell>
          <cell r="G718">
            <v>40255</v>
          </cell>
          <cell r="H718">
            <v>6.89</v>
          </cell>
          <cell r="J718">
            <v>40255</v>
          </cell>
          <cell r="K718">
            <v>3.0274999999999999</v>
          </cell>
          <cell r="M718">
            <v>40255</v>
          </cell>
          <cell r="N718">
            <v>4.08</v>
          </cell>
          <cell r="P718">
            <v>40255</v>
          </cell>
          <cell r="Q718">
            <v>74.47</v>
          </cell>
        </row>
        <row r="719">
          <cell r="D719">
            <v>40254</v>
          </cell>
          <cell r="E719">
            <v>8.74</v>
          </cell>
          <cell r="G719">
            <v>40254</v>
          </cell>
          <cell r="H719">
            <v>6.87</v>
          </cell>
          <cell r="J719">
            <v>40254</v>
          </cell>
          <cell r="K719">
            <v>3.15</v>
          </cell>
          <cell r="M719">
            <v>40254</v>
          </cell>
          <cell r="N719">
            <v>4.18</v>
          </cell>
          <cell r="P719">
            <v>40254</v>
          </cell>
          <cell r="Q719">
            <v>74.489999999999995</v>
          </cell>
        </row>
        <row r="720">
          <cell r="D720">
            <v>40253</v>
          </cell>
          <cell r="E720">
            <v>8.48</v>
          </cell>
          <cell r="G720">
            <v>40253</v>
          </cell>
          <cell r="H720">
            <v>6.95</v>
          </cell>
          <cell r="J720">
            <v>40253</v>
          </cell>
          <cell r="K720">
            <v>2.94</v>
          </cell>
          <cell r="M720">
            <v>40253</v>
          </cell>
          <cell r="N720">
            <v>4.2</v>
          </cell>
          <cell r="P720">
            <v>40253</v>
          </cell>
          <cell r="Q720">
            <v>75.150000000000006</v>
          </cell>
        </row>
        <row r="721">
          <cell r="D721">
            <v>40252</v>
          </cell>
          <cell r="E721">
            <v>8.09</v>
          </cell>
          <cell r="G721">
            <v>40252</v>
          </cell>
          <cell r="H721">
            <v>6.86</v>
          </cell>
          <cell r="J721">
            <v>40252</v>
          </cell>
          <cell r="K721">
            <v>2.94</v>
          </cell>
          <cell r="M721">
            <v>40252</v>
          </cell>
          <cell r="N721">
            <v>4.25</v>
          </cell>
          <cell r="P721">
            <v>40252</v>
          </cell>
          <cell r="Q721">
            <v>75.540000000000006</v>
          </cell>
        </row>
        <row r="722">
          <cell r="D722">
            <v>40249</v>
          </cell>
          <cell r="E722">
            <v>8.2799999999999994</v>
          </cell>
          <cell r="G722">
            <v>40249</v>
          </cell>
          <cell r="H722">
            <v>6.81</v>
          </cell>
          <cell r="J722">
            <v>40249</v>
          </cell>
          <cell r="K722">
            <v>2.96</v>
          </cell>
          <cell r="M722">
            <v>40249</v>
          </cell>
          <cell r="N722">
            <v>4.3</v>
          </cell>
          <cell r="P722">
            <v>40249</v>
          </cell>
          <cell r="Q722">
            <v>75.34</v>
          </cell>
        </row>
        <row r="723">
          <cell r="D723">
            <v>40248</v>
          </cell>
          <cell r="E723">
            <v>8.3699999999999992</v>
          </cell>
          <cell r="G723">
            <v>40248</v>
          </cell>
          <cell r="H723">
            <v>6.95</v>
          </cell>
          <cell r="J723">
            <v>40248</v>
          </cell>
          <cell r="K723">
            <v>2.9801000000000002</v>
          </cell>
          <cell r="M723">
            <v>40248</v>
          </cell>
          <cell r="N723">
            <v>4.3699000000000003</v>
          </cell>
          <cell r="P723">
            <v>40248</v>
          </cell>
          <cell r="Q723">
            <v>75.938000000000002</v>
          </cell>
        </row>
        <row r="724">
          <cell r="D724">
            <v>40247</v>
          </cell>
          <cell r="E724">
            <v>8.5</v>
          </cell>
          <cell r="G724">
            <v>40247</v>
          </cell>
          <cell r="H724">
            <v>7.06</v>
          </cell>
          <cell r="J724">
            <v>40247</v>
          </cell>
          <cell r="K724">
            <v>3.1</v>
          </cell>
          <cell r="M724">
            <v>40247</v>
          </cell>
          <cell r="N724">
            <v>4.3419999999999996</v>
          </cell>
          <cell r="P724">
            <v>40247</v>
          </cell>
          <cell r="Q724">
            <v>75.040000000000006</v>
          </cell>
        </row>
        <row r="725">
          <cell r="D725">
            <v>40246</v>
          </cell>
          <cell r="E725">
            <v>8.34</v>
          </cell>
          <cell r="G725">
            <v>40246</v>
          </cell>
          <cell r="H725">
            <v>6.93</v>
          </cell>
          <cell r="J725">
            <v>40246</v>
          </cell>
          <cell r="K725">
            <v>2.93</v>
          </cell>
          <cell r="M725">
            <v>40246</v>
          </cell>
          <cell r="N725">
            <v>4.25</v>
          </cell>
          <cell r="P725">
            <v>40246</v>
          </cell>
          <cell r="Q725">
            <v>73.55</v>
          </cell>
        </row>
        <row r="726">
          <cell r="D726">
            <v>40245</v>
          </cell>
          <cell r="E726">
            <v>8.39</v>
          </cell>
          <cell r="G726">
            <v>40245</v>
          </cell>
          <cell r="H726">
            <v>6.97</v>
          </cell>
          <cell r="J726">
            <v>40245</v>
          </cell>
          <cell r="K726">
            <v>2.94</v>
          </cell>
          <cell r="M726">
            <v>40245</v>
          </cell>
          <cell r="N726">
            <v>4.28</v>
          </cell>
          <cell r="P726">
            <v>40245</v>
          </cell>
          <cell r="Q726">
            <v>73.39</v>
          </cell>
        </row>
        <row r="727">
          <cell r="D727">
            <v>40242</v>
          </cell>
          <cell r="E727">
            <v>8.51</v>
          </cell>
          <cell r="G727">
            <v>40242</v>
          </cell>
          <cell r="H727">
            <v>6.96</v>
          </cell>
          <cell r="J727">
            <v>40242</v>
          </cell>
          <cell r="K727">
            <v>2.9</v>
          </cell>
          <cell r="M727">
            <v>40242</v>
          </cell>
          <cell r="N727">
            <v>4.3</v>
          </cell>
          <cell r="P727">
            <v>40242</v>
          </cell>
          <cell r="Q727">
            <v>69.5</v>
          </cell>
        </row>
        <row r="728">
          <cell r="D728">
            <v>40241</v>
          </cell>
          <cell r="E728">
            <v>8.66</v>
          </cell>
          <cell r="G728">
            <v>40241</v>
          </cell>
          <cell r="H728">
            <v>6.81</v>
          </cell>
          <cell r="J728">
            <v>40241</v>
          </cell>
          <cell r="K728">
            <v>2.94</v>
          </cell>
          <cell r="M728">
            <v>40241</v>
          </cell>
          <cell r="N728">
            <v>4.3</v>
          </cell>
          <cell r="P728">
            <v>40241</v>
          </cell>
          <cell r="Q728">
            <v>69.98</v>
          </cell>
        </row>
        <row r="729">
          <cell r="D729">
            <v>40240</v>
          </cell>
          <cell r="E729">
            <v>8.6300000000000008</v>
          </cell>
          <cell r="G729">
            <v>40240</v>
          </cell>
          <cell r="H729">
            <v>6.76</v>
          </cell>
          <cell r="J729">
            <v>40240</v>
          </cell>
          <cell r="K729">
            <v>2.84</v>
          </cell>
          <cell r="M729">
            <v>40240</v>
          </cell>
          <cell r="N729">
            <v>4.2460000000000004</v>
          </cell>
          <cell r="P729">
            <v>40240</v>
          </cell>
          <cell r="Q729">
            <v>70.83</v>
          </cell>
        </row>
        <row r="730">
          <cell r="D730">
            <v>40239</v>
          </cell>
          <cell r="E730">
            <v>8.5649999999999995</v>
          </cell>
          <cell r="G730">
            <v>40239</v>
          </cell>
          <cell r="H730">
            <v>6.66</v>
          </cell>
          <cell r="J730">
            <v>40239</v>
          </cell>
          <cell r="K730">
            <v>2.82</v>
          </cell>
          <cell r="M730">
            <v>40239</v>
          </cell>
          <cell r="N730">
            <v>4.3</v>
          </cell>
          <cell r="P730">
            <v>40239</v>
          </cell>
          <cell r="Q730">
            <v>70.77</v>
          </cell>
        </row>
        <row r="731">
          <cell r="D731">
            <v>40238</v>
          </cell>
          <cell r="E731">
            <v>8.3000000000000007</v>
          </cell>
          <cell r="G731">
            <v>40238</v>
          </cell>
          <cell r="H731">
            <v>6.55</v>
          </cell>
          <cell r="J731">
            <v>40238</v>
          </cell>
          <cell r="K731">
            <v>2.8298999999999999</v>
          </cell>
          <cell r="M731">
            <v>40238</v>
          </cell>
          <cell r="N731">
            <v>4.3</v>
          </cell>
          <cell r="P731">
            <v>40238</v>
          </cell>
          <cell r="Q731">
            <v>70.55</v>
          </cell>
        </row>
        <row r="732">
          <cell r="D732">
            <v>40235</v>
          </cell>
          <cell r="E732">
            <v>8.25</v>
          </cell>
          <cell r="G732">
            <v>40235</v>
          </cell>
          <cell r="H732">
            <v>6.68</v>
          </cell>
          <cell r="J732">
            <v>40235</v>
          </cell>
          <cell r="K732">
            <v>2.85</v>
          </cell>
          <cell r="M732">
            <v>40235</v>
          </cell>
          <cell r="N732">
            <v>4.13</v>
          </cell>
          <cell r="P732">
            <v>40235</v>
          </cell>
          <cell r="Q732">
            <v>70.88</v>
          </cell>
        </row>
        <row r="733">
          <cell r="D733">
            <v>40234</v>
          </cell>
          <cell r="E733">
            <v>8.2899999999999991</v>
          </cell>
          <cell r="G733">
            <v>40234</v>
          </cell>
          <cell r="H733">
            <v>7.35</v>
          </cell>
          <cell r="J733">
            <v>40234</v>
          </cell>
          <cell r="K733">
            <v>2.78</v>
          </cell>
          <cell r="M733">
            <v>40234</v>
          </cell>
          <cell r="N733">
            <v>4.2300000000000004</v>
          </cell>
          <cell r="P733">
            <v>40234</v>
          </cell>
          <cell r="Q733">
            <v>69.849999999999994</v>
          </cell>
        </row>
        <row r="734">
          <cell r="D734">
            <v>40233</v>
          </cell>
          <cell r="E734">
            <v>8.34</v>
          </cell>
          <cell r="G734">
            <v>40233</v>
          </cell>
          <cell r="H734">
            <v>7.12</v>
          </cell>
          <cell r="J734">
            <v>40233</v>
          </cell>
          <cell r="K734">
            <v>2.85</v>
          </cell>
          <cell r="M734">
            <v>40233</v>
          </cell>
          <cell r="N734">
            <v>4.4298999999999999</v>
          </cell>
          <cell r="P734">
            <v>40233</v>
          </cell>
          <cell r="Q734">
            <v>70.209999999999994</v>
          </cell>
        </row>
        <row r="735">
          <cell r="D735">
            <v>40232</v>
          </cell>
          <cell r="E735">
            <v>8.3800000000000008</v>
          </cell>
          <cell r="G735">
            <v>40232</v>
          </cell>
          <cell r="H735">
            <v>7.43</v>
          </cell>
          <cell r="J735">
            <v>40232</v>
          </cell>
          <cell r="K735">
            <v>2.85</v>
          </cell>
          <cell r="M735">
            <v>40232</v>
          </cell>
          <cell r="N735">
            <v>4.25</v>
          </cell>
          <cell r="P735">
            <v>40232</v>
          </cell>
          <cell r="Q735">
            <v>68.42</v>
          </cell>
        </row>
        <row r="736">
          <cell r="D736">
            <v>40231</v>
          </cell>
          <cell r="E736">
            <v>8.5399999999999991</v>
          </cell>
          <cell r="G736">
            <v>40231</v>
          </cell>
          <cell r="H736">
            <v>7.55</v>
          </cell>
          <cell r="J736">
            <v>40231</v>
          </cell>
          <cell r="K736">
            <v>2.87</v>
          </cell>
          <cell r="M736">
            <v>40231</v>
          </cell>
          <cell r="N736">
            <v>4.25</v>
          </cell>
          <cell r="P736">
            <v>40231</v>
          </cell>
          <cell r="Q736">
            <v>69.679000000000002</v>
          </cell>
        </row>
        <row r="737">
          <cell r="D737">
            <v>40228</v>
          </cell>
          <cell r="E737">
            <v>8.81</v>
          </cell>
          <cell r="G737">
            <v>40228</v>
          </cell>
          <cell r="H737">
            <v>7.58</v>
          </cell>
          <cell r="J737">
            <v>40228</v>
          </cell>
          <cell r="K737">
            <v>2.86</v>
          </cell>
          <cell r="M737">
            <v>40228</v>
          </cell>
          <cell r="N737">
            <v>4.25</v>
          </cell>
          <cell r="P737">
            <v>40228</v>
          </cell>
          <cell r="Q737">
            <v>71.03</v>
          </cell>
        </row>
        <row r="738">
          <cell r="D738">
            <v>40227</v>
          </cell>
          <cell r="E738">
            <v>8.91</v>
          </cell>
          <cell r="G738">
            <v>40227</v>
          </cell>
          <cell r="H738">
            <v>7.55</v>
          </cell>
          <cell r="J738">
            <v>40227</v>
          </cell>
          <cell r="K738">
            <v>2.84</v>
          </cell>
          <cell r="M738">
            <v>40227</v>
          </cell>
          <cell r="N738">
            <v>4.24</v>
          </cell>
          <cell r="P738">
            <v>40227</v>
          </cell>
          <cell r="Q738">
            <v>71.319999999999993</v>
          </cell>
        </row>
        <row r="739">
          <cell r="D739">
            <v>40226</v>
          </cell>
          <cell r="E739">
            <v>8.91</v>
          </cell>
          <cell r="G739">
            <v>40226</v>
          </cell>
          <cell r="H739">
            <v>7.51</v>
          </cell>
          <cell r="J739">
            <v>40226</v>
          </cell>
          <cell r="K739">
            <v>2.81</v>
          </cell>
          <cell r="M739">
            <v>40226</v>
          </cell>
          <cell r="N739">
            <v>4.1900000000000004</v>
          </cell>
          <cell r="P739">
            <v>40226</v>
          </cell>
          <cell r="Q739">
            <v>70.400000000000006</v>
          </cell>
        </row>
        <row r="740">
          <cell r="D740">
            <v>40225</v>
          </cell>
          <cell r="E740">
            <v>8.7100000000000009</v>
          </cell>
          <cell r="G740">
            <v>40225</v>
          </cell>
          <cell r="H740">
            <v>7.47</v>
          </cell>
          <cell r="J740">
            <v>40225</v>
          </cell>
          <cell r="K740">
            <v>2.7999000000000001</v>
          </cell>
          <cell r="M740">
            <v>40225</v>
          </cell>
          <cell r="N740">
            <v>4.3</v>
          </cell>
          <cell r="P740">
            <v>40225</v>
          </cell>
          <cell r="Q740">
            <v>70.25</v>
          </cell>
        </row>
        <row r="741">
          <cell r="D741">
            <v>40221</v>
          </cell>
          <cell r="E741">
            <v>9.18</v>
          </cell>
          <cell r="G741">
            <v>40221</v>
          </cell>
          <cell r="H741">
            <v>7.38</v>
          </cell>
          <cell r="J741">
            <v>40221</v>
          </cell>
          <cell r="K741">
            <v>2.81</v>
          </cell>
          <cell r="M741">
            <v>40221</v>
          </cell>
          <cell r="N741">
            <v>4.319</v>
          </cell>
          <cell r="P741">
            <v>40221</v>
          </cell>
          <cell r="Q741">
            <v>71.33</v>
          </cell>
        </row>
        <row r="742">
          <cell r="D742">
            <v>40220</v>
          </cell>
          <cell r="E742">
            <v>9.42</v>
          </cell>
          <cell r="G742">
            <v>40220</v>
          </cell>
          <cell r="H742">
            <v>7.29</v>
          </cell>
          <cell r="J742">
            <v>40220</v>
          </cell>
          <cell r="K742">
            <v>2.82</v>
          </cell>
          <cell r="M742">
            <v>40219</v>
          </cell>
          <cell r="N742">
            <v>4.4400000000000004</v>
          </cell>
          <cell r="P742">
            <v>40220</v>
          </cell>
          <cell r="Q742">
            <v>69.17</v>
          </cell>
        </row>
        <row r="743">
          <cell r="D743">
            <v>40219</v>
          </cell>
          <cell r="E743">
            <v>11.76</v>
          </cell>
          <cell r="G743">
            <v>40219</v>
          </cell>
          <cell r="H743">
            <v>7.13</v>
          </cell>
          <cell r="J743">
            <v>40219</v>
          </cell>
          <cell r="K743">
            <v>2.8</v>
          </cell>
          <cell r="M743">
            <v>40217</v>
          </cell>
          <cell r="N743">
            <v>4.6500000000000004</v>
          </cell>
          <cell r="P743">
            <v>40219</v>
          </cell>
          <cell r="Q743">
            <v>67.180000000000007</v>
          </cell>
        </row>
        <row r="744">
          <cell r="D744">
            <v>40218</v>
          </cell>
          <cell r="E744">
            <v>11.75</v>
          </cell>
          <cell r="G744">
            <v>40218</v>
          </cell>
          <cell r="H744">
            <v>7.1</v>
          </cell>
          <cell r="J744">
            <v>40218</v>
          </cell>
          <cell r="K744">
            <v>2.83</v>
          </cell>
          <cell r="M744">
            <v>40214</v>
          </cell>
          <cell r="N744">
            <v>4.3</v>
          </cell>
          <cell r="P744">
            <v>40218</v>
          </cell>
          <cell r="Q744">
            <v>66.150000000000006</v>
          </cell>
        </row>
        <row r="745">
          <cell r="D745">
            <v>40217</v>
          </cell>
          <cell r="E745">
            <v>11.17</v>
          </cell>
          <cell r="G745">
            <v>40217</v>
          </cell>
          <cell r="H745">
            <v>7.28</v>
          </cell>
          <cell r="J745">
            <v>40217</v>
          </cell>
          <cell r="K745">
            <v>2.85</v>
          </cell>
          <cell r="M745">
            <v>40213</v>
          </cell>
          <cell r="N745">
            <v>4.3099999999999996</v>
          </cell>
          <cell r="P745">
            <v>40217</v>
          </cell>
          <cell r="Q745">
            <v>66.67</v>
          </cell>
        </row>
        <row r="746">
          <cell r="D746">
            <v>40214</v>
          </cell>
          <cell r="E746">
            <v>10.99</v>
          </cell>
          <cell r="G746">
            <v>40214</v>
          </cell>
          <cell r="H746">
            <v>7.35</v>
          </cell>
          <cell r="J746">
            <v>40214</v>
          </cell>
          <cell r="K746">
            <v>2.84</v>
          </cell>
          <cell r="M746">
            <v>40212</v>
          </cell>
          <cell r="N746">
            <v>4.4000000000000004</v>
          </cell>
          <cell r="P746">
            <v>40214</v>
          </cell>
          <cell r="Q746">
            <v>67.75</v>
          </cell>
        </row>
        <row r="747">
          <cell r="D747">
            <v>40213</v>
          </cell>
          <cell r="E747">
            <v>10.83</v>
          </cell>
          <cell r="G747">
            <v>40213</v>
          </cell>
          <cell r="H747">
            <v>7.17</v>
          </cell>
          <cell r="J747">
            <v>40213</v>
          </cell>
          <cell r="K747">
            <v>2.8797000000000001</v>
          </cell>
          <cell r="M747">
            <v>40211</v>
          </cell>
          <cell r="N747">
            <v>4.47</v>
          </cell>
          <cell r="P747">
            <v>40213</v>
          </cell>
          <cell r="Q747">
            <v>66.17</v>
          </cell>
        </row>
        <row r="748">
          <cell r="D748">
            <v>40212</v>
          </cell>
          <cell r="E748">
            <v>11.335000000000001</v>
          </cell>
          <cell r="G748">
            <v>40212</v>
          </cell>
          <cell r="H748">
            <v>7.42</v>
          </cell>
          <cell r="J748">
            <v>40212</v>
          </cell>
          <cell r="K748">
            <v>2.84</v>
          </cell>
          <cell r="M748">
            <v>40210</v>
          </cell>
          <cell r="N748">
            <v>4.3947000000000003</v>
          </cell>
          <cell r="P748">
            <v>40212</v>
          </cell>
          <cell r="Q748">
            <v>67.86</v>
          </cell>
        </row>
        <row r="749">
          <cell r="D749">
            <v>40211</v>
          </cell>
          <cell r="E749">
            <v>11.5</v>
          </cell>
          <cell r="G749">
            <v>40211</v>
          </cell>
          <cell r="H749">
            <v>7.55</v>
          </cell>
          <cell r="J749">
            <v>40211</v>
          </cell>
          <cell r="K749">
            <v>2.87</v>
          </cell>
          <cell r="M749">
            <v>40207</v>
          </cell>
          <cell r="N749">
            <v>4.3899999999999997</v>
          </cell>
          <cell r="P749">
            <v>40211</v>
          </cell>
          <cell r="Q749">
            <v>65.626000000000005</v>
          </cell>
        </row>
        <row r="750">
          <cell r="D750">
            <v>40210</v>
          </cell>
          <cell r="E750">
            <v>11.3</v>
          </cell>
          <cell r="G750">
            <v>40210</v>
          </cell>
          <cell r="H750">
            <v>7.59</v>
          </cell>
          <cell r="J750">
            <v>40210</v>
          </cell>
          <cell r="K750">
            <v>2.86</v>
          </cell>
          <cell r="M750">
            <v>40206</v>
          </cell>
          <cell r="N750">
            <v>4.3898999999999999</v>
          </cell>
          <cell r="P750">
            <v>40210</v>
          </cell>
          <cell r="Q750">
            <v>64.06</v>
          </cell>
        </row>
        <row r="751">
          <cell r="D751">
            <v>40207</v>
          </cell>
          <cell r="E751">
            <v>11.09</v>
          </cell>
          <cell r="G751">
            <v>40207</v>
          </cell>
          <cell r="H751">
            <v>7.48</v>
          </cell>
          <cell r="J751">
            <v>40207</v>
          </cell>
          <cell r="K751">
            <v>2.87</v>
          </cell>
          <cell r="M751">
            <v>40205</v>
          </cell>
          <cell r="N751">
            <v>4.37</v>
          </cell>
          <cell r="P751">
            <v>40207</v>
          </cell>
          <cell r="Q751">
            <v>62.9101</v>
          </cell>
        </row>
        <row r="752">
          <cell r="D752">
            <v>40206</v>
          </cell>
          <cell r="E752">
            <v>11.58</v>
          </cell>
          <cell r="G752">
            <v>40206</v>
          </cell>
          <cell r="H752">
            <v>7.92</v>
          </cell>
          <cell r="J752">
            <v>40206</v>
          </cell>
          <cell r="K752">
            <v>2.94</v>
          </cell>
          <cell r="M752">
            <v>40204</v>
          </cell>
          <cell r="N752">
            <v>4.4499000000000004</v>
          </cell>
          <cell r="P752">
            <v>40206</v>
          </cell>
          <cell r="Q752">
            <v>64.599999999999994</v>
          </cell>
        </row>
        <row r="753">
          <cell r="D753">
            <v>40205</v>
          </cell>
          <cell r="E753">
            <v>11.44</v>
          </cell>
          <cell r="G753">
            <v>40205</v>
          </cell>
          <cell r="H753">
            <v>8.43</v>
          </cell>
          <cell r="J753">
            <v>40205</v>
          </cell>
          <cell r="K753">
            <v>2.96</v>
          </cell>
          <cell r="M753">
            <v>40203</v>
          </cell>
          <cell r="N753">
            <v>4.49</v>
          </cell>
          <cell r="P753">
            <v>40205</v>
          </cell>
          <cell r="Q753">
            <v>63.71</v>
          </cell>
        </row>
        <row r="754">
          <cell r="D754">
            <v>40204</v>
          </cell>
          <cell r="E754">
            <v>11.605</v>
          </cell>
          <cell r="G754">
            <v>40204</v>
          </cell>
          <cell r="H754">
            <v>8.32</v>
          </cell>
          <cell r="J754">
            <v>40204</v>
          </cell>
          <cell r="K754">
            <v>2.97</v>
          </cell>
          <cell r="M754">
            <v>40200</v>
          </cell>
          <cell r="N754">
            <v>4.43</v>
          </cell>
          <cell r="P754">
            <v>40204</v>
          </cell>
          <cell r="Q754">
            <v>61.62</v>
          </cell>
        </row>
        <row r="755">
          <cell r="D755">
            <v>40203</v>
          </cell>
          <cell r="E755">
            <v>11.5</v>
          </cell>
          <cell r="G755">
            <v>40203</v>
          </cell>
          <cell r="H755">
            <v>8</v>
          </cell>
          <cell r="J755">
            <v>40203</v>
          </cell>
          <cell r="K755">
            <v>2.98</v>
          </cell>
          <cell r="M755">
            <v>40199</v>
          </cell>
          <cell r="N755">
            <v>4.3600000000000003</v>
          </cell>
          <cell r="P755">
            <v>40203</v>
          </cell>
          <cell r="Q755">
            <v>61.41</v>
          </cell>
        </row>
        <row r="756">
          <cell r="D756">
            <v>40200</v>
          </cell>
          <cell r="E756">
            <v>11.6</v>
          </cell>
          <cell r="G756">
            <v>40200</v>
          </cell>
          <cell r="H756">
            <v>7.87</v>
          </cell>
          <cell r="J756">
            <v>40200</v>
          </cell>
          <cell r="K756">
            <v>3.07</v>
          </cell>
          <cell r="M756">
            <v>40198</v>
          </cell>
          <cell r="N756">
            <v>4.3</v>
          </cell>
          <cell r="P756">
            <v>40200</v>
          </cell>
          <cell r="Q756">
            <v>61.68</v>
          </cell>
        </row>
        <row r="757">
          <cell r="D757">
            <v>40199</v>
          </cell>
          <cell r="E757">
            <v>11.95</v>
          </cell>
          <cell r="G757">
            <v>40199</v>
          </cell>
          <cell r="H757">
            <v>7.98</v>
          </cell>
          <cell r="J757">
            <v>40199</v>
          </cell>
          <cell r="K757">
            <v>3.12</v>
          </cell>
          <cell r="M757">
            <v>40197</v>
          </cell>
          <cell r="N757">
            <v>4.3399000000000001</v>
          </cell>
          <cell r="P757">
            <v>40199</v>
          </cell>
          <cell r="Q757">
            <v>63.59</v>
          </cell>
        </row>
        <row r="758">
          <cell r="D758">
            <v>40198</v>
          </cell>
          <cell r="E758">
            <v>12.28</v>
          </cell>
          <cell r="G758">
            <v>40198</v>
          </cell>
          <cell r="H758">
            <v>7.81</v>
          </cell>
          <cell r="J758">
            <v>40198</v>
          </cell>
          <cell r="K758">
            <v>3.25</v>
          </cell>
          <cell r="M758">
            <v>40193</v>
          </cell>
          <cell r="N758">
            <v>4.3499999999999996</v>
          </cell>
          <cell r="P758">
            <v>40198</v>
          </cell>
          <cell r="Q758">
            <v>63.89</v>
          </cell>
        </row>
        <row r="759">
          <cell r="D759">
            <v>40197</v>
          </cell>
          <cell r="E759">
            <v>11.95</v>
          </cell>
          <cell r="G759">
            <v>40197</v>
          </cell>
          <cell r="H759">
            <v>7.77</v>
          </cell>
          <cell r="J759">
            <v>40197</v>
          </cell>
          <cell r="K759">
            <v>3.3681999999999999</v>
          </cell>
          <cell r="M759">
            <v>40192</v>
          </cell>
          <cell r="N759">
            <v>4.2</v>
          </cell>
          <cell r="P759">
            <v>40197</v>
          </cell>
          <cell r="Q759">
            <v>65.3</v>
          </cell>
        </row>
        <row r="760">
          <cell r="D760">
            <v>40193</v>
          </cell>
          <cell r="E760">
            <v>11.79</v>
          </cell>
          <cell r="G760">
            <v>40193</v>
          </cell>
          <cell r="H760">
            <v>7.84</v>
          </cell>
          <cell r="J760">
            <v>40193</v>
          </cell>
          <cell r="K760">
            <v>3.24</v>
          </cell>
          <cell r="M760">
            <v>40191</v>
          </cell>
          <cell r="N760">
            <v>4.66</v>
          </cell>
          <cell r="P760">
            <v>40193</v>
          </cell>
          <cell r="Q760">
            <v>66.23</v>
          </cell>
        </row>
        <row r="761">
          <cell r="D761">
            <v>40192</v>
          </cell>
          <cell r="E761">
            <v>11.8</v>
          </cell>
          <cell r="G761">
            <v>40192</v>
          </cell>
          <cell r="H761">
            <v>8.1</v>
          </cell>
          <cell r="J761">
            <v>40192</v>
          </cell>
          <cell r="K761">
            <v>3.22</v>
          </cell>
          <cell r="M761">
            <v>40190</v>
          </cell>
          <cell r="N761">
            <v>4.62</v>
          </cell>
          <cell r="P761">
            <v>40192</v>
          </cell>
          <cell r="Q761">
            <v>66.52</v>
          </cell>
        </row>
        <row r="762">
          <cell r="D762">
            <v>40191</v>
          </cell>
          <cell r="E762">
            <v>11.99</v>
          </cell>
          <cell r="G762">
            <v>40191</v>
          </cell>
          <cell r="H762">
            <v>8.11</v>
          </cell>
          <cell r="J762">
            <v>40191</v>
          </cell>
          <cell r="K762">
            <v>3.36</v>
          </cell>
          <cell r="M762">
            <v>40189</v>
          </cell>
          <cell r="N762">
            <v>4.54</v>
          </cell>
          <cell r="P762">
            <v>40191</v>
          </cell>
          <cell r="Q762">
            <v>65.540000000000006</v>
          </cell>
        </row>
        <row r="763">
          <cell r="D763">
            <v>40190</v>
          </cell>
          <cell r="E763">
            <v>12.04</v>
          </cell>
          <cell r="G763">
            <v>40190</v>
          </cell>
          <cell r="H763">
            <v>8.0399999999999991</v>
          </cell>
          <cell r="J763">
            <v>40190</v>
          </cell>
          <cell r="K763">
            <v>3.43</v>
          </cell>
          <cell r="M763">
            <v>40186</v>
          </cell>
          <cell r="N763">
            <v>4.6100000000000003</v>
          </cell>
          <cell r="P763">
            <v>40190</v>
          </cell>
          <cell r="Q763">
            <v>63.22</v>
          </cell>
        </row>
        <row r="764">
          <cell r="D764">
            <v>40189</v>
          </cell>
          <cell r="E764">
            <v>12.88</v>
          </cell>
          <cell r="G764">
            <v>40189</v>
          </cell>
          <cell r="H764">
            <v>8.26</v>
          </cell>
          <cell r="J764">
            <v>40189</v>
          </cell>
          <cell r="K764">
            <v>3.46</v>
          </cell>
          <cell r="M764">
            <v>40185</v>
          </cell>
          <cell r="N764">
            <v>4.4800000000000004</v>
          </cell>
          <cell r="P764">
            <v>40189</v>
          </cell>
          <cell r="Q764">
            <v>64.52</v>
          </cell>
        </row>
        <row r="765">
          <cell r="D765">
            <v>40186</v>
          </cell>
          <cell r="E765">
            <v>12.5</v>
          </cell>
          <cell r="G765">
            <v>40186</v>
          </cell>
          <cell r="H765">
            <v>8.42</v>
          </cell>
          <cell r="J765">
            <v>40186</v>
          </cell>
          <cell r="K765">
            <v>3.37</v>
          </cell>
          <cell r="M765">
            <v>40184</v>
          </cell>
          <cell r="N765">
            <v>4.25</v>
          </cell>
          <cell r="P765">
            <v>40186</v>
          </cell>
          <cell r="Q765">
            <v>65.459999999999994</v>
          </cell>
        </row>
        <row r="766">
          <cell r="D766">
            <v>40185</v>
          </cell>
          <cell r="E766">
            <v>12.49</v>
          </cell>
          <cell r="G766">
            <v>40185</v>
          </cell>
          <cell r="H766">
            <v>8.5500000000000007</v>
          </cell>
          <cell r="J766">
            <v>40185</v>
          </cell>
          <cell r="K766">
            <v>3.29</v>
          </cell>
          <cell r="M766">
            <v>40183</v>
          </cell>
          <cell r="N766">
            <v>4.3</v>
          </cell>
          <cell r="P766">
            <v>40185</v>
          </cell>
          <cell r="Q766">
            <v>65.3</v>
          </cell>
        </row>
        <row r="767">
          <cell r="D767">
            <v>40184</v>
          </cell>
          <cell r="E767">
            <v>12.29</v>
          </cell>
          <cell r="G767">
            <v>40184</v>
          </cell>
          <cell r="H767">
            <v>8.1300000000000008</v>
          </cell>
          <cell r="J767">
            <v>40184</v>
          </cell>
          <cell r="K767">
            <v>3.25</v>
          </cell>
          <cell r="M767">
            <v>40182</v>
          </cell>
          <cell r="N767">
            <v>4.1500000000000004</v>
          </cell>
          <cell r="P767">
            <v>40184</v>
          </cell>
          <cell r="Q767">
            <v>65.400000000000006</v>
          </cell>
        </row>
        <row r="768">
          <cell r="D768">
            <v>40183</v>
          </cell>
          <cell r="E768">
            <v>11.83</v>
          </cell>
          <cell r="G768">
            <v>40183</v>
          </cell>
          <cell r="H768">
            <v>8.2200000000000006</v>
          </cell>
          <cell r="J768">
            <v>40183</v>
          </cell>
          <cell r="K768">
            <v>3.32</v>
          </cell>
          <cell r="M768">
            <v>40178</v>
          </cell>
          <cell r="N768">
            <v>4.3</v>
          </cell>
          <cell r="P768">
            <v>40183</v>
          </cell>
          <cell r="Q768">
            <v>65.8</v>
          </cell>
        </row>
        <row r="769">
          <cell r="D769">
            <v>40182</v>
          </cell>
          <cell r="E769">
            <v>11.07</v>
          </cell>
          <cell r="G769">
            <v>40182</v>
          </cell>
          <cell r="H769">
            <v>8.3699999999999992</v>
          </cell>
          <cell r="J769">
            <v>40182</v>
          </cell>
          <cell r="K769">
            <v>3.3</v>
          </cell>
          <cell r="M769">
            <v>40177</v>
          </cell>
          <cell r="N769">
            <v>4.0599999999999996</v>
          </cell>
          <cell r="P769">
            <v>40182</v>
          </cell>
          <cell r="Q769">
            <v>65.930000000000007</v>
          </cell>
        </row>
        <row r="770">
          <cell r="D770">
            <v>40178</v>
          </cell>
          <cell r="E770">
            <v>10.6</v>
          </cell>
          <cell r="G770">
            <v>40178</v>
          </cell>
          <cell r="H770">
            <v>7.97</v>
          </cell>
          <cell r="J770">
            <v>40178</v>
          </cell>
          <cell r="K770">
            <v>3.21</v>
          </cell>
          <cell r="M770">
            <v>40176</v>
          </cell>
          <cell r="N770">
            <v>4.2300000000000004</v>
          </cell>
          <cell r="P770">
            <v>40178</v>
          </cell>
          <cell r="Q770">
            <v>67.540000000000006</v>
          </cell>
        </row>
        <row r="771">
          <cell r="D771">
            <v>40177</v>
          </cell>
          <cell r="E771">
            <v>10.34</v>
          </cell>
          <cell r="G771">
            <v>40177</v>
          </cell>
          <cell r="H771">
            <v>7.99</v>
          </cell>
          <cell r="J771">
            <v>40177</v>
          </cell>
          <cell r="K771">
            <v>3.22</v>
          </cell>
          <cell r="M771">
            <v>40175</v>
          </cell>
          <cell r="N771">
            <v>4.2</v>
          </cell>
          <cell r="P771">
            <v>40177</v>
          </cell>
          <cell r="Q771">
            <v>67.25</v>
          </cell>
        </row>
        <row r="772">
          <cell r="D772">
            <v>40176</v>
          </cell>
          <cell r="E772">
            <v>10.35</v>
          </cell>
          <cell r="G772">
            <v>40176</v>
          </cell>
          <cell r="H772">
            <v>8.02</v>
          </cell>
          <cell r="J772">
            <v>40176</v>
          </cell>
          <cell r="K772">
            <v>3.25</v>
          </cell>
          <cell r="M772">
            <v>40171</v>
          </cell>
          <cell r="N772">
            <v>4.22</v>
          </cell>
          <cell r="P772">
            <v>40176</v>
          </cell>
          <cell r="Q772">
            <v>67.48</v>
          </cell>
        </row>
        <row r="773">
          <cell r="D773">
            <v>40175</v>
          </cell>
          <cell r="E773">
            <v>9.49</v>
          </cell>
          <cell r="G773">
            <v>40175</v>
          </cell>
          <cell r="H773">
            <v>8.0500000000000007</v>
          </cell>
          <cell r="J773">
            <v>40175</v>
          </cell>
          <cell r="K773">
            <v>3.23</v>
          </cell>
          <cell r="M773">
            <v>40170</v>
          </cell>
          <cell r="N773">
            <v>4.22</v>
          </cell>
          <cell r="P773">
            <v>40175</v>
          </cell>
          <cell r="Q773">
            <v>68.33</v>
          </cell>
        </row>
        <row r="774">
          <cell r="D774">
            <v>40171</v>
          </cell>
          <cell r="E774">
            <v>9.73</v>
          </cell>
          <cell r="G774">
            <v>40171</v>
          </cell>
          <cell r="H774">
            <v>8.1999999999999993</v>
          </cell>
          <cell r="J774">
            <v>40171</v>
          </cell>
          <cell r="K774">
            <v>3.24</v>
          </cell>
          <cell r="M774">
            <v>40169</v>
          </cell>
          <cell r="N774">
            <v>4.25</v>
          </cell>
          <cell r="P774">
            <v>40171</v>
          </cell>
          <cell r="Q774">
            <v>66.92</v>
          </cell>
        </row>
        <row r="775">
          <cell r="D775">
            <v>40170</v>
          </cell>
          <cell r="E775">
            <v>9.61</v>
          </cell>
          <cell r="G775">
            <v>40170</v>
          </cell>
          <cell r="H775">
            <v>8.01</v>
          </cell>
          <cell r="J775">
            <v>40170</v>
          </cell>
          <cell r="K775">
            <v>3.22</v>
          </cell>
          <cell r="M775">
            <v>40168</v>
          </cell>
          <cell r="N775">
            <v>4.05</v>
          </cell>
          <cell r="P775">
            <v>40170</v>
          </cell>
          <cell r="Q775">
            <v>67.61</v>
          </cell>
        </row>
        <row r="776">
          <cell r="D776">
            <v>40169</v>
          </cell>
          <cell r="E776">
            <v>9.4700000000000006</v>
          </cell>
          <cell r="G776">
            <v>40169</v>
          </cell>
          <cell r="H776">
            <v>8.1199999999999992</v>
          </cell>
          <cell r="J776">
            <v>40169</v>
          </cell>
          <cell r="K776">
            <v>3.2</v>
          </cell>
          <cell r="M776">
            <v>40165</v>
          </cell>
          <cell r="N776">
            <v>3.95</v>
          </cell>
          <cell r="P776">
            <v>40169</v>
          </cell>
          <cell r="Q776">
            <v>67.22</v>
          </cell>
        </row>
        <row r="777">
          <cell r="D777">
            <v>40168</v>
          </cell>
          <cell r="E777">
            <v>9.4700000000000006</v>
          </cell>
          <cell r="G777">
            <v>40168</v>
          </cell>
          <cell r="H777">
            <v>7.89</v>
          </cell>
          <cell r="J777">
            <v>40168</v>
          </cell>
          <cell r="K777">
            <v>3.18</v>
          </cell>
          <cell r="M777">
            <v>40164</v>
          </cell>
          <cell r="N777">
            <v>4.2699999999999996</v>
          </cell>
          <cell r="P777">
            <v>40168</v>
          </cell>
          <cell r="Q777">
            <v>69.7</v>
          </cell>
        </row>
        <row r="778">
          <cell r="D778">
            <v>40165</v>
          </cell>
          <cell r="E778">
            <v>9.42</v>
          </cell>
          <cell r="G778">
            <v>40165</v>
          </cell>
          <cell r="H778">
            <v>7.8</v>
          </cell>
          <cell r="J778">
            <v>40165</v>
          </cell>
          <cell r="K778">
            <v>3.2</v>
          </cell>
          <cell r="M778">
            <v>40163</v>
          </cell>
          <cell r="N778">
            <v>4.34</v>
          </cell>
          <cell r="P778">
            <v>40165</v>
          </cell>
          <cell r="Q778">
            <v>70</v>
          </cell>
        </row>
        <row r="779">
          <cell r="D779">
            <v>40164</v>
          </cell>
          <cell r="E779">
            <v>9.4</v>
          </cell>
          <cell r="G779">
            <v>40164</v>
          </cell>
          <cell r="H779">
            <v>7.77</v>
          </cell>
          <cell r="J779">
            <v>40164</v>
          </cell>
          <cell r="K779">
            <v>3.17</v>
          </cell>
          <cell r="M779">
            <v>40162</v>
          </cell>
          <cell r="N779">
            <v>4.4400000000000004</v>
          </cell>
          <cell r="P779">
            <v>40164</v>
          </cell>
          <cell r="Q779">
            <v>63.46</v>
          </cell>
        </row>
        <row r="780">
          <cell r="D780">
            <v>40163</v>
          </cell>
          <cell r="E780">
            <v>9.7100000000000009</v>
          </cell>
          <cell r="G780">
            <v>40163</v>
          </cell>
          <cell r="H780">
            <v>7.89</v>
          </cell>
          <cell r="J780">
            <v>40163</v>
          </cell>
          <cell r="K780">
            <v>3.17</v>
          </cell>
          <cell r="M780">
            <v>40161</v>
          </cell>
          <cell r="N780">
            <v>4.2850000000000001</v>
          </cell>
          <cell r="P780">
            <v>40163</v>
          </cell>
          <cell r="Q780">
            <v>64.67</v>
          </cell>
        </row>
        <row r="781">
          <cell r="D781">
            <v>40162</v>
          </cell>
          <cell r="E781">
            <v>9.5500000000000007</v>
          </cell>
          <cell r="G781">
            <v>40162</v>
          </cell>
          <cell r="H781">
            <v>7.95</v>
          </cell>
          <cell r="J781">
            <v>40162</v>
          </cell>
          <cell r="K781">
            <v>3.16</v>
          </cell>
          <cell r="M781">
            <v>40158</v>
          </cell>
          <cell r="N781">
            <v>4.21</v>
          </cell>
          <cell r="P781">
            <v>40162</v>
          </cell>
          <cell r="Q781">
            <v>64.08</v>
          </cell>
        </row>
        <row r="782">
          <cell r="D782">
            <v>40161</v>
          </cell>
          <cell r="E782">
            <v>9.58</v>
          </cell>
          <cell r="G782">
            <v>40161</v>
          </cell>
          <cell r="H782">
            <v>8.14</v>
          </cell>
          <cell r="J782">
            <v>40161</v>
          </cell>
          <cell r="K782">
            <v>3.18</v>
          </cell>
          <cell r="M782">
            <v>40156</v>
          </cell>
          <cell r="N782">
            <v>4.3</v>
          </cell>
          <cell r="P782">
            <v>40161</v>
          </cell>
          <cell r="Q782">
            <v>63.18</v>
          </cell>
        </row>
        <row r="783">
          <cell r="D783">
            <v>40158</v>
          </cell>
          <cell r="E783">
            <v>9.91</v>
          </cell>
          <cell r="G783">
            <v>40158</v>
          </cell>
          <cell r="H783">
            <v>8.02</v>
          </cell>
          <cell r="J783">
            <v>40158</v>
          </cell>
          <cell r="K783">
            <v>3.15</v>
          </cell>
          <cell r="M783">
            <v>40155</v>
          </cell>
          <cell r="N783">
            <v>4.2984999999999998</v>
          </cell>
          <cell r="P783">
            <v>40158</v>
          </cell>
          <cell r="Q783">
            <v>63.84</v>
          </cell>
        </row>
        <row r="784">
          <cell r="D784">
            <v>40157</v>
          </cell>
          <cell r="E784">
            <v>9.8699999999999992</v>
          </cell>
          <cell r="G784">
            <v>40157</v>
          </cell>
          <cell r="H784">
            <v>8.01</v>
          </cell>
          <cell r="J784">
            <v>40157</v>
          </cell>
          <cell r="K784">
            <v>3.1789999999999998</v>
          </cell>
          <cell r="M784">
            <v>40154</v>
          </cell>
          <cell r="N784">
            <v>4.2859999999999996</v>
          </cell>
          <cell r="P784">
            <v>40157</v>
          </cell>
          <cell r="Q784">
            <v>65.8</v>
          </cell>
        </row>
        <row r="785">
          <cell r="D785">
            <v>40156</v>
          </cell>
          <cell r="E785">
            <v>9.89</v>
          </cell>
          <cell r="G785">
            <v>40156</v>
          </cell>
          <cell r="H785">
            <v>8.1</v>
          </cell>
          <cell r="J785">
            <v>40156</v>
          </cell>
          <cell r="K785">
            <v>3.12</v>
          </cell>
          <cell r="M785">
            <v>40151</v>
          </cell>
          <cell r="N785">
            <v>4.28</v>
          </cell>
          <cell r="P785">
            <v>40156</v>
          </cell>
          <cell r="Q785">
            <v>64.14</v>
          </cell>
        </row>
        <row r="786">
          <cell r="D786">
            <v>40155</v>
          </cell>
          <cell r="E786">
            <v>9.4149999999999991</v>
          </cell>
          <cell r="G786">
            <v>40155</v>
          </cell>
          <cell r="H786">
            <v>8.19</v>
          </cell>
          <cell r="J786">
            <v>40155</v>
          </cell>
          <cell r="K786">
            <v>3.07</v>
          </cell>
          <cell r="M786">
            <v>40150</v>
          </cell>
          <cell r="N786">
            <v>4.3</v>
          </cell>
          <cell r="P786">
            <v>40155</v>
          </cell>
          <cell r="Q786">
            <v>61.16</v>
          </cell>
        </row>
        <row r="787">
          <cell r="D787">
            <v>40154</v>
          </cell>
          <cell r="E787">
            <v>9.6</v>
          </cell>
          <cell r="G787">
            <v>40154</v>
          </cell>
          <cell r="H787">
            <v>8.7100000000000009</v>
          </cell>
          <cell r="J787">
            <v>40154</v>
          </cell>
          <cell r="K787">
            <v>3.11</v>
          </cell>
          <cell r="M787">
            <v>40149</v>
          </cell>
          <cell r="N787">
            <v>4.21</v>
          </cell>
          <cell r="P787">
            <v>40154</v>
          </cell>
          <cell r="Q787">
            <v>60.28</v>
          </cell>
        </row>
        <row r="788">
          <cell r="D788">
            <v>40151</v>
          </cell>
          <cell r="E788">
            <v>9.6150000000000002</v>
          </cell>
          <cell r="G788">
            <v>40151</v>
          </cell>
          <cell r="H788">
            <v>8.66</v>
          </cell>
          <cell r="J788">
            <v>40151</v>
          </cell>
          <cell r="K788">
            <v>3.08</v>
          </cell>
          <cell r="M788">
            <v>40148</v>
          </cell>
          <cell r="N788">
            <v>4.2</v>
          </cell>
          <cell r="P788">
            <v>40151</v>
          </cell>
          <cell r="Q788">
            <v>58.75</v>
          </cell>
        </row>
        <row r="789">
          <cell r="D789">
            <v>40150</v>
          </cell>
          <cell r="E789">
            <v>9.5549999999999997</v>
          </cell>
          <cell r="G789">
            <v>40150</v>
          </cell>
          <cell r="H789">
            <v>8.5399999999999991</v>
          </cell>
          <cell r="J789">
            <v>40150</v>
          </cell>
          <cell r="K789">
            <v>3.12</v>
          </cell>
          <cell r="M789">
            <v>40147</v>
          </cell>
          <cell r="N789">
            <v>4.05</v>
          </cell>
          <cell r="P789">
            <v>40150</v>
          </cell>
          <cell r="Q789">
            <v>58.42</v>
          </cell>
        </row>
        <row r="790">
          <cell r="D790">
            <v>40149</v>
          </cell>
          <cell r="E790">
            <v>9.66</v>
          </cell>
          <cell r="G790">
            <v>40149</v>
          </cell>
          <cell r="H790">
            <v>8.5299999999999994</v>
          </cell>
          <cell r="J790">
            <v>40149</v>
          </cell>
          <cell r="K790">
            <v>3.08</v>
          </cell>
          <cell r="M790">
            <v>40142</v>
          </cell>
          <cell r="N790">
            <v>4.3</v>
          </cell>
          <cell r="P790">
            <v>40149</v>
          </cell>
          <cell r="Q790">
            <v>59.81</v>
          </cell>
        </row>
        <row r="791">
          <cell r="D791">
            <v>40148</v>
          </cell>
          <cell r="E791">
            <v>9.5500000000000007</v>
          </cell>
          <cell r="G791">
            <v>40148</v>
          </cell>
          <cell r="H791">
            <v>8.59</v>
          </cell>
          <cell r="J791">
            <v>40148</v>
          </cell>
          <cell r="K791">
            <v>3.11</v>
          </cell>
          <cell r="M791">
            <v>40141</v>
          </cell>
          <cell r="N791">
            <v>4.3499999999999996</v>
          </cell>
          <cell r="P791">
            <v>40148</v>
          </cell>
          <cell r="Q791">
            <v>59.73</v>
          </cell>
        </row>
        <row r="792">
          <cell r="D792">
            <v>40147</v>
          </cell>
          <cell r="E792">
            <v>9.0399999999999991</v>
          </cell>
          <cell r="G792">
            <v>40147</v>
          </cell>
          <cell r="H792">
            <v>8.3800000000000008</v>
          </cell>
          <cell r="J792">
            <v>40147</v>
          </cell>
          <cell r="K792">
            <v>3.05</v>
          </cell>
          <cell r="M792">
            <v>40140</v>
          </cell>
          <cell r="N792">
            <v>4.3</v>
          </cell>
          <cell r="P792">
            <v>40147</v>
          </cell>
          <cell r="Q792">
            <v>57.89</v>
          </cell>
        </row>
        <row r="793">
          <cell r="D793">
            <v>40144</v>
          </cell>
          <cell r="E793">
            <v>8.6199999999999992</v>
          </cell>
          <cell r="G793">
            <v>40144</v>
          </cell>
          <cell r="H793">
            <v>8.64</v>
          </cell>
          <cell r="J793">
            <v>40144</v>
          </cell>
          <cell r="K793">
            <v>3.1680000000000001</v>
          </cell>
          <cell r="M793">
            <v>40136</v>
          </cell>
          <cell r="N793">
            <v>4.47</v>
          </cell>
          <cell r="P793">
            <v>40144</v>
          </cell>
          <cell r="Q793">
            <v>58.14</v>
          </cell>
        </row>
        <row r="794">
          <cell r="D794">
            <v>40142</v>
          </cell>
          <cell r="E794">
            <v>8.73</v>
          </cell>
          <cell r="G794">
            <v>40142</v>
          </cell>
          <cell r="H794">
            <v>8.76</v>
          </cell>
          <cell r="J794">
            <v>40142</v>
          </cell>
          <cell r="K794">
            <v>3.16</v>
          </cell>
          <cell r="M794">
            <v>40135</v>
          </cell>
          <cell r="N794">
            <v>4.25</v>
          </cell>
          <cell r="P794">
            <v>40142</v>
          </cell>
          <cell r="Q794">
            <v>59.76</v>
          </cell>
        </row>
        <row r="795">
          <cell r="D795">
            <v>40141</v>
          </cell>
          <cell r="E795">
            <v>8.64</v>
          </cell>
          <cell r="G795">
            <v>40141</v>
          </cell>
          <cell r="H795">
            <v>8.76</v>
          </cell>
          <cell r="J795">
            <v>40141</v>
          </cell>
          <cell r="K795">
            <v>3.16</v>
          </cell>
          <cell r="M795">
            <v>40134</v>
          </cell>
          <cell r="N795">
            <v>4.4999000000000002</v>
          </cell>
          <cell r="P795">
            <v>40141</v>
          </cell>
          <cell r="Q795">
            <v>59.53</v>
          </cell>
        </row>
        <row r="796">
          <cell r="D796">
            <v>40140</v>
          </cell>
          <cell r="E796">
            <v>8.8000000000000007</v>
          </cell>
          <cell r="G796">
            <v>40140</v>
          </cell>
          <cell r="H796">
            <v>8.8800000000000008</v>
          </cell>
          <cell r="J796">
            <v>40140</v>
          </cell>
          <cell r="K796">
            <v>3.17</v>
          </cell>
          <cell r="M796">
            <v>40133</v>
          </cell>
          <cell r="N796">
            <v>4.4800000000000004</v>
          </cell>
          <cell r="P796">
            <v>40140</v>
          </cell>
          <cell r="Q796">
            <v>60</v>
          </cell>
        </row>
        <row r="797">
          <cell r="D797">
            <v>40137</v>
          </cell>
          <cell r="E797">
            <v>8.57</v>
          </cell>
          <cell r="G797">
            <v>40137</v>
          </cell>
          <cell r="H797">
            <v>8.86</v>
          </cell>
          <cell r="J797">
            <v>40137</v>
          </cell>
          <cell r="K797">
            <v>3.2</v>
          </cell>
          <cell r="M797">
            <v>40130</v>
          </cell>
          <cell r="N797">
            <v>4.5650000000000004</v>
          </cell>
          <cell r="P797">
            <v>40137</v>
          </cell>
          <cell r="Q797">
            <v>59.72</v>
          </cell>
        </row>
        <row r="798">
          <cell r="D798">
            <v>40136</v>
          </cell>
          <cell r="E798">
            <v>8.84</v>
          </cell>
          <cell r="G798">
            <v>40136</v>
          </cell>
          <cell r="H798">
            <v>8.83</v>
          </cell>
          <cell r="J798">
            <v>40136</v>
          </cell>
          <cell r="K798">
            <v>3.21</v>
          </cell>
          <cell r="M798">
            <v>40129</v>
          </cell>
          <cell r="N798">
            <v>4.5999999999999996</v>
          </cell>
          <cell r="P798">
            <v>40136</v>
          </cell>
          <cell r="Q798">
            <v>58.84</v>
          </cell>
        </row>
        <row r="799">
          <cell r="D799">
            <v>40135</v>
          </cell>
          <cell r="E799">
            <v>9.07</v>
          </cell>
          <cell r="G799">
            <v>40135</v>
          </cell>
          <cell r="H799">
            <v>8.99</v>
          </cell>
          <cell r="J799">
            <v>40135</v>
          </cell>
          <cell r="K799">
            <v>3.18</v>
          </cell>
          <cell r="M799">
            <v>40128</v>
          </cell>
          <cell r="N799">
            <v>4.75</v>
          </cell>
          <cell r="P799">
            <v>40135</v>
          </cell>
          <cell r="Q799">
            <v>59.85</v>
          </cell>
        </row>
        <row r="800">
          <cell r="D800">
            <v>40134</v>
          </cell>
          <cell r="E800">
            <v>9.2100000000000009</v>
          </cell>
          <cell r="G800">
            <v>40134</v>
          </cell>
          <cell r="H800">
            <v>9.0299999999999994</v>
          </cell>
          <cell r="J800">
            <v>40134</v>
          </cell>
          <cell r="K800">
            <v>3.15</v>
          </cell>
          <cell r="M800">
            <v>40127</v>
          </cell>
          <cell r="N800">
            <v>4.6500000000000004</v>
          </cell>
          <cell r="P800">
            <v>40134</v>
          </cell>
          <cell r="Q800">
            <v>61.4</v>
          </cell>
        </row>
        <row r="801">
          <cell r="D801">
            <v>40133</v>
          </cell>
          <cell r="E801">
            <v>9.4700000000000006</v>
          </cell>
          <cell r="G801">
            <v>40133</v>
          </cell>
          <cell r="H801">
            <v>9.18</v>
          </cell>
          <cell r="J801">
            <v>40133</v>
          </cell>
          <cell r="K801">
            <v>3.2</v>
          </cell>
          <cell r="M801">
            <v>40126</v>
          </cell>
          <cell r="N801">
            <v>4.5199999999999996</v>
          </cell>
          <cell r="P801">
            <v>40133</v>
          </cell>
          <cell r="Q801">
            <v>61.27</v>
          </cell>
        </row>
        <row r="802">
          <cell r="D802">
            <v>40130</v>
          </cell>
          <cell r="E802">
            <v>9.24</v>
          </cell>
          <cell r="G802">
            <v>40130</v>
          </cell>
          <cell r="H802">
            <v>8.8699999999999992</v>
          </cell>
          <cell r="J802">
            <v>40130</v>
          </cell>
          <cell r="K802">
            <v>3.17</v>
          </cell>
          <cell r="M802">
            <v>40123</v>
          </cell>
          <cell r="N802">
            <v>4.6500000000000004</v>
          </cell>
          <cell r="P802">
            <v>40130</v>
          </cell>
          <cell r="Q802">
            <v>62.69</v>
          </cell>
        </row>
        <row r="803">
          <cell r="D803">
            <v>40129</v>
          </cell>
          <cell r="E803">
            <v>9.2899999999999991</v>
          </cell>
          <cell r="G803">
            <v>40129</v>
          </cell>
          <cell r="H803">
            <v>9.0299999999999994</v>
          </cell>
          <cell r="J803">
            <v>40129</v>
          </cell>
          <cell r="K803">
            <v>3.2</v>
          </cell>
          <cell r="M803">
            <v>40122</v>
          </cell>
          <cell r="N803">
            <v>4.55</v>
          </cell>
          <cell r="P803">
            <v>40129</v>
          </cell>
          <cell r="Q803">
            <v>62.987000000000002</v>
          </cell>
        </row>
        <row r="804">
          <cell r="D804">
            <v>40128</v>
          </cell>
          <cell r="E804">
            <v>9.6999999999999993</v>
          </cell>
          <cell r="G804">
            <v>40128</v>
          </cell>
          <cell r="H804">
            <v>9.1199999999999992</v>
          </cell>
          <cell r="J804">
            <v>40128</v>
          </cell>
          <cell r="K804">
            <v>3.19</v>
          </cell>
          <cell r="M804">
            <v>40121</v>
          </cell>
          <cell r="N804">
            <v>4.5</v>
          </cell>
          <cell r="P804">
            <v>40128</v>
          </cell>
          <cell r="Q804">
            <v>64.72</v>
          </cell>
        </row>
        <row r="805">
          <cell r="D805">
            <v>40127</v>
          </cell>
          <cell r="E805">
            <v>9.66</v>
          </cell>
          <cell r="G805">
            <v>40127</v>
          </cell>
          <cell r="H805">
            <v>9.24</v>
          </cell>
          <cell r="J805">
            <v>40127</v>
          </cell>
          <cell r="K805">
            <v>3.17</v>
          </cell>
          <cell r="M805">
            <v>40120</v>
          </cell>
          <cell r="N805">
            <v>4.79</v>
          </cell>
          <cell r="P805">
            <v>40127</v>
          </cell>
          <cell r="Q805">
            <v>63.67</v>
          </cell>
        </row>
        <row r="806">
          <cell r="D806">
            <v>40126</v>
          </cell>
          <cell r="E806">
            <v>9.68</v>
          </cell>
          <cell r="G806">
            <v>40126</v>
          </cell>
          <cell r="H806">
            <v>9.3699999999999992</v>
          </cell>
          <cell r="J806">
            <v>40126</v>
          </cell>
          <cell r="K806">
            <v>3.21</v>
          </cell>
          <cell r="M806">
            <v>40119</v>
          </cell>
          <cell r="N806">
            <v>4.7699999999999996</v>
          </cell>
          <cell r="P806">
            <v>40126</v>
          </cell>
          <cell r="Q806">
            <v>61.56</v>
          </cell>
        </row>
        <row r="807">
          <cell r="D807">
            <v>40123</v>
          </cell>
          <cell r="E807">
            <v>9.2899999999999991</v>
          </cell>
          <cell r="G807">
            <v>40123</v>
          </cell>
          <cell r="H807">
            <v>9.2899999999999991</v>
          </cell>
          <cell r="J807">
            <v>40123</v>
          </cell>
          <cell r="K807">
            <v>3.33</v>
          </cell>
          <cell r="M807">
            <v>40116</v>
          </cell>
          <cell r="N807">
            <v>4.7850000000000001</v>
          </cell>
          <cell r="P807">
            <v>40123</v>
          </cell>
          <cell r="Q807">
            <v>58.72</v>
          </cell>
        </row>
        <row r="808">
          <cell r="D808">
            <v>40122</v>
          </cell>
          <cell r="E808">
            <v>9.1</v>
          </cell>
          <cell r="G808">
            <v>40122</v>
          </cell>
          <cell r="H808">
            <v>9.3000000000000007</v>
          </cell>
          <cell r="J808">
            <v>40122</v>
          </cell>
          <cell r="K808">
            <v>3.36</v>
          </cell>
          <cell r="M808">
            <v>40115</v>
          </cell>
          <cell r="N808">
            <v>4.66</v>
          </cell>
          <cell r="P808">
            <v>40122</v>
          </cell>
          <cell r="Q808">
            <v>57.79</v>
          </cell>
        </row>
        <row r="809">
          <cell r="D809">
            <v>40121</v>
          </cell>
          <cell r="E809">
            <v>8.83</v>
          </cell>
          <cell r="G809">
            <v>40121</v>
          </cell>
          <cell r="H809">
            <v>9.11</v>
          </cell>
          <cell r="J809">
            <v>40121</v>
          </cell>
          <cell r="K809">
            <v>3.44</v>
          </cell>
          <cell r="M809">
            <v>40114</v>
          </cell>
          <cell r="N809">
            <v>4.34</v>
          </cell>
          <cell r="P809">
            <v>40121</v>
          </cell>
          <cell r="Q809">
            <v>57.61</v>
          </cell>
        </row>
        <row r="810">
          <cell r="D810">
            <v>40120</v>
          </cell>
          <cell r="E810">
            <v>8.67</v>
          </cell>
          <cell r="G810">
            <v>40120</v>
          </cell>
          <cell r="H810">
            <v>9.14</v>
          </cell>
          <cell r="J810">
            <v>40120</v>
          </cell>
          <cell r="K810">
            <v>3.63</v>
          </cell>
          <cell r="M810">
            <v>40113</v>
          </cell>
          <cell r="N810">
            <v>4.9240000000000004</v>
          </cell>
          <cell r="P810">
            <v>40120</v>
          </cell>
          <cell r="Q810">
            <v>59.61</v>
          </cell>
        </row>
        <row r="811">
          <cell r="D811">
            <v>40119</v>
          </cell>
          <cell r="E811">
            <v>8.42</v>
          </cell>
          <cell r="G811">
            <v>40119</v>
          </cell>
          <cell r="H811">
            <v>8.83</v>
          </cell>
          <cell r="J811">
            <v>40119</v>
          </cell>
          <cell r="K811">
            <v>3.61</v>
          </cell>
          <cell r="M811">
            <v>40112</v>
          </cell>
          <cell r="N811">
            <v>4.9800000000000004</v>
          </cell>
          <cell r="P811">
            <v>40119</v>
          </cell>
          <cell r="Q811">
            <v>55.74</v>
          </cell>
        </row>
        <row r="812">
          <cell r="D812">
            <v>40116</v>
          </cell>
          <cell r="E812">
            <v>9.01</v>
          </cell>
          <cell r="G812">
            <v>40116</v>
          </cell>
          <cell r="H812">
            <v>8.92</v>
          </cell>
          <cell r="J812">
            <v>40116</v>
          </cell>
          <cell r="K812">
            <v>3.65</v>
          </cell>
          <cell r="M812">
            <v>40109</v>
          </cell>
          <cell r="N812">
            <v>4.8000999999999996</v>
          </cell>
          <cell r="P812">
            <v>40116</v>
          </cell>
          <cell r="Q812">
            <v>58.73</v>
          </cell>
        </row>
        <row r="813">
          <cell r="D813">
            <v>40115</v>
          </cell>
          <cell r="E813">
            <v>9.76</v>
          </cell>
          <cell r="G813">
            <v>40115</v>
          </cell>
          <cell r="H813">
            <v>12.19</v>
          </cell>
          <cell r="J813">
            <v>40115</v>
          </cell>
          <cell r="K813">
            <v>3.65</v>
          </cell>
          <cell r="M813">
            <v>40107</v>
          </cell>
          <cell r="N813">
            <v>4.99</v>
          </cell>
          <cell r="P813">
            <v>40115</v>
          </cell>
          <cell r="Q813">
            <v>61.36</v>
          </cell>
        </row>
        <row r="814">
          <cell r="D814">
            <v>40114</v>
          </cell>
          <cell r="E814">
            <v>9.25</v>
          </cell>
          <cell r="G814">
            <v>40114</v>
          </cell>
          <cell r="H814">
            <v>11.97</v>
          </cell>
          <cell r="J814">
            <v>40114</v>
          </cell>
          <cell r="K814">
            <v>3.61</v>
          </cell>
          <cell r="M814">
            <v>40106</v>
          </cell>
          <cell r="N814">
            <v>5</v>
          </cell>
          <cell r="P814">
            <v>40114</v>
          </cell>
          <cell r="Q814">
            <v>60.78</v>
          </cell>
        </row>
        <row r="815">
          <cell r="D815">
            <v>40113</v>
          </cell>
          <cell r="E815">
            <v>9.3000000000000007</v>
          </cell>
          <cell r="G815">
            <v>40113</v>
          </cell>
          <cell r="H815">
            <v>12.12</v>
          </cell>
          <cell r="J815">
            <v>40113</v>
          </cell>
          <cell r="K815">
            <v>3.65</v>
          </cell>
          <cell r="M815">
            <v>40105</v>
          </cell>
          <cell r="N815">
            <v>4.9000000000000004</v>
          </cell>
          <cell r="P815">
            <v>40113</v>
          </cell>
          <cell r="Q815">
            <v>63.75</v>
          </cell>
        </row>
        <row r="816">
          <cell r="D816">
            <v>40112</v>
          </cell>
          <cell r="E816">
            <v>9.26</v>
          </cell>
          <cell r="G816">
            <v>40112</v>
          </cell>
          <cell r="H816">
            <v>12.36</v>
          </cell>
          <cell r="J816">
            <v>40112</v>
          </cell>
          <cell r="K816">
            <v>3.74</v>
          </cell>
          <cell r="M816">
            <v>40102</v>
          </cell>
          <cell r="N816">
            <v>5</v>
          </cell>
          <cell r="P816">
            <v>40112</v>
          </cell>
          <cell r="Q816">
            <v>65.680000000000007</v>
          </cell>
        </row>
        <row r="817">
          <cell r="D817">
            <v>40109</v>
          </cell>
          <cell r="E817">
            <v>9.61</v>
          </cell>
          <cell r="G817">
            <v>40109</v>
          </cell>
          <cell r="H817">
            <v>11.09</v>
          </cell>
          <cell r="J817">
            <v>40109</v>
          </cell>
          <cell r="K817">
            <v>3.75</v>
          </cell>
          <cell r="M817">
            <v>40101</v>
          </cell>
          <cell r="N817">
            <v>4.95</v>
          </cell>
          <cell r="P817">
            <v>40109</v>
          </cell>
          <cell r="Q817">
            <v>65.77</v>
          </cell>
        </row>
        <row r="818">
          <cell r="D818">
            <v>40108</v>
          </cell>
          <cell r="E818">
            <v>10.06</v>
          </cell>
          <cell r="G818">
            <v>40108</v>
          </cell>
          <cell r="H818">
            <v>11.54</v>
          </cell>
          <cell r="J818">
            <v>40108</v>
          </cell>
          <cell r="K818">
            <v>3.95</v>
          </cell>
          <cell r="M818">
            <v>40100</v>
          </cell>
          <cell r="N818">
            <v>4.8</v>
          </cell>
          <cell r="P818">
            <v>40108</v>
          </cell>
          <cell r="Q818">
            <v>67.5</v>
          </cell>
        </row>
        <row r="819">
          <cell r="D819">
            <v>40107</v>
          </cell>
          <cell r="E819">
            <v>10.36</v>
          </cell>
          <cell r="G819">
            <v>40107</v>
          </cell>
          <cell r="H819">
            <v>11.87</v>
          </cell>
          <cell r="J819">
            <v>40107</v>
          </cell>
          <cell r="K819">
            <v>3.8450000000000002</v>
          </cell>
          <cell r="M819">
            <v>40098</v>
          </cell>
          <cell r="N819">
            <v>4.8</v>
          </cell>
          <cell r="P819">
            <v>40107</v>
          </cell>
          <cell r="Q819">
            <v>65.75</v>
          </cell>
        </row>
        <row r="820">
          <cell r="D820">
            <v>40106</v>
          </cell>
          <cell r="E820">
            <v>10.41</v>
          </cell>
          <cell r="G820">
            <v>40106</v>
          </cell>
          <cell r="H820">
            <v>11.83</v>
          </cell>
          <cell r="J820">
            <v>40106</v>
          </cell>
          <cell r="K820">
            <v>3.92</v>
          </cell>
          <cell r="M820">
            <v>40095</v>
          </cell>
          <cell r="N820">
            <v>4.95</v>
          </cell>
          <cell r="P820">
            <v>40106</v>
          </cell>
          <cell r="Q820">
            <v>66.599999999999994</v>
          </cell>
        </row>
        <row r="821">
          <cell r="D821">
            <v>40105</v>
          </cell>
          <cell r="E821">
            <v>10.44</v>
          </cell>
          <cell r="G821">
            <v>40105</v>
          </cell>
          <cell r="H821">
            <v>12.02</v>
          </cell>
          <cell r="J821">
            <v>40105</v>
          </cell>
          <cell r="K821">
            <v>3.84</v>
          </cell>
          <cell r="M821">
            <v>40094</v>
          </cell>
          <cell r="N821">
            <v>4.7699999999999996</v>
          </cell>
          <cell r="P821">
            <v>40105</v>
          </cell>
          <cell r="Q821">
            <v>67.436000000000007</v>
          </cell>
        </row>
        <row r="822">
          <cell r="D822">
            <v>40102</v>
          </cell>
          <cell r="E822">
            <v>10.130000000000001</v>
          </cell>
          <cell r="G822">
            <v>40102</v>
          </cell>
          <cell r="H822">
            <v>11.82</v>
          </cell>
          <cell r="J822">
            <v>40102</v>
          </cell>
          <cell r="K822">
            <v>3.92</v>
          </cell>
          <cell r="M822">
            <v>40093</v>
          </cell>
          <cell r="N822">
            <v>5</v>
          </cell>
          <cell r="P822">
            <v>40102</v>
          </cell>
          <cell r="Q822">
            <v>66.91</v>
          </cell>
        </row>
        <row r="823">
          <cell r="D823">
            <v>40101</v>
          </cell>
          <cell r="E823">
            <v>10.199999999999999</v>
          </cell>
          <cell r="G823">
            <v>40101</v>
          </cell>
          <cell r="H823">
            <v>12.11</v>
          </cell>
          <cell r="J823">
            <v>40101</v>
          </cell>
          <cell r="K823">
            <v>3.8</v>
          </cell>
          <cell r="M823">
            <v>40092</v>
          </cell>
          <cell r="N823">
            <v>4.9800000000000004</v>
          </cell>
          <cell r="P823">
            <v>40101</v>
          </cell>
          <cell r="Q823">
            <v>68.34</v>
          </cell>
        </row>
        <row r="824">
          <cell r="D824">
            <v>40100</v>
          </cell>
          <cell r="E824">
            <v>10.29</v>
          </cell>
          <cell r="G824">
            <v>40100</v>
          </cell>
          <cell r="H824">
            <v>12.24</v>
          </cell>
          <cell r="J824">
            <v>40100</v>
          </cell>
          <cell r="K824">
            <v>4.17</v>
          </cell>
          <cell r="M824">
            <v>40091</v>
          </cell>
          <cell r="N824">
            <v>4.9000000000000004</v>
          </cell>
          <cell r="P824">
            <v>40100</v>
          </cell>
          <cell r="Q824">
            <v>69.2</v>
          </cell>
        </row>
        <row r="825">
          <cell r="D825">
            <v>40099</v>
          </cell>
          <cell r="E825">
            <v>10.09</v>
          </cell>
          <cell r="G825">
            <v>40099</v>
          </cell>
          <cell r="H825">
            <v>12.18</v>
          </cell>
          <cell r="J825">
            <v>40099</v>
          </cell>
          <cell r="K825">
            <v>3.77</v>
          </cell>
          <cell r="M825">
            <v>40088</v>
          </cell>
          <cell r="N825">
            <v>5</v>
          </cell>
          <cell r="P825">
            <v>40099</v>
          </cell>
          <cell r="Q825">
            <v>68.42</v>
          </cell>
        </row>
        <row r="826">
          <cell r="D826">
            <v>40098</v>
          </cell>
          <cell r="E826">
            <v>10.28</v>
          </cell>
          <cell r="G826">
            <v>40098</v>
          </cell>
          <cell r="H826">
            <v>12.31</v>
          </cell>
          <cell r="J826">
            <v>40095</v>
          </cell>
          <cell r="K826">
            <v>3.79</v>
          </cell>
          <cell r="M826">
            <v>40087</v>
          </cell>
          <cell r="N826">
            <v>4.8</v>
          </cell>
          <cell r="P826">
            <v>40098</v>
          </cell>
          <cell r="Q826">
            <v>68</v>
          </cell>
        </row>
        <row r="827">
          <cell r="D827">
            <v>40095</v>
          </cell>
          <cell r="E827">
            <v>10.385</v>
          </cell>
          <cell r="G827">
            <v>40095</v>
          </cell>
          <cell r="H827">
            <v>11.37</v>
          </cell>
          <cell r="J827">
            <v>40094</v>
          </cell>
          <cell r="K827">
            <v>3.79</v>
          </cell>
          <cell r="M827">
            <v>40086</v>
          </cell>
          <cell r="N827">
            <v>4.6100000000000003</v>
          </cell>
          <cell r="P827">
            <v>40095</v>
          </cell>
          <cell r="Q827">
            <v>68.5</v>
          </cell>
        </row>
        <row r="828">
          <cell r="D828">
            <v>40094</v>
          </cell>
          <cell r="E828">
            <v>9.8800000000000008</v>
          </cell>
          <cell r="G828">
            <v>40094</v>
          </cell>
          <cell r="H828">
            <v>11.53</v>
          </cell>
          <cell r="J828">
            <v>40093</v>
          </cell>
          <cell r="K828">
            <v>3.84</v>
          </cell>
          <cell r="M828">
            <v>40085</v>
          </cell>
          <cell r="N828">
            <v>4.8</v>
          </cell>
          <cell r="P828">
            <v>40094</v>
          </cell>
          <cell r="Q828">
            <v>68.66</v>
          </cell>
        </row>
        <row r="829">
          <cell r="D829">
            <v>40093</v>
          </cell>
          <cell r="E829">
            <v>10.08</v>
          </cell>
          <cell r="G829">
            <v>40093</v>
          </cell>
          <cell r="H829">
            <v>11.62</v>
          </cell>
          <cell r="J829">
            <v>40092</v>
          </cell>
          <cell r="K829">
            <v>3.89</v>
          </cell>
          <cell r="M829">
            <v>40084</v>
          </cell>
          <cell r="N829">
            <v>4.8</v>
          </cell>
          <cell r="P829">
            <v>40093</v>
          </cell>
          <cell r="Q829">
            <v>67.319999999999993</v>
          </cell>
        </row>
        <row r="830">
          <cell r="D830">
            <v>40092</v>
          </cell>
          <cell r="E830">
            <v>9.86</v>
          </cell>
          <cell r="G830">
            <v>40092</v>
          </cell>
          <cell r="H830">
            <v>11.34</v>
          </cell>
          <cell r="J830">
            <v>40091</v>
          </cell>
          <cell r="K830">
            <v>3.82</v>
          </cell>
          <cell r="M830">
            <v>40081</v>
          </cell>
          <cell r="N830">
            <v>4.78</v>
          </cell>
          <cell r="P830">
            <v>40092</v>
          </cell>
          <cell r="Q830">
            <v>66.430000000000007</v>
          </cell>
        </row>
        <row r="831">
          <cell r="D831">
            <v>40091</v>
          </cell>
          <cell r="E831">
            <v>9.44</v>
          </cell>
          <cell r="G831">
            <v>40091</v>
          </cell>
          <cell r="H831">
            <v>11.19</v>
          </cell>
          <cell r="J831">
            <v>40088</v>
          </cell>
          <cell r="K831">
            <v>3.63</v>
          </cell>
          <cell r="M831">
            <v>40080</v>
          </cell>
          <cell r="N831">
            <v>4.8</v>
          </cell>
          <cell r="P831">
            <v>40091</v>
          </cell>
          <cell r="Q831">
            <v>65.421999999999997</v>
          </cell>
        </row>
        <row r="832">
          <cell r="D832">
            <v>40088</v>
          </cell>
          <cell r="E832">
            <v>9.1300000000000008</v>
          </cell>
          <cell r="G832">
            <v>40088</v>
          </cell>
          <cell r="H832">
            <v>10.68</v>
          </cell>
          <cell r="J832">
            <v>40087</v>
          </cell>
          <cell r="K832">
            <v>3.79</v>
          </cell>
          <cell r="M832">
            <v>40079</v>
          </cell>
          <cell r="N832">
            <v>5</v>
          </cell>
          <cell r="P832">
            <v>40088</v>
          </cell>
          <cell r="Q832">
            <v>65.42</v>
          </cell>
        </row>
        <row r="833">
          <cell r="D833">
            <v>40087</v>
          </cell>
          <cell r="E833">
            <v>9.3699999999999992</v>
          </cell>
          <cell r="G833">
            <v>40087</v>
          </cell>
          <cell r="H833">
            <v>10.68</v>
          </cell>
          <cell r="J833">
            <v>40086</v>
          </cell>
          <cell r="K833">
            <v>3.96</v>
          </cell>
          <cell r="M833">
            <v>40078</v>
          </cell>
          <cell r="N833">
            <v>4.8</v>
          </cell>
          <cell r="P833">
            <v>40087</v>
          </cell>
          <cell r="Q833">
            <v>67.1601</v>
          </cell>
        </row>
        <row r="834">
          <cell r="D834">
            <v>40086</v>
          </cell>
          <cell r="E834">
            <v>9.98</v>
          </cell>
          <cell r="G834">
            <v>40086</v>
          </cell>
          <cell r="H834">
            <v>11.36</v>
          </cell>
          <cell r="J834">
            <v>40085</v>
          </cell>
          <cell r="K834">
            <v>3.726</v>
          </cell>
          <cell r="M834">
            <v>40077</v>
          </cell>
          <cell r="N834">
            <v>4.8</v>
          </cell>
          <cell r="P834">
            <v>40086</v>
          </cell>
          <cell r="Q834">
            <v>67.629900000000006</v>
          </cell>
        </row>
        <row r="835">
          <cell r="D835">
            <v>40085</v>
          </cell>
          <cell r="E835">
            <v>9.9600000000000009</v>
          </cell>
          <cell r="G835">
            <v>40085</v>
          </cell>
          <cell r="H835">
            <v>11.24</v>
          </cell>
          <cell r="J835">
            <v>40084</v>
          </cell>
          <cell r="K835">
            <v>3.77</v>
          </cell>
          <cell r="M835">
            <v>40074</v>
          </cell>
          <cell r="N835">
            <v>4.9400000000000004</v>
          </cell>
          <cell r="P835">
            <v>40085</v>
          </cell>
          <cell r="Q835">
            <v>67.64</v>
          </cell>
        </row>
        <row r="836">
          <cell r="D836">
            <v>40084</v>
          </cell>
          <cell r="E836">
            <v>9.8000000000000007</v>
          </cell>
          <cell r="G836">
            <v>40084</v>
          </cell>
          <cell r="H836">
            <v>11.47</v>
          </cell>
          <cell r="J836">
            <v>40081</v>
          </cell>
          <cell r="K836">
            <v>3.94</v>
          </cell>
          <cell r="M836">
            <v>40073</v>
          </cell>
          <cell r="N836">
            <v>4.92</v>
          </cell>
          <cell r="P836">
            <v>40084</v>
          </cell>
          <cell r="Q836">
            <v>66.44</v>
          </cell>
        </row>
        <row r="837">
          <cell r="D837">
            <v>40081</v>
          </cell>
          <cell r="E837">
            <v>9.3000000000000007</v>
          </cell>
          <cell r="G837">
            <v>40081</v>
          </cell>
          <cell r="H837">
            <v>10.92</v>
          </cell>
          <cell r="J837">
            <v>40080</v>
          </cell>
          <cell r="K837">
            <v>3.74</v>
          </cell>
          <cell r="M837">
            <v>40072</v>
          </cell>
          <cell r="N837">
            <v>4.7</v>
          </cell>
          <cell r="P837">
            <v>40081</v>
          </cell>
          <cell r="Q837">
            <v>68.91</v>
          </cell>
        </row>
        <row r="838">
          <cell r="D838">
            <v>40080</v>
          </cell>
          <cell r="E838">
            <v>10.029999999999999</v>
          </cell>
          <cell r="G838">
            <v>40080</v>
          </cell>
          <cell r="H838">
            <v>11.11</v>
          </cell>
          <cell r="J838">
            <v>40079</v>
          </cell>
          <cell r="K838">
            <v>3.74</v>
          </cell>
          <cell r="M838">
            <v>40071</v>
          </cell>
          <cell r="N838">
            <v>4.8</v>
          </cell>
          <cell r="P838">
            <v>40080</v>
          </cell>
          <cell r="Q838">
            <v>83.06</v>
          </cell>
        </row>
        <row r="839">
          <cell r="D839">
            <v>40079</v>
          </cell>
          <cell r="E839">
            <v>10.68</v>
          </cell>
          <cell r="G839">
            <v>40079</v>
          </cell>
          <cell r="H839">
            <v>11.4</v>
          </cell>
          <cell r="J839">
            <v>40078</v>
          </cell>
          <cell r="K839">
            <v>3.74</v>
          </cell>
          <cell r="M839">
            <v>40070</v>
          </cell>
          <cell r="N839">
            <v>4.9000000000000004</v>
          </cell>
          <cell r="P839">
            <v>40079</v>
          </cell>
          <cell r="Q839">
            <v>85.77</v>
          </cell>
        </row>
        <row r="840">
          <cell r="D840">
            <v>40078</v>
          </cell>
          <cell r="E840">
            <v>10.83</v>
          </cell>
          <cell r="G840">
            <v>40078</v>
          </cell>
          <cell r="H840">
            <v>11.26</v>
          </cell>
          <cell r="J840">
            <v>40077</v>
          </cell>
          <cell r="K840">
            <v>3.6425999999999998</v>
          </cell>
          <cell r="M840">
            <v>40067</v>
          </cell>
          <cell r="N840">
            <v>4.8906000000000001</v>
          </cell>
          <cell r="P840">
            <v>40078</v>
          </cell>
          <cell r="Q840">
            <v>84.86</v>
          </cell>
        </row>
        <row r="841">
          <cell r="D841">
            <v>40077</v>
          </cell>
          <cell r="E841">
            <v>10.68</v>
          </cell>
          <cell r="G841">
            <v>40077</v>
          </cell>
          <cell r="H841">
            <v>11.98</v>
          </cell>
          <cell r="J841">
            <v>40074</v>
          </cell>
          <cell r="K841">
            <v>3.6</v>
          </cell>
          <cell r="M841">
            <v>40066</v>
          </cell>
          <cell r="N841">
            <v>4.95</v>
          </cell>
          <cell r="P841">
            <v>40077</v>
          </cell>
          <cell r="Q841">
            <v>84.16</v>
          </cell>
        </row>
        <row r="842">
          <cell r="D842">
            <v>40074</v>
          </cell>
          <cell r="E842">
            <v>10.5</v>
          </cell>
          <cell r="G842">
            <v>40074</v>
          </cell>
          <cell r="H842">
            <v>11.94</v>
          </cell>
          <cell r="J842">
            <v>40073</v>
          </cell>
          <cell r="K842">
            <v>3.84</v>
          </cell>
          <cell r="M842">
            <v>40065</v>
          </cell>
          <cell r="N842">
            <v>4.9000000000000004</v>
          </cell>
          <cell r="P842">
            <v>40074</v>
          </cell>
          <cell r="Q842">
            <v>83.617999999999995</v>
          </cell>
        </row>
        <row r="843">
          <cell r="D843">
            <v>40073</v>
          </cell>
          <cell r="E843">
            <v>10.220000000000001</v>
          </cell>
          <cell r="G843">
            <v>40073</v>
          </cell>
          <cell r="H843">
            <v>13.04</v>
          </cell>
          <cell r="J843">
            <v>40072</v>
          </cell>
          <cell r="K843">
            <v>3.7250000000000001</v>
          </cell>
          <cell r="M843">
            <v>40064</v>
          </cell>
          <cell r="N843">
            <v>4.72</v>
          </cell>
          <cell r="P843">
            <v>40073</v>
          </cell>
          <cell r="Q843">
            <v>82.7</v>
          </cell>
        </row>
        <row r="844">
          <cell r="D844">
            <v>40072</v>
          </cell>
          <cell r="E844">
            <v>10.16</v>
          </cell>
          <cell r="G844">
            <v>40072</v>
          </cell>
          <cell r="H844">
            <v>13.19</v>
          </cell>
          <cell r="J844">
            <v>40071</v>
          </cell>
          <cell r="K844">
            <v>3.74</v>
          </cell>
          <cell r="M844">
            <v>40059</v>
          </cell>
          <cell r="N844">
            <v>4.9398999999999997</v>
          </cell>
          <cell r="P844">
            <v>40072</v>
          </cell>
          <cell r="Q844">
            <v>84.16</v>
          </cell>
        </row>
        <row r="845">
          <cell r="D845">
            <v>40071</v>
          </cell>
          <cell r="E845">
            <v>9.81</v>
          </cell>
          <cell r="G845">
            <v>40071</v>
          </cell>
          <cell r="H845">
            <v>12.87</v>
          </cell>
          <cell r="J845">
            <v>40070</v>
          </cell>
          <cell r="K845">
            <v>3.62</v>
          </cell>
          <cell r="M845">
            <v>40058</v>
          </cell>
          <cell r="N845">
            <v>5</v>
          </cell>
          <cell r="P845">
            <v>40071</v>
          </cell>
          <cell r="Q845">
            <v>83.14</v>
          </cell>
        </row>
        <row r="846">
          <cell r="D846">
            <v>40070</v>
          </cell>
          <cell r="E846">
            <v>9.56</v>
          </cell>
          <cell r="G846">
            <v>40070</v>
          </cell>
          <cell r="H846">
            <v>12.61</v>
          </cell>
          <cell r="J846">
            <v>40067</v>
          </cell>
          <cell r="K846">
            <v>3.73</v>
          </cell>
          <cell r="M846">
            <v>40057</v>
          </cell>
          <cell r="N846">
            <v>4.9000000000000004</v>
          </cell>
          <cell r="P846">
            <v>40070</v>
          </cell>
          <cell r="Q846">
            <v>81.41</v>
          </cell>
        </row>
        <row r="847">
          <cell r="D847">
            <v>40067</v>
          </cell>
          <cell r="E847">
            <v>9.5299999999999994</v>
          </cell>
          <cell r="G847">
            <v>40067</v>
          </cell>
          <cell r="H847">
            <v>12.77</v>
          </cell>
          <cell r="J847">
            <v>40066</v>
          </cell>
          <cell r="K847">
            <v>3.73</v>
          </cell>
          <cell r="M847">
            <v>40056</v>
          </cell>
          <cell r="N847">
            <v>5.0999999999999996</v>
          </cell>
          <cell r="P847">
            <v>40067</v>
          </cell>
          <cell r="Q847">
            <v>79.37</v>
          </cell>
        </row>
        <row r="848">
          <cell r="D848">
            <v>40066</v>
          </cell>
          <cell r="E848">
            <v>9.52</v>
          </cell>
          <cell r="G848">
            <v>40066</v>
          </cell>
          <cell r="H848">
            <v>12.86</v>
          </cell>
          <cell r="J848">
            <v>40065</v>
          </cell>
          <cell r="K848">
            <v>3.7</v>
          </cell>
          <cell r="M848">
            <v>40053</v>
          </cell>
          <cell r="N848">
            <v>4.9000000000000004</v>
          </cell>
          <cell r="P848">
            <v>40066</v>
          </cell>
          <cell r="Q848">
            <v>78.95</v>
          </cell>
        </row>
        <row r="849">
          <cell r="D849">
            <v>40065</v>
          </cell>
          <cell r="E849">
            <v>9.14</v>
          </cell>
          <cell r="G849">
            <v>40065</v>
          </cell>
          <cell r="H849">
            <v>11.92</v>
          </cell>
          <cell r="J849">
            <v>40064</v>
          </cell>
          <cell r="K849">
            <v>3.35</v>
          </cell>
          <cell r="M849">
            <v>40052</v>
          </cell>
          <cell r="N849">
            <v>5.0999999999999996</v>
          </cell>
          <cell r="P849">
            <v>40065</v>
          </cell>
          <cell r="Q849">
            <v>78.22</v>
          </cell>
        </row>
        <row r="850">
          <cell r="D850">
            <v>40064</v>
          </cell>
          <cell r="E850">
            <v>9.1</v>
          </cell>
          <cell r="G850">
            <v>40064</v>
          </cell>
          <cell r="H850">
            <v>11.09</v>
          </cell>
          <cell r="J850">
            <v>40060</v>
          </cell>
          <cell r="K850">
            <v>3.44</v>
          </cell>
          <cell r="M850">
            <v>40050</v>
          </cell>
          <cell r="N850">
            <v>4.9050000000000002</v>
          </cell>
          <cell r="P850">
            <v>40064</v>
          </cell>
          <cell r="Q850">
            <v>79.28</v>
          </cell>
        </row>
        <row r="851">
          <cell r="D851">
            <v>40060</v>
          </cell>
          <cell r="E851">
            <v>8.92</v>
          </cell>
          <cell r="G851">
            <v>40060</v>
          </cell>
          <cell r="H851">
            <v>11.11</v>
          </cell>
          <cell r="J851">
            <v>40059</v>
          </cell>
          <cell r="K851">
            <v>3.45</v>
          </cell>
          <cell r="M851">
            <v>40046</v>
          </cell>
          <cell r="N851">
            <v>5</v>
          </cell>
          <cell r="P851">
            <v>40060</v>
          </cell>
          <cell r="Q851">
            <v>77.55</v>
          </cell>
        </row>
        <row r="852">
          <cell r="D852">
            <v>40059</v>
          </cell>
          <cell r="E852">
            <v>8.56</v>
          </cell>
          <cell r="G852">
            <v>40059</v>
          </cell>
          <cell r="H852">
            <v>9.48</v>
          </cell>
          <cell r="J852">
            <v>40058</v>
          </cell>
          <cell r="K852">
            <v>3.3700999999999999</v>
          </cell>
          <cell r="M852">
            <v>40045</v>
          </cell>
          <cell r="N852">
            <v>4.84</v>
          </cell>
          <cell r="P852">
            <v>40059</v>
          </cell>
          <cell r="Q852">
            <v>75.98</v>
          </cell>
        </row>
        <row r="853">
          <cell r="D853">
            <v>40058</v>
          </cell>
          <cell r="E853">
            <v>8.23</v>
          </cell>
          <cell r="G853">
            <v>40058</v>
          </cell>
          <cell r="H853">
            <v>9.27</v>
          </cell>
          <cell r="J853">
            <v>40057</v>
          </cell>
          <cell r="K853">
            <v>3.4</v>
          </cell>
          <cell r="M853">
            <v>40044</v>
          </cell>
          <cell r="N853">
            <v>4.9509999999999996</v>
          </cell>
          <cell r="P853">
            <v>40058</v>
          </cell>
          <cell r="Q853">
            <v>73.91</v>
          </cell>
        </row>
        <row r="854">
          <cell r="D854">
            <v>40057</v>
          </cell>
          <cell r="E854">
            <v>8.18</v>
          </cell>
          <cell r="G854">
            <v>40057</v>
          </cell>
          <cell r="H854">
            <v>9.32</v>
          </cell>
          <cell r="J854">
            <v>40056</v>
          </cell>
          <cell r="K854">
            <v>3.3239999999999998</v>
          </cell>
          <cell r="M854">
            <v>40043</v>
          </cell>
          <cell r="N854">
            <v>4.8099999999999996</v>
          </cell>
          <cell r="P854">
            <v>40057</v>
          </cell>
          <cell r="Q854">
            <v>73.540000000000006</v>
          </cell>
        </row>
        <row r="855">
          <cell r="D855">
            <v>40056</v>
          </cell>
          <cell r="E855">
            <v>8.27</v>
          </cell>
          <cell r="G855">
            <v>40056</v>
          </cell>
          <cell r="H855">
            <v>9.65</v>
          </cell>
          <cell r="J855">
            <v>40053</v>
          </cell>
          <cell r="K855">
            <v>3.36</v>
          </cell>
          <cell r="M855">
            <v>40042</v>
          </cell>
          <cell r="N855">
            <v>4.91</v>
          </cell>
          <cell r="P855">
            <v>40056</v>
          </cell>
          <cell r="Q855">
            <v>73.06</v>
          </cell>
        </row>
        <row r="856">
          <cell r="D856">
            <v>40053</v>
          </cell>
          <cell r="E856">
            <v>8.4499999999999993</v>
          </cell>
          <cell r="G856">
            <v>40053</v>
          </cell>
          <cell r="H856">
            <v>9.84</v>
          </cell>
          <cell r="J856">
            <v>40052</v>
          </cell>
          <cell r="K856">
            <v>3.4399000000000002</v>
          </cell>
          <cell r="M856">
            <v>40039</v>
          </cell>
          <cell r="N856">
            <v>5.34</v>
          </cell>
          <cell r="P856">
            <v>40053</v>
          </cell>
          <cell r="Q856">
            <v>73.83</v>
          </cell>
        </row>
        <row r="857">
          <cell r="D857">
            <v>40052</v>
          </cell>
          <cell r="E857">
            <v>8.4600000000000009</v>
          </cell>
          <cell r="G857">
            <v>40052</v>
          </cell>
          <cell r="H857">
            <v>9.7899999999999991</v>
          </cell>
          <cell r="J857">
            <v>40051</v>
          </cell>
          <cell r="K857">
            <v>3.32</v>
          </cell>
          <cell r="M857">
            <v>40037</v>
          </cell>
          <cell r="N857">
            <v>5.35</v>
          </cell>
          <cell r="P857">
            <v>40052</v>
          </cell>
          <cell r="Q857">
            <v>73.63</v>
          </cell>
        </row>
        <row r="858">
          <cell r="D858">
            <v>40051</v>
          </cell>
          <cell r="E858">
            <v>8.48</v>
          </cell>
          <cell r="G858">
            <v>40051</v>
          </cell>
          <cell r="H858">
            <v>10.029999999999999</v>
          </cell>
          <cell r="J858">
            <v>40050</v>
          </cell>
          <cell r="K858">
            <v>3.41</v>
          </cell>
          <cell r="M858">
            <v>40036</v>
          </cell>
          <cell r="N858">
            <v>5.34</v>
          </cell>
          <cell r="P858">
            <v>40051</v>
          </cell>
          <cell r="Q858">
            <v>74.83</v>
          </cell>
        </row>
        <row r="859">
          <cell r="D859">
            <v>40050</v>
          </cell>
          <cell r="E859">
            <v>8.3000000000000007</v>
          </cell>
          <cell r="G859">
            <v>40050</v>
          </cell>
          <cell r="H859">
            <v>10.11</v>
          </cell>
          <cell r="J859">
            <v>40049</v>
          </cell>
          <cell r="K859">
            <v>3.47</v>
          </cell>
          <cell r="M859">
            <v>40032</v>
          </cell>
          <cell r="N859">
            <v>5.65</v>
          </cell>
          <cell r="P859">
            <v>40050</v>
          </cell>
          <cell r="Q859">
            <v>75.56</v>
          </cell>
        </row>
        <row r="860">
          <cell r="D860">
            <v>40049</v>
          </cell>
          <cell r="E860">
            <v>8.39</v>
          </cell>
          <cell r="G860">
            <v>40049</v>
          </cell>
          <cell r="H860">
            <v>10.27</v>
          </cell>
          <cell r="J860">
            <v>40046</v>
          </cell>
          <cell r="K860">
            <v>3.49</v>
          </cell>
          <cell r="M860">
            <v>40031</v>
          </cell>
          <cell r="N860">
            <v>5.5114999999999998</v>
          </cell>
          <cell r="P860">
            <v>40049</v>
          </cell>
          <cell r="Q860">
            <v>76.260000000000005</v>
          </cell>
        </row>
        <row r="861">
          <cell r="D861">
            <v>40046</v>
          </cell>
          <cell r="E861">
            <v>8.18</v>
          </cell>
          <cell r="G861">
            <v>40046</v>
          </cell>
          <cell r="H861">
            <v>10.14</v>
          </cell>
          <cell r="J861">
            <v>40045</v>
          </cell>
          <cell r="K861">
            <v>3.48</v>
          </cell>
          <cell r="M861">
            <v>40030</v>
          </cell>
          <cell r="N861">
            <v>5.67</v>
          </cell>
          <cell r="P861">
            <v>40046</v>
          </cell>
          <cell r="Q861">
            <v>77.319999999999993</v>
          </cell>
        </row>
        <row r="862">
          <cell r="D862">
            <v>40045</v>
          </cell>
          <cell r="E862">
            <v>7.87</v>
          </cell>
          <cell r="G862">
            <v>40045</v>
          </cell>
          <cell r="H862">
            <v>9.94</v>
          </cell>
          <cell r="J862">
            <v>40044</v>
          </cell>
          <cell r="K862">
            <v>3.54</v>
          </cell>
          <cell r="M862">
            <v>40029</v>
          </cell>
          <cell r="N862">
            <v>5.29</v>
          </cell>
          <cell r="P862">
            <v>40045</v>
          </cell>
          <cell r="Q862">
            <v>75.41</v>
          </cell>
        </row>
        <row r="863">
          <cell r="D863">
            <v>40044</v>
          </cell>
          <cell r="E863">
            <v>7.58</v>
          </cell>
          <cell r="G863">
            <v>40044</v>
          </cell>
          <cell r="H863">
            <v>10.17</v>
          </cell>
          <cell r="J863">
            <v>40043</v>
          </cell>
          <cell r="K863">
            <v>3.55</v>
          </cell>
          <cell r="M863">
            <v>40025</v>
          </cell>
          <cell r="N863">
            <v>5.65</v>
          </cell>
          <cell r="P863">
            <v>40044</v>
          </cell>
          <cell r="Q863">
            <v>73.44</v>
          </cell>
        </row>
        <row r="864">
          <cell r="D864">
            <v>40043</v>
          </cell>
          <cell r="E864">
            <v>7.58</v>
          </cell>
          <cell r="G864">
            <v>40043</v>
          </cell>
          <cell r="H864">
            <v>10.11</v>
          </cell>
          <cell r="J864">
            <v>40042</v>
          </cell>
          <cell r="K864">
            <v>3.56</v>
          </cell>
          <cell r="M864">
            <v>40024</v>
          </cell>
          <cell r="N864">
            <v>5.5</v>
          </cell>
          <cell r="P864">
            <v>40043</v>
          </cell>
          <cell r="Q864">
            <v>73.989999999999995</v>
          </cell>
        </row>
        <row r="865">
          <cell r="D865">
            <v>40042</v>
          </cell>
          <cell r="E865">
            <v>7.43</v>
          </cell>
          <cell r="G865">
            <v>40042</v>
          </cell>
          <cell r="H865">
            <v>9.98</v>
          </cell>
          <cell r="J865">
            <v>40038</v>
          </cell>
          <cell r="K865">
            <v>3.63</v>
          </cell>
          <cell r="M865">
            <v>40023</v>
          </cell>
          <cell r="N865">
            <v>5.2480000000000002</v>
          </cell>
          <cell r="P865">
            <v>40042</v>
          </cell>
          <cell r="Q865">
            <v>70.72</v>
          </cell>
        </row>
        <row r="866">
          <cell r="D866">
            <v>40039</v>
          </cell>
          <cell r="E866">
            <v>7.88</v>
          </cell>
          <cell r="G866">
            <v>40039</v>
          </cell>
          <cell r="H866">
            <v>10.15</v>
          </cell>
          <cell r="J866">
            <v>40037</v>
          </cell>
          <cell r="K866">
            <v>3.61</v>
          </cell>
          <cell r="M866">
            <v>40022</v>
          </cell>
          <cell r="N866">
            <v>5.16</v>
          </cell>
          <cell r="P866">
            <v>40039</v>
          </cell>
          <cell r="Q866">
            <v>72.739999999999995</v>
          </cell>
        </row>
        <row r="867">
          <cell r="D867">
            <v>40038</v>
          </cell>
          <cell r="E867">
            <v>7.94</v>
          </cell>
          <cell r="G867">
            <v>40038</v>
          </cell>
          <cell r="H867">
            <v>10.18</v>
          </cell>
          <cell r="J867">
            <v>40036</v>
          </cell>
          <cell r="K867">
            <v>3.54</v>
          </cell>
          <cell r="M867">
            <v>40021</v>
          </cell>
          <cell r="N867">
            <v>5.17</v>
          </cell>
          <cell r="P867">
            <v>40038</v>
          </cell>
          <cell r="Q867">
            <v>71.650000000000006</v>
          </cell>
        </row>
        <row r="868">
          <cell r="D868">
            <v>40037</v>
          </cell>
          <cell r="E868">
            <v>7.91</v>
          </cell>
          <cell r="G868">
            <v>40037</v>
          </cell>
          <cell r="H868">
            <v>10.36</v>
          </cell>
          <cell r="J868">
            <v>40035</v>
          </cell>
          <cell r="K868">
            <v>3.55</v>
          </cell>
          <cell r="M868">
            <v>40018</v>
          </cell>
          <cell r="N868">
            <v>5.13</v>
          </cell>
          <cell r="P868">
            <v>40037</v>
          </cell>
          <cell r="Q868">
            <v>71.73</v>
          </cell>
        </row>
        <row r="869">
          <cell r="D869">
            <v>40036</v>
          </cell>
          <cell r="E869">
            <v>7.71</v>
          </cell>
          <cell r="G869">
            <v>40036</v>
          </cell>
          <cell r="H869">
            <v>10.51</v>
          </cell>
          <cell r="J869">
            <v>40032</v>
          </cell>
          <cell r="K869">
            <v>3.67</v>
          </cell>
          <cell r="M869">
            <v>40017</v>
          </cell>
          <cell r="N869">
            <v>5.0999999999999996</v>
          </cell>
          <cell r="P869">
            <v>40036</v>
          </cell>
          <cell r="Q869">
            <v>72.11</v>
          </cell>
        </row>
        <row r="870">
          <cell r="D870">
            <v>40035</v>
          </cell>
          <cell r="E870">
            <v>7.9249999999999998</v>
          </cell>
          <cell r="G870">
            <v>40035</v>
          </cell>
          <cell r="H870">
            <v>10.44</v>
          </cell>
          <cell r="J870">
            <v>40031</v>
          </cell>
          <cell r="K870">
            <v>3.45</v>
          </cell>
          <cell r="M870">
            <v>40016</v>
          </cell>
          <cell r="N870">
            <v>5</v>
          </cell>
          <cell r="P870">
            <v>40035</v>
          </cell>
          <cell r="Q870">
            <v>73.28</v>
          </cell>
        </row>
        <row r="871">
          <cell r="D871">
            <v>40032</v>
          </cell>
          <cell r="E871">
            <v>8.15</v>
          </cell>
          <cell r="G871">
            <v>40032</v>
          </cell>
          <cell r="H871">
            <v>10.36</v>
          </cell>
          <cell r="J871">
            <v>40030</v>
          </cell>
          <cell r="K871">
            <v>3.48</v>
          </cell>
          <cell r="M871">
            <v>40015</v>
          </cell>
          <cell r="N871">
            <v>5.35</v>
          </cell>
          <cell r="P871">
            <v>40032</v>
          </cell>
          <cell r="Q871">
            <v>77.09</v>
          </cell>
        </row>
        <row r="872">
          <cell r="D872">
            <v>40031</v>
          </cell>
          <cell r="E872">
            <v>8.06</v>
          </cell>
          <cell r="G872">
            <v>40031</v>
          </cell>
          <cell r="H872">
            <v>10.26</v>
          </cell>
          <cell r="J872">
            <v>40029</v>
          </cell>
          <cell r="K872">
            <v>3.81</v>
          </cell>
          <cell r="M872">
            <v>40014</v>
          </cell>
          <cell r="N872">
            <v>5.0698999999999996</v>
          </cell>
          <cell r="P872">
            <v>40031</v>
          </cell>
          <cell r="Q872">
            <v>77.28</v>
          </cell>
        </row>
        <row r="873">
          <cell r="D873">
            <v>40030</v>
          </cell>
          <cell r="E873">
            <v>8.0399999999999991</v>
          </cell>
          <cell r="G873">
            <v>40030</v>
          </cell>
          <cell r="H873">
            <v>10.78</v>
          </cell>
          <cell r="J873">
            <v>40028</v>
          </cell>
          <cell r="K873">
            <v>3.67</v>
          </cell>
          <cell r="M873">
            <v>40011</v>
          </cell>
          <cell r="N873">
            <v>5.5</v>
          </cell>
          <cell r="P873">
            <v>40030</v>
          </cell>
          <cell r="Q873">
            <v>79.8</v>
          </cell>
        </row>
        <row r="874">
          <cell r="D874">
            <v>40029</v>
          </cell>
          <cell r="E874">
            <v>7.68</v>
          </cell>
          <cell r="G874">
            <v>40029</v>
          </cell>
          <cell r="H874">
            <v>10.130000000000001</v>
          </cell>
          <cell r="J874">
            <v>40025</v>
          </cell>
          <cell r="K874">
            <v>3.7</v>
          </cell>
          <cell r="M874">
            <v>40009</v>
          </cell>
          <cell r="N874">
            <v>5.12</v>
          </cell>
          <cell r="P874">
            <v>40029</v>
          </cell>
          <cell r="Q874">
            <v>78.510000000000005</v>
          </cell>
        </row>
        <row r="875">
          <cell r="D875">
            <v>40028</v>
          </cell>
          <cell r="E875">
            <v>7.58</v>
          </cell>
          <cell r="G875">
            <v>40028</v>
          </cell>
          <cell r="H875">
            <v>10.31</v>
          </cell>
          <cell r="J875">
            <v>40024</v>
          </cell>
          <cell r="K875">
            <v>3.5</v>
          </cell>
          <cell r="M875">
            <v>40008</v>
          </cell>
          <cell r="N875">
            <v>5.1001000000000003</v>
          </cell>
          <cell r="P875">
            <v>40028</v>
          </cell>
          <cell r="Q875">
            <v>76.599999999999994</v>
          </cell>
        </row>
        <row r="876">
          <cell r="D876">
            <v>40025</v>
          </cell>
          <cell r="E876">
            <v>7.18</v>
          </cell>
          <cell r="G876">
            <v>40025</v>
          </cell>
          <cell r="H876">
            <v>9.48</v>
          </cell>
          <cell r="J876">
            <v>40023</v>
          </cell>
          <cell r="K876">
            <v>3.49</v>
          </cell>
          <cell r="M876">
            <v>40004</v>
          </cell>
          <cell r="N876">
            <v>5.15</v>
          </cell>
          <cell r="P876">
            <v>40025</v>
          </cell>
          <cell r="Q876">
            <v>75.989999999999995</v>
          </cell>
        </row>
        <row r="877">
          <cell r="D877">
            <v>40024</v>
          </cell>
          <cell r="E877">
            <v>7.36</v>
          </cell>
          <cell r="G877">
            <v>40024</v>
          </cell>
          <cell r="H877">
            <v>9.23</v>
          </cell>
          <cell r="J877">
            <v>40022</v>
          </cell>
          <cell r="K877">
            <v>3.59</v>
          </cell>
          <cell r="M877">
            <v>40003</v>
          </cell>
          <cell r="N877">
            <v>4.9000000000000004</v>
          </cell>
          <cell r="P877">
            <v>40024</v>
          </cell>
          <cell r="Q877">
            <v>76.14</v>
          </cell>
        </row>
        <row r="878">
          <cell r="D878">
            <v>40023</v>
          </cell>
          <cell r="E878">
            <v>6.86</v>
          </cell>
          <cell r="G878">
            <v>40023</v>
          </cell>
          <cell r="H878">
            <v>8.57</v>
          </cell>
          <cell r="J878">
            <v>40021</v>
          </cell>
          <cell r="K878">
            <v>3.6</v>
          </cell>
          <cell r="M878">
            <v>40002</v>
          </cell>
          <cell r="N878">
            <v>5.1999000000000004</v>
          </cell>
          <cell r="P878">
            <v>40023</v>
          </cell>
          <cell r="Q878">
            <v>75.58</v>
          </cell>
        </row>
        <row r="879">
          <cell r="D879">
            <v>40022</v>
          </cell>
          <cell r="E879">
            <v>6.9</v>
          </cell>
          <cell r="G879">
            <v>40022</v>
          </cell>
          <cell r="H879">
            <v>8.9</v>
          </cell>
          <cell r="J879">
            <v>40018</v>
          </cell>
          <cell r="K879">
            <v>3.63</v>
          </cell>
          <cell r="M879">
            <v>40001</v>
          </cell>
          <cell r="N879">
            <v>5</v>
          </cell>
          <cell r="P879">
            <v>40022</v>
          </cell>
          <cell r="Q879">
            <v>76.900000000000006</v>
          </cell>
        </row>
        <row r="880">
          <cell r="D880">
            <v>40021</v>
          </cell>
          <cell r="E880">
            <v>6.22</v>
          </cell>
          <cell r="G880">
            <v>40021</v>
          </cell>
          <cell r="H880">
            <v>9.3000000000000007</v>
          </cell>
          <cell r="J880">
            <v>40017</v>
          </cell>
          <cell r="K880">
            <v>3.67</v>
          </cell>
          <cell r="M880">
            <v>40000</v>
          </cell>
          <cell r="N880">
            <v>4.8899999999999997</v>
          </cell>
          <cell r="P880">
            <v>40021</v>
          </cell>
          <cell r="Q880">
            <v>77.540000000000006</v>
          </cell>
        </row>
        <row r="881">
          <cell r="D881">
            <v>40018</v>
          </cell>
          <cell r="E881">
            <v>6.35</v>
          </cell>
          <cell r="G881">
            <v>40018</v>
          </cell>
          <cell r="H881">
            <v>9.3800000000000008</v>
          </cell>
          <cell r="J881">
            <v>40016</v>
          </cell>
          <cell r="K881">
            <v>3.62</v>
          </cell>
          <cell r="M881">
            <v>39996</v>
          </cell>
          <cell r="N881">
            <v>5.15</v>
          </cell>
          <cell r="P881">
            <v>40018</v>
          </cell>
          <cell r="Q881">
            <v>76.39</v>
          </cell>
        </row>
        <row r="882">
          <cell r="D882">
            <v>40017</v>
          </cell>
          <cell r="E882">
            <v>6.46</v>
          </cell>
          <cell r="G882">
            <v>40017</v>
          </cell>
          <cell r="H882">
            <v>9.64</v>
          </cell>
          <cell r="J882">
            <v>40015</v>
          </cell>
          <cell r="K882">
            <v>3.55</v>
          </cell>
          <cell r="M882">
            <v>39995</v>
          </cell>
          <cell r="N882">
            <v>5.07</v>
          </cell>
          <cell r="P882">
            <v>40017</v>
          </cell>
          <cell r="Q882">
            <v>76.7</v>
          </cell>
        </row>
        <row r="883">
          <cell r="D883">
            <v>40016</v>
          </cell>
          <cell r="E883">
            <v>6.35</v>
          </cell>
          <cell r="G883">
            <v>40016</v>
          </cell>
          <cell r="H883">
            <v>9.66</v>
          </cell>
          <cell r="J883">
            <v>40014</v>
          </cell>
          <cell r="K883">
            <v>3.55</v>
          </cell>
          <cell r="M883">
            <v>39994</v>
          </cell>
          <cell r="N883">
            <v>5.0199999999999996</v>
          </cell>
          <cell r="P883">
            <v>40016</v>
          </cell>
          <cell r="Q883">
            <v>73.5</v>
          </cell>
        </row>
        <row r="884">
          <cell r="D884">
            <v>40015</v>
          </cell>
          <cell r="E884">
            <v>6.16</v>
          </cell>
          <cell r="G884">
            <v>40015</v>
          </cell>
          <cell r="H884">
            <v>9.6199999999999992</v>
          </cell>
          <cell r="J884">
            <v>40011</v>
          </cell>
          <cell r="K884">
            <v>3.5499000000000001</v>
          </cell>
          <cell r="M884">
            <v>39993</v>
          </cell>
          <cell r="N884">
            <v>5.25</v>
          </cell>
          <cell r="P884">
            <v>40015</v>
          </cell>
          <cell r="Q884">
            <v>74.150000000000006</v>
          </cell>
        </row>
        <row r="885">
          <cell r="D885">
            <v>40014</v>
          </cell>
          <cell r="E885">
            <v>6.24</v>
          </cell>
          <cell r="G885">
            <v>40014</v>
          </cell>
          <cell r="H885">
            <v>9.1999999999999993</v>
          </cell>
          <cell r="J885">
            <v>40010</v>
          </cell>
          <cell r="K885">
            <v>3.53</v>
          </cell>
          <cell r="M885">
            <v>39990</v>
          </cell>
          <cell r="N885">
            <v>5.5</v>
          </cell>
          <cell r="P885">
            <v>40014</v>
          </cell>
          <cell r="Q885">
            <v>74.97</v>
          </cell>
        </row>
        <row r="886">
          <cell r="D886">
            <v>40011</v>
          </cell>
          <cell r="E886">
            <v>5.95</v>
          </cell>
          <cell r="G886">
            <v>40011</v>
          </cell>
          <cell r="H886">
            <v>9</v>
          </cell>
          <cell r="J886">
            <v>40009</v>
          </cell>
          <cell r="K886">
            <v>3.46</v>
          </cell>
          <cell r="M886">
            <v>39989</v>
          </cell>
          <cell r="N886">
            <v>5.3</v>
          </cell>
          <cell r="P886">
            <v>40011</v>
          </cell>
          <cell r="Q886">
            <v>72.430000000000007</v>
          </cell>
        </row>
        <row r="887">
          <cell r="D887">
            <v>40010</v>
          </cell>
          <cell r="E887">
            <v>5.88</v>
          </cell>
          <cell r="G887">
            <v>40010</v>
          </cell>
          <cell r="H887">
            <v>9.34</v>
          </cell>
          <cell r="J887">
            <v>40008</v>
          </cell>
          <cell r="K887">
            <v>3.4</v>
          </cell>
          <cell r="M887">
            <v>39988</v>
          </cell>
          <cell r="N887">
            <v>4.72</v>
          </cell>
          <cell r="P887">
            <v>40010</v>
          </cell>
          <cell r="Q887">
            <v>72.23</v>
          </cell>
        </row>
        <row r="888">
          <cell r="D888">
            <v>40009</v>
          </cell>
          <cell r="E888">
            <v>5.75</v>
          </cell>
          <cell r="G888">
            <v>40009</v>
          </cell>
          <cell r="H888">
            <v>9.2899999999999991</v>
          </cell>
          <cell r="J888">
            <v>40007</v>
          </cell>
          <cell r="K888">
            <v>3.38</v>
          </cell>
          <cell r="M888">
            <v>39987</v>
          </cell>
          <cell r="N888">
            <v>5.25</v>
          </cell>
          <cell r="P888">
            <v>40009</v>
          </cell>
          <cell r="Q888">
            <v>70.150000000000006</v>
          </cell>
        </row>
        <row r="889">
          <cell r="D889">
            <v>40008</v>
          </cell>
          <cell r="E889">
            <v>5.54</v>
          </cell>
          <cell r="G889">
            <v>40008</v>
          </cell>
          <cell r="H889">
            <v>8.8800000000000008</v>
          </cell>
          <cell r="J889">
            <v>40004</v>
          </cell>
          <cell r="K889">
            <v>3.37</v>
          </cell>
          <cell r="M889">
            <v>39986</v>
          </cell>
          <cell r="N889">
            <v>5.25</v>
          </cell>
          <cell r="P889">
            <v>40008</v>
          </cell>
          <cell r="Q889">
            <v>66.180000000000007</v>
          </cell>
        </row>
        <row r="890">
          <cell r="D890">
            <v>40007</v>
          </cell>
          <cell r="E890">
            <v>5.55</v>
          </cell>
          <cell r="G890">
            <v>40007</v>
          </cell>
          <cell r="H890">
            <v>8.91</v>
          </cell>
          <cell r="J890">
            <v>40003</v>
          </cell>
          <cell r="K890">
            <v>3.37</v>
          </cell>
          <cell r="M890">
            <v>39983</v>
          </cell>
          <cell r="N890">
            <v>5.5</v>
          </cell>
          <cell r="P890">
            <v>40007</v>
          </cell>
          <cell r="Q890">
            <v>66.64</v>
          </cell>
        </row>
        <row r="891">
          <cell r="D891">
            <v>40004</v>
          </cell>
          <cell r="E891">
            <v>5.42</v>
          </cell>
          <cell r="G891">
            <v>40004</v>
          </cell>
          <cell r="H891">
            <v>8.67</v>
          </cell>
          <cell r="J891">
            <v>40002</v>
          </cell>
          <cell r="K891">
            <v>3.43</v>
          </cell>
          <cell r="M891">
            <v>39982</v>
          </cell>
          <cell r="N891">
            <v>5.45</v>
          </cell>
          <cell r="P891">
            <v>40004</v>
          </cell>
          <cell r="Q891">
            <v>66.63</v>
          </cell>
        </row>
        <row r="892">
          <cell r="D892">
            <v>40003</v>
          </cell>
          <cell r="E892">
            <v>5.35</v>
          </cell>
          <cell r="G892">
            <v>40003</v>
          </cell>
          <cell r="H892">
            <v>8.82</v>
          </cell>
          <cell r="J892">
            <v>40001</v>
          </cell>
          <cell r="K892">
            <v>3.53</v>
          </cell>
          <cell r="M892">
            <v>39981</v>
          </cell>
          <cell r="N892">
            <v>5.42</v>
          </cell>
          <cell r="P892">
            <v>40003</v>
          </cell>
          <cell r="Q892">
            <v>66.36</v>
          </cell>
        </row>
        <row r="893">
          <cell r="D893">
            <v>40002</v>
          </cell>
          <cell r="E893">
            <v>5.25</v>
          </cell>
          <cell r="G893">
            <v>40002</v>
          </cell>
          <cell r="H893">
            <v>8.52</v>
          </cell>
          <cell r="J893">
            <v>40000</v>
          </cell>
          <cell r="K893">
            <v>3.49</v>
          </cell>
          <cell r="M893">
            <v>39980</v>
          </cell>
          <cell r="N893">
            <v>5.26</v>
          </cell>
          <cell r="P893">
            <v>40002</v>
          </cell>
          <cell r="Q893">
            <v>65.62</v>
          </cell>
        </row>
        <row r="894">
          <cell r="D894">
            <v>40001</v>
          </cell>
          <cell r="E894">
            <v>5.24</v>
          </cell>
          <cell r="G894">
            <v>40001</v>
          </cell>
          <cell r="H894">
            <v>8.57</v>
          </cell>
          <cell r="J894">
            <v>39996</v>
          </cell>
          <cell r="K894">
            <v>3.51</v>
          </cell>
          <cell r="M894">
            <v>39979</v>
          </cell>
          <cell r="N894">
            <v>4.9623999999999997</v>
          </cell>
          <cell r="P894">
            <v>40001</v>
          </cell>
          <cell r="Q894">
            <v>66.36</v>
          </cell>
        </row>
        <row r="895">
          <cell r="D895">
            <v>40000</v>
          </cell>
          <cell r="E895">
            <v>5.37</v>
          </cell>
          <cell r="G895">
            <v>40000</v>
          </cell>
          <cell r="H895">
            <v>8.9600000000000009</v>
          </cell>
          <cell r="J895">
            <v>39995</v>
          </cell>
          <cell r="K895">
            <v>3.57</v>
          </cell>
          <cell r="M895">
            <v>39976</v>
          </cell>
          <cell r="N895">
            <v>4.99</v>
          </cell>
          <cell r="P895">
            <v>40000</v>
          </cell>
          <cell r="Q895">
            <v>68.67</v>
          </cell>
        </row>
        <row r="896">
          <cell r="D896">
            <v>39996</v>
          </cell>
          <cell r="E896">
            <v>5.45</v>
          </cell>
          <cell r="G896">
            <v>39996</v>
          </cell>
          <cell r="H896">
            <v>9.01</v>
          </cell>
          <cell r="J896">
            <v>39994</v>
          </cell>
          <cell r="K896">
            <v>3.62</v>
          </cell>
          <cell r="M896">
            <v>39975</v>
          </cell>
          <cell r="N896">
            <v>4.6900000000000004</v>
          </cell>
          <cell r="P896">
            <v>39996</v>
          </cell>
          <cell r="Q896">
            <v>69.709999999999994</v>
          </cell>
        </row>
        <row r="897">
          <cell r="D897">
            <v>39995</v>
          </cell>
          <cell r="E897">
            <v>5.64</v>
          </cell>
          <cell r="G897">
            <v>39995</v>
          </cell>
          <cell r="H897">
            <v>9.35</v>
          </cell>
          <cell r="J897">
            <v>39993</v>
          </cell>
          <cell r="K897">
            <v>3.54</v>
          </cell>
          <cell r="M897">
            <v>39974</v>
          </cell>
          <cell r="N897">
            <v>4.5999999999999996</v>
          </cell>
          <cell r="P897">
            <v>39995</v>
          </cell>
          <cell r="Q897">
            <v>69.959999999999994</v>
          </cell>
        </row>
        <row r="898">
          <cell r="D898">
            <v>39994</v>
          </cell>
          <cell r="E898">
            <v>5.72</v>
          </cell>
          <cell r="G898">
            <v>39994</v>
          </cell>
          <cell r="H898">
            <v>9.02</v>
          </cell>
          <cell r="J898">
            <v>39990</v>
          </cell>
          <cell r="K898">
            <v>3.48</v>
          </cell>
          <cell r="M898">
            <v>39973</v>
          </cell>
          <cell r="N898">
            <v>4.7</v>
          </cell>
          <cell r="P898">
            <v>39994</v>
          </cell>
          <cell r="Q898">
            <v>71.09</v>
          </cell>
        </row>
        <row r="899">
          <cell r="D899">
            <v>39993</v>
          </cell>
          <cell r="E899">
            <v>5.8650000000000002</v>
          </cell>
          <cell r="G899">
            <v>39993</v>
          </cell>
          <cell r="H899">
            <v>9.1199999999999992</v>
          </cell>
          <cell r="J899">
            <v>39989</v>
          </cell>
          <cell r="K899">
            <v>3.41</v>
          </cell>
          <cell r="M899">
            <v>39972</v>
          </cell>
          <cell r="N899">
            <v>4.51</v>
          </cell>
          <cell r="P899">
            <v>39993</v>
          </cell>
          <cell r="Q899">
            <v>69.64</v>
          </cell>
        </row>
        <row r="900">
          <cell r="D900">
            <v>39990</v>
          </cell>
          <cell r="E900">
            <v>5.68</v>
          </cell>
          <cell r="G900">
            <v>39990</v>
          </cell>
          <cell r="H900">
            <v>8.93</v>
          </cell>
          <cell r="J900">
            <v>39988</v>
          </cell>
          <cell r="K900">
            <v>3.31</v>
          </cell>
          <cell r="M900">
            <v>39969</v>
          </cell>
          <cell r="N900">
            <v>4.51</v>
          </cell>
          <cell r="P900">
            <v>39990</v>
          </cell>
          <cell r="Q900">
            <v>70.659899999999993</v>
          </cell>
        </row>
        <row r="901">
          <cell r="D901">
            <v>39989</v>
          </cell>
          <cell r="E901">
            <v>5.37</v>
          </cell>
          <cell r="G901">
            <v>39989</v>
          </cell>
          <cell r="H901">
            <v>9.06</v>
          </cell>
          <cell r="J901">
            <v>39987</v>
          </cell>
          <cell r="K901">
            <v>3.6</v>
          </cell>
          <cell r="M901">
            <v>39968</v>
          </cell>
          <cell r="N901">
            <v>4.5999999999999996</v>
          </cell>
          <cell r="P901">
            <v>39989</v>
          </cell>
          <cell r="Q901">
            <v>69.3</v>
          </cell>
        </row>
        <row r="902">
          <cell r="D902">
            <v>39988</v>
          </cell>
          <cell r="E902">
            <v>5.16</v>
          </cell>
          <cell r="G902">
            <v>39988</v>
          </cell>
          <cell r="H902">
            <v>8.6199999999999992</v>
          </cell>
          <cell r="J902">
            <v>39986</v>
          </cell>
          <cell r="K902">
            <v>3.63</v>
          </cell>
          <cell r="M902">
            <v>39967</v>
          </cell>
          <cell r="N902">
            <v>4.3499999999999996</v>
          </cell>
          <cell r="P902">
            <v>39988</v>
          </cell>
          <cell r="Q902">
            <v>70.98</v>
          </cell>
        </row>
        <row r="903">
          <cell r="D903">
            <v>39987</v>
          </cell>
          <cell r="E903">
            <v>5.1100000000000003</v>
          </cell>
          <cell r="G903">
            <v>39987</v>
          </cell>
          <cell r="H903">
            <v>8.59</v>
          </cell>
          <cell r="J903">
            <v>39983</v>
          </cell>
          <cell r="K903">
            <v>3.7</v>
          </cell>
          <cell r="M903">
            <v>39966</v>
          </cell>
          <cell r="N903">
            <v>4.45</v>
          </cell>
          <cell r="P903">
            <v>39987</v>
          </cell>
          <cell r="Q903">
            <v>69.599999999999994</v>
          </cell>
        </row>
        <row r="904">
          <cell r="D904">
            <v>39986</v>
          </cell>
          <cell r="E904">
            <v>5.13</v>
          </cell>
          <cell r="G904">
            <v>39986</v>
          </cell>
          <cell r="H904">
            <v>8.77</v>
          </cell>
          <cell r="J904">
            <v>39982</v>
          </cell>
          <cell r="K904">
            <v>3.72</v>
          </cell>
          <cell r="M904">
            <v>39965</v>
          </cell>
          <cell r="N904">
            <v>4.41</v>
          </cell>
          <cell r="P904">
            <v>39986</v>
          </cell>
          <cell r="Q904">
            <v>68.11</v>
          </cell>
        </row>
        <row r="905">
          <cell r="D905">
            <v>39983</v>
          </cell>
          <cell r="E905">
            <v>5.5</v>
          </cell>
          <cell r="G905">
            <v>39983</v>
          </cell>
          <cell r="H905">
            <v>9.58</v>
          </cell>
          <cell r="J905">
            <v>39981</v>
          </cell>
          <cell r="K905">
            <v>3.78</v>
          </cell>
          <cell r="M905">
            <v>39962</v>
          </cell>
          <cell r="N905">
            <v>4.5</v>
          </cell>
          <cell r="P905">
            <v>39983</v>
          </cell>
          <cell r="Q905">
            <v>72.78</v>
          </cell>
        </row>
        <row r="906">
          <cell r="D906">
            <v>39982</v>
          </cell>
          <cell r="E906">
            <v>5.51</v>
          </cell>
          <cell r="G906">
            <v>39982</v>
          </cell>
          <cell r="H906">
            <v>9.4</v>
          </cell>
          <cell r="J906">
            <v>39980</v>
          </cell>
          <cell r="K906">
            <v>3.7999000000000001</v>
          </cell>
          <cell r="M906">
            <v>39961</v>
          </cell>
          <cell r="N906">
            <v>4.2</v>
          </cell>
          <cell r="P906">
            <v>39982</v>
          </cell>
          <cell r="Q906">
            <v>76.55</v>
          </cell>
        </row>
        <row r="907">
          <cell r="D907">
            <v>39981</v>
          </cell>
          <cell r="E907">
            <v>5.49</v>
          </cell>
          <cell r="G907">
            <v>39981</v>
          </cell>
          <cell r="H907">
            <v>9.33</v>
          </cell>
          <cell r="J907">
            <v>39979</v>
          </cell>
          <cell r="K907">
            <v>3.7</v>
          </cell>
          <cell r="M907">
            <v>39960</v>
          </cell>
          <cell r="N907">
            <v>4.4400000000000004</v>
          </cell>
          <cell r="P907">
            <v>39981</v>
          </cell>
          <cell r="Q907">
            <v>77.209999999999994</v>
          </cell>
        </row>
        <row r="908">
          <cell r="D908">
            <v>39980</v>
          </cell>
          <cell r="E908">
            <v>5.59</v>
          </cell>
          <cell r="G908">
            <v>39980</v>
          </cell>
          <cell r="H908">
            <v>9.35</v>
          </cell>
          <cell r="J908">
            <v>39976</v>
          </cell>
          <cell r="K908">
            <v>3.75</v>
          </cell>
          <cell r="M908">
            <v>39959</v>
          </cell>
          <cell r="N908">
            <v>4.4400000000000004</v>
          </cell>
          <cell r="P908">
            <v>39980</v>
          </cell>
          <cell r="Q908">
            <v>80.290000000000006</v>
          </cell>
        </row>
        <row r="909">
          <cell r="D909">
            <v>39979</v>
          </cell>
          <cell r="E909">
            <v>5.84</v>
          </cell>
          <cell r="G909">
            <v>39979</v>
          </cell>
          <cell r="H909">
            <v>9.7200000000000006</v>
          </cell>
          <cell r="J909">
            <v>39975</v>
          </cell>
          <cell r="K909">
            <v>3.99</v>
          </cell>
          <cell r="M909">
            <v>39955</v>
          </cell>
          <cell r="N909">
            <v>4.3</v>
          </cell>
          <cell r="P909">
            <v>39979</v>
          </cell>
          <cell r="Q909">
            <v>80.38</v>
          </cell>
        </row>
        <row r="910">
          <cell r="D910">
            <v>39976</v>
          </cell>
          <cell r="E910">
            <v>6.02</v>
          </cell>
          <cell r="G910">
            <v>39976</v>
          </cell>
          <cell r="H910">
            <v>9.85</v>
          </cell>
          <cell r="J910">
            <v>39974</v>
          </cell>
          <cell r="K910">
            <v>3.98</v>
          </cell>
          <cell r="M910">
            <v>39954</v>
          </cell>
          <cell r="N910">
            <v>4.22</v>
          </cell>
          <cell r="P910">
            <v>39976</v>
          </cell>
          <cell r="Q910">
            <v>83.02</v>
          </cell>
        </row>
        <row r="911">
          <cell r="D911">
            <v>39975</v>
          </cell>
          <cell r="E911">
            <v>6.2</v>
          </cell>
          <cell r="G911">
            <v>39975</v>
          </cell>
          <cell r="H911">
            <v>9.7799999999999994</v>
          </cell>
          <cell r="J911">
            <v>39973</v>
          </cell>
          <cell r="K911">
            <v>3.86</v>
          </cell>
          <cell r="M911">
            <v>39953</v>
          </cell>
          <cell r="N911">
            <v>4.2</v>
          </cell>
          <cell r="P911">
            <v>39975</v>
          </cell>
          <cell r="Q911">
            <v>85.44</v>
          </cell>
        </row>
        <row r="912">
          <cell r="D912">
            <v>39974</v>
          </cell>
          <cell r="E912">
            <v>5.93</v>
          </cell>
          <cell r="G912">
            <v>39974</v>
          </cell>
          <cell r="H912">
            <v>9.56</v>
          </cell>
          <cell r="J912">
            <v>39972</v>
          </cell>
          <cell r="K912">
            <v>3.91</v>
          </cell>
          <cell r="M912">
            <v>39952</v>
          </cell>
          <cell r="N912">
            <v>4.1500000000000004</v>
          </cell>
          <cell r="P912">
            <v>39974</v>
          </cell>
          <cell r="Q912">
            <v>83.45</v>
          </cell>
        </row>
        <row r="913">
          <cell r="D913">
            <v>39973</v>
          </cell>
          <cell r="E913">
            <v>6.11</v>
          </cell>
          <cell r="G913">
            <v>39973</v>
          </cell>
          <cell r="H913">
            <v>10.23</v>
          </cell>
          <cell r="J913">
            <v>39969</v>
          </cell>
          <cell r="K913">
            <v>3.98</v>
          </cell>
          <cell r="M913">
            <v>39951</v>
          </cell>
          <cell r="N913">
            <v>4.1500000000000004</v>
          </cell>
          <cell r="P913">
            <v>39973</v>
          </cell>
          <cell r="Q913">
            <v>82.021000000000001</v>
          </cell>
        </row>
        <row r="914">
          <cell r="D914">
            <v>39972</v>
          </cell>
          <cell r="E914">
            <v>6.07</v>
          </cell>
          <cell r="G914">
            <v>39972</v>
          </cell>
          <cell r="H914">
            <v>10.15</v>
          </cell>
          <cell r="J914">
            <v>39968</v>
          </cell>
          <cell r="K914">
            <v>4</v>
          </cell>
          <cell r="M914">
            <v>39948</v>
          </cell>
          <cell r="N914">
            <v>4.21</v>
          </cell>
          <cell r="P914">
            <v>39972</v>
          </cell>
          <cell r="Q914">
            <v>81.95</v>
          </cell>
        </row>
        <row r="915">
          <cell r="D915">
            <v>39969</v>
          </cell>
          <cell r="E915">
            <v>6.29</v>
          </cell>
          <cell r="G915">
            <v>39969</v>
          </cell>
          <cell r="H915">
            <v>10.94</v>
          </cell>
          <cell r="J915">
            <v>39967</v>
          </cell>
          <cell r="K915">
            <v>3.99</v>
          </cell>
          <cell r="M915">
            <v>39947</v>
          </cell>
          <cell r="N915">
            <v>4.1500000000000004</v>
          </cell>
          <cell r="P915">
            <v>39969</v>
          </cell>
          <cell r="Q915">
            <v>82.7</v>
          </cell>
        </row>
        <row r="916">
          <cell r="D916">
            <v>39968</v>
          </cell>
          <cell r="E916">
            <v>6.38</v>
          </cell>
          <cell r="G916">
            <v>39968</v>
          </cell>
          <cell r="H916">
            <v>10.61</v>
          </cell>
          <cell r="J916">
            <v>39966</v>
          </cell>
          <cell r="K916">
            <v>3.99</v>
          </cell>
          <cell r="M916">
            <v>39946</v>
          </cell>
          <cell r="N916">
            <v>4.0839999999999996</v>
          </cell>
          <cell r="P916">
            <v>39968</v>
          </cell>
          <cell r="Q916">
            <v>82.01</v>
          </cell>
        </row>
        <row r="917">
          <cell r="D917">
            <v>39967</v>
          </cell>
          <cell r="E917">
            <v>6.37</v>
          </cell>
          <cell r="G917">
            <v>39967</v>
          </cell>
          <cell r="H917">
            <v>10.66</v>
          </cell>
          <cell r="J917">
            <v>39965</v>
          </cell>
          <cell r="K917">
            <v>4.05</v>
          </cell>
          <cell r="M917">
            <v>39945</v>
          </cell>
          <cell r="N917">
            <v>4.1500000000000004</v>
          </cell>
          <cell r="P917">
            <v>39967</v>
          </cell>
          <cell r="Q917">
            <v>80.48</v>
          </cell>
        </row>
        <row r="918">
          <cell r="D918">
            <v>39966</v>
          </cell>
          <cell r="E918">
            <v>6.7</v>
          </cell>
          <cell r="G918">
            <v>39966</v>
          </cell>
          <cell r="H918">
            <v>11.42</v>
          </cell>
          <cell r="J918">
            <v>39962</v>
          </cell>
          <cell r="K918">
            <v>4.0199999999999996</v>
          </cell>
          <cell r="M918">
            <v>39944</v>
          </cell>
          <cell r="N918">
            <v>3.95</v>
          </cell>
          <cell r="P918">
            <v>39966</v>
          </cell>
          <cell r="Q918">
            <v>82.61</v>
          </cell>
        </row>
        <row r="919">
          <cell r="D919">
            <v>39965</v>
          </cell>
          <cell r="E919">
            <v>6.9</v>
          </cell>
          <cell r="G919">
            <v>39965</v>
          </cell>
          <cell r="H919">
            <v>11.56</v>
          </cell>
          <cell r="J919">
            <v>39961</v>
          </cell>
          <cell r="K919">
            <v>3.76</v>
          </cell>
          <cell r="M919">
            <v>39941</v>
          </cell>
          <cell r="N919">
            <v>3.9998999999999998</v>
          </cell>
          <cell r="P919">
            <v>39965</v>
          </cell>
          <cell r="Q919">
            <v>82.15</v>
          </cell>
        </row>
        <row r="920">
          <cell r="D920">
            <v>39962</v>
          </cell>
          <cell r="E920">
            <v>6.4950000000000001</v>
          </cell>
          <cell r="G920">
            <v>39962</v>
          </cell>
          <cell r="H920">
            <v>11.68</v>
          </cell>
          <cell r="J920">
            <v>39960</v>
          </cell>
          <cell r="K920">
            <v>3.51</v>
          </cell>
          <cell r="M920">
            <v>39940</v>
          </cell>
          <cell r="N920">
            <v>3.84</v>
          </cell>
          <cell r="P920">
            <v>39962</v>
          </cell>
          <cell r="Q920">
            <v>78.64</v>
          </cell>
        </row>
        <row r="921">
          <cell r="D921">
            <v>39961</v>
          </cell>
          <cell r="E921">
            <v>6.26</v>
          </cell>
          <cell r="G921">
            <v>39961</v>
          </cell>
          <cell r="H921">
            <v>10.86</v>
          </cell>
          <cell r="J921">
            <v>39959</v>
          </cell>
          <cell r="K921">
            <v>3.41</v>
          </cell>
          <cell r="M921">
            <v>39939</v>
          </cell>
          <cell r="N921">
            <v>4.17</v>
          </cell>
          <cell r="P921">
            <v>39961</v>
          </cell>
          <cell r="Q921">
            <v>80.3</v>
          </cell>
        </row>
        <row r="922">
          <cell r="D922">
            <v>39960</v>
          </cell>
          <cell r="E922">
            <v>6.01</v>
          </cell>
          <cell r="G922">
            <v>39960</v>
          </cell>
          <cell r="H922">
            <v>10.7</v>
          </cell>
          <cell r="J922">
            <v>39955</v>
          </cell>
          <cell r="K922">
            <v>3.4</v>
          </cell>
          <cell r="M922">
            <v>39938</v>
          </cell>
          <cell r="N922">
            <v>3.95</v>
          </cell>
          <cell r="P922">
            <v>39960</v>
          </cell>
          <cell r="Q922">
            <v>77.290000000000006</v>
          </cell>
        </row>
        <row r="923">
          <cell r="D923">
            <v>39959</v>
          </cell>
          <cell r="E923">
            <v>6.04</v>
          </cell>
          <cell r="G923">
            <v>39959</v>
          </cell>
          <cell r="H923">
            <v>11.26</v>
          </cell>
          <cell r="J923">
            <v>39954</v>
          </cell>
          <cell r="K923">
            <v>3.52</v>
          </cell>
          <cell r="M923">
            <v>39937</v>
          </cell>
          <cell r="N923">
            <v>3.7</v>
          </cell>
          <cell r="P923">
            <v>39959</v>
          </cell>
          <cell r="Q923">
            <v>76.75</v>
          </cell>
        </row>
        <row r="924">
          <cell r="D924">
            <v>39955</v>
          </cell>
          <cell r="E924">
            <v>6.08</v>
          </cell>
          <cell r="G924">
            <v>39955</v>
          </cell>
          <cell r="H924">
            <v>10.67</v>
          </cell>
          <cell r="J924">
            <v>39953</v>
          </cell>
          <cell r="K924">
            <v>3.59</v>
          </cell>
          <cell r="M924">
            <v>39934</v>
          </cell>
          <cell r="N924">
            <v>3.95</v>
          </cell>
          <cell r="P924">
            <v>39955</v>
          </cell>
          <cell r="Q924">
            <v>72.03</v>
          </cell>
        </row>
        <row r="925">
          <cell r="D925">
            <v>39954</v>
          </cell>
          <cell r="E925">
            <v>5.98</v>
          </cell>
          <cell r="G925">
            <v>39954</v>
          </cell>
          <cell r="H925">
            <v>11.05</v>
          </cell>
          <cell r="J925">
            <v>39952</v>
          </cell>
          <cell r="K925">
            <v>3.67</v>
          </cell>
          <cell r="M925">
            <v>39933</v>
          </cell>
          <cell r="N925">
            <v>3.99</v>
          </cell>
          <cell r="P925">
            <v>39954</v>
          </cell>
          <cell r="Q925">
            <v>72.98</v>
          </cell>
        </row>
        <row r="926">
          <cell r="D926">
            <v>39953</v>
          </cell>
          <cell r="E926">
            <v>5.98</v>
          </cell>
          <cell r="G926">
            <v>39953</v>
          </cell>
          <cell r="H926">
            <v>11.12</v>
          </cell>
          <cell r="J926">
            <v>39951</v>
          </cell>
          <cell r="K926">
            <v>3.56</v>
          </cell>
          <cell r="M926">
            <v>39932</v>
          </cell>
          <cell r="N926">
            <v>4</v>
          </cell>
          <cell r="P926">
            <v>39953</v>
          </cell>
          <cell r="Q926">
            <v>75.760000000000005</v>
          </cell>
        </row>
        <row r="927">
          <cell r="D927">
            <v>39952</v>
          </cell>
          <cell r="E927">
            <v>5.98</v>
          </cell>
          <cell r="G927">
            <v>39952</v>
          </cell>
          <cell r="H927">
            <v>11.01</v>
          </cell>
          <cell r="J927">
            <v>39948</v>
          </cell>
          <cell r="K927">
            <v>3.48</v>
          </cell>
          <cell r="M927">
            <v>39931</v>
          </cell>
          <cell r="N927">
            <v>3.94</v>
          </cell>
          <cell r="P927">
            <v>39952</v>
          </cell>
          <cell r="Q927">
            <v>75.198999999999998</v>
          </cell>
        </row>
        <row r="928">
          <cell r="D928">
            <v>39951</v>
          </cell>
          <cell r="E928">
            <v>5.74</v>
          </cell>
          <cell r="G928">
            <v>39951</v>
          </cell>
          <cell r="H928">
            <v>10.199999999999999</v>
          </cell>
          <cell r="J928">
            <v>39947</v>
          </cell>
          <cell r="K928">
            <v>3.47</v>
          </cell>
          <cell r="M928">
            <v>39930</v>
          </cell>
          <cell r="N928">
            <v>3.8</v>
          </cell>
          <cell r="P928">
            <v>39951</v>
          </cell>
          <cell r="Q928">
            <v>75.36</v>
          </cell>
        </row>
        <row r="929">
          <cell r="D929">
            <v>39948</v>
          </cell>
          <cell r="E929">
            <v>5.58</v>
          </cell>
          <cell r="G929">
            <v>39948</v>
          </cell>
          <cell r="H929">
            <v>10.1</v>
          </cell>
          <cell r="J929">
            <v>39946</v>
          </cell>
          <cell r="K929">
            <v>3.35</v>
          </cell>
          <cell r="M929">
            <v>39927</v>
          </cell>
          <cell r="N929">
            <v>3.8</v>
          </cell>
          <cell r="P929">
            <v>39948</v>
          </cell>
          <cell r="Q929">
            <v>72.34</v>
          </cell>
        </row>
        <row r="930">
          <cell r="D930">
            <v>39947</v>
          </cell>
          <cell r="E930">
            <v>5.41</v>
          </cell>
          <cell r="G930">
            <v>39947</v>
          </cell>
          <cell r="H930">
            <v>9.75</v>
          </cell>
          <cell r="J930">
            <v>39945</v>
          </cell>
          <cell r="K930">
            <v>3.59</v>
          </cell>
          <cell r="M930">
            <v>39925</v>
          </cell>
          <cell r="N930">
            <v>3.74</v>
          </cell>
          <cell r="P930">
            <v>39947</v>
          </cell>
          <cell r="Q930">
            <v>71.12</v>
          </cell>
        </row>
        <row r="931">
          <cell r="D931">
            <v>39946</v>
          </cell>
          <cell r="E931">
            <v>5.12</v>
          </cell>
          <cell r="G931">
            <v>39946</v>
          </cell>
          <cell r="H931">
            <v>9.01</v>
          </cell>
          <cell r="J931">
            <v>39944</v>
          </cell>
          <cell r="K931">
            <v>3.57</v>
          </cell>
          <cell r="M931">
            <v>39924</v>
          </cell>
          <cell r="N931">
            <v>3.8</v>
          </cell>
          <cell r="P931">
            <v>39946</v>
          </cell>
          <cell r="Q931">
            <v>69.09</v>
          </cell>
        </row>
        <row r="932">
          <cell r="D932">
            <v>39945</v>
          </cell>
          <cell r="E932">
            <v>5.46</v>
          </cell>
          <cell r="G932">
            <v>39945</v>
          </cell>
          <cell r="H932">
            <v>9.4499999999999993</v>
          </cell>
          <cell r="J932">
            <v>39941</v>
          </cell>
          <cell r="K932">
            <v>3.56</v>
          </cell>
          <cell r="M932">
            <v>39920</v>
          </cell>
          <cell r="N932">
            <v>3.9</v>
          </cell>
          <cell r="P932">
            <v>39945</v>
          </cell>
          <cell r="Q932">
            <v>71.709999999999994</v>
          </cell>
        </row>
        <row r="933">
          <cell r="D933">
            <v>39944</v>
          </cell>
          <cell r="E933">
            <v>5.63</v>
          </cell>
          <cell r="G933">
            <v>39944</v>
          </cell>
          <cell r="H933">
            <v>10</v>
          </cell>
          <cell r="J933">
            <v>39940</v>
          </cell>
          <cell r="K933">
            <v>3.65</v>
          </cell>
          <cell r="M933">
            <v>39919</v>
          </cell>
          <cell r="N933">
            <v>3.98</v>
          </cell>
          <cell r="P933">
            <v>39944</v>
          </cell>
          <cell r="Q933">
            <v>73.180000000000007</v>
          </cell>
        </row>
        <row r="934">
          <cell r="D934">
            <v>39941</v>
          </cell>
          <cell r="E934">
            <v>5.62</v>
          </cell>
          <cell r="G934">
            <v>39941</v>
          </cell>
          <cell r="H934">
            <v>10.19</v>
          </cell>
          <cell r="J934">
            <v>39939</v>
          </cell>
          <cell r="K934">
            <v>4.03</v>
          </cell>
          <cell r="M934">
            <v>39918</v>
          </cell>
          <cell r="N934">
            <v>3.96</v>
          </cell>
          <cell r="P934">
            <v>39941</v>
          </cell>
          <cell r="Q934">
            <v>73.77</v>
          </cell>
        </row>
        <row r="935">
          <cell r="D935">
            <v>39940</v>
          </cell>
          <cell r="E935">
            <v>5.75</v>
          </cell>
          <cell r="G935">
            <v>39940</v>
          </cell>
          <cell r="H935">
            <v>8.61</v>
          </cell>
          <cell r="J935">
            <v>39938</v>
          </cell>
          <cell r="K935">
            <v>3.64</v>
          </cell>
          <cell r="M935">
            <v>39917</v>
          </cell>
          <cell r="N935">
            <v>4</v>
          </cell>
          <cell r="P935">
            <v>39940</v>
          </cell>
          <cell r="Q935">
            <v>73.36</v>
          </cell>
        </row>
        <row r="936">
          <cell r="D936">
            <v>39939</v>
          </cell>
          <cell r="E936">
            <v>6.12</v>
          </cell>
          <cell r="G936">
            <v>39939</v>
          </cell>
          <cell r="H936">
            <v>7.75</v>
          </cell>
          <cell r="J936">
            <v>39937</v>
          </cell>
          <cell r="K936">
            <v>3.65</v>
          </cell>
          <cell r="M936">
            <v>39916</v>
          </cell>
          <cell r="N936">
            <v>3.6</v>
          </cell>
          <cell r="P936">
            <v>39939</v>
          </cell>
          <cell r="Q936">
            <v>77.069999999999993</v>
          </cell>
        </row>
        <row r="937">
          <cell r="D937">
            <v>39938</v>
          </cell>
          <cell r="E937">
            <v>6.05</v>
          </cell>
          <cell r="G937">
            <v>39938</v>
          </cell>
          <cell r="H937">
            <v>7.75</v>
          </cell>
          <cell r="J937">
            <v>39934</v>
          </cell>
          <cell r="K937">
            <v>3.66</v>
          </cell>
          <cell r="M937">
            <v>39911</v>
          </cell>
          <cell r="N937">
            <v>3.8</v>
          </cell>
          <cell r="P937">
            <v>39938</v>
          </cell>
          <cell r="Q937">
            <v>75.400000000000006</v>
          </cell>
        </row>
        <row r="938">
          <cell r="D938">
            <v>39937</v>
          </cell>
          <cell r="E938">
            <v>6.07</v>
          </cell>
          <cell r="G938">
            <v>39937</v>
          </cell>
          <cell r="H938">
            <v>7.24</v>
          </cell>
          <cell r="J938">
            <v>39933</v>
          </cell>
          <cell r="K938">
            <v>3.7275</v>
          </cell>
          <cell r="M938">
            <v>39910</v>
          </cell>
          <cell r="N938">
            <v>3.75</v>
          </cell>
          <cell r="P938">
            <v>39937</v>
          </cell>
          <cell r="Q938">
            <v>74.3</v>
          </cell>
        </row>
        <row r="939">
          <cell r="D939">
            <v>39934</v>
          </cell>
          <cell r="E939">
            <v>5.94</v>
          </cell>
          <cell r="G939">
            <v>39934</v>
          </cell>
          <cell r="H939">
            <v>7.27</v>
          </cell>
          <cell r="J939">
            <v>39932</v>
          </cell>
          <cell r="K939">
            <v>3.73</v>
          </cell>
          <cell r="M939">
            <v>39909</v>
          </cell>
          <cell r="N939">
            <v>3.85</v>
          </cell>
          <cell r="P939">
            <v>39934</v>
          </cell>
          <cell r="Q939">
            <v>72.3</v>
          </cell>
        </row>
        <row r="940">
          <cell r="D940">
            <v>39933</v>
          </cell>
          <cell r="E940">
            <v>5.64</v>
          </cell>
          <cell r="G940">
            <v>39933</v>
          </cell>
          <cell r="H940">
            <v>6.85</v>
          </cell>
          <cell r="J940">
            <v>39931</v>
          </cell>
          <cell r="K940">
            <v>3.83</v>
          </cell>
          <cell r="M940">
            <v>39906</v>
          </cell>
          <cell r="N940">
            <v>3.75</v>
          </cell>
          <cell r="P940">
            <v>39933</v>
          </cell>
          <cell r="Q940">
            <v>69.5</v>
          </cell>
        </row>
        <row r="941">
          <cell r="D941">
            <v>39932</v>
          </cell>
          <cell r="E941">
            <v>5.28</v>
          </cell>
          <cell r="G941">
            <v>39932</v>
          </cell>
          <cell r="H941">
            <v>6.78</v>
          </cell>
          <cell r="J941">
            <v>39930</v>
          </cell>
          <cell r="K941">
            <v>3.85</v>
          </cell>
          <cell r="M941">
            <v>39905</v>
          </cell>
          <cell r="N941">
            <v>3.5672000000000001</v>
          </cell>
          <cell r="P941">
            <v>39932</v>
          </cell>
          <cell r="Q941">
            <v>66.790000000000006</v>
          </cell>
        </row>
        <row r="942">
          <cell r="D942">
            <v>39931</v>
          </cell>
          <cell r="E942">
            <v>5.18</v>
          </cell>
          <cell r="G942">
            <v>39931</v>
          </cell>
          <cell r="H942">
            <v>6.5</v>
          </cell>
          <cell r="J942">
            <v>39927</v>
          </cell>
          <cell r="K942">
            <v>3.83</v>
          </cell>
          <cell r="M942">
            <v>39904</v>
          </cell>
          <cell r="N942">
            <v>3.2</v>
          </cell>
          <cell r="P942">
            <v>39931</v>
          </cell>
          <cell r="Q942">
            <v>68.099999999999994</v>
          </cell>
        </row>
        <row r="943">
          <cell r="D943">
            <v>39930</v>
          </cell>
          <cell r="E943">
            <v>5.34</v>
          </cell>
          <cell r="G943">
            <v>39930</v>
          </cell>
          <cell r="H943">
            <v>6.8</v>
          </cell>
          <cell r="J943">
            <v>39926</v>
          </cell>
          <cell r="K943">
            <v>3.85</v>
          </cell>
          <cell r="M943">
            <v>39903</v>
          </cell>
          <cell r="N943">
            <v>3.56</v>
          </cell>
          <cell r="P943">
            <v>39930</v>
          </cell>
          <cell r="Q943">
            <v>69.599999999999994</v>
          </cell>
        </row>
        <row r="944">
          <cell r="D944">
            <v>39927</v>
          </cell>
          <cell r="E944">
            <v>5.52</v>
          </cell>
          <cell r="G944">
            <v>39927</v>
          </cell>
          <cell r="H944">
            <v>6.87</v>
          </cell>
          <cell r="J944">
            <v>39925</v>
          </cell>
          <cell r="K944">
            <v>3.84</v>
          </cell>
          <cell r="M944">
            <v>39902</v>
          </cell>
          <cell r="N944">
            <v>3.03</v>
          </cell>
          <cell r="P944">
            <v>39927</v>
          </cell>
          <cell r="Q944">
            <v>68.760000000000005</v>
          </cell>
        </row>
        <row r="945">
          <cell r="D945">
            <v>39926</v>
          </cell>
          <cell r="E945">
            <v>5.46</v>
          </cell>
          <cell r="G945">
            <v>39926</v>
          </cell>
          <cell r="H945">
            <v>6.81</v>
          </cell>
          <cell r="J945">
            <v>39924</v>
          </cell>
          <cell r="K945">
            <v>3.84</v>
          </cell>
          <cell r="M945">
            <v>39899</v>
          </cell>
          <cell r="N945">
            <v>3.2</v>
          </cell>
          <cell r="P945">
            <v>39926</v>
          </cell>
          <cell r="Q945">
            <v>68.27</v>
          </cell>
        </row>
        <row r="946">
          <cell r="D946">
            <v>39925</v>
          </cell>
          <cell r="E946">
            <v>5.36</v>
          </cell>
          <cell r="G946">
            <v>39925</v>
          </cell>
          <cell r="H946">
            <v>7.07</v>
          </cell>
          <cell r="J946">
            <v>39923</v>
          </cell>
          <cell r="K946">
            <v>3.72</v>
          </cell>
          <cell r="M946">
            <v>39898</v>
          </cell>
          <cell r="N946">
            <v>3.3</v>
          </cell>
          <cell r="P946">
            <v>39925</v>
          </cell>
          <cell r="Q946">
            <v>67.2</v>
          </cell>
        </row>
        <row r="947">
          <cell r="D947">
            <v>39924</v>
          </cell>
          <cell r="E947">
            <v>5.21</v>
          </cell>
          <cell r="G947">
            <v>39924</v>
          </cell>
          <cell r="H947">
            <v>6.9</v>
          </cell>
          <cell r="J947">
            <v>39920</v>
          </cell>
          <cell r="K947">
            <v>3.75</v>
          </cell>
          <cell r="M947">
            <v>39897</v>
          </cell>
          <cell r="N947">
            <v>3.28</v>
          </cell>
          <cell r="P947">
            <v>39924</v>
          </cell>
          <cell r="Q947">
            <v>67.03</v>
          </cell>
        </row>
        <row r="948">
          <cell r="D948">
            <v>39923</v>
          </cell>
          <cell r="E948">
            <v>4.8499999999999996</v>
          </cell>
          <cell r="G948">
            <v>39923</v>
          </cell>
          <cell r="H948">
            <v>6.78</v>
          </cell>
          <cell r="J948">
            <v>39919</v>
          </cell>
          <cell r="K948">
            <v>3.75</v>
          </cell>
          <cell r="M948">
            <v>39896</v>
          </cell>
          <cell r="N948">
            <v>3.18</v>
          </cell>
          <cell r="P948">
            <v>39923</v>
          </cell>
          <cell r="Q948">
            <v>65.099999999999994</v>
          </cell>
        </row>
        <row r="949">
          <cell r="D949">
            <v>39920</v>
          </cell>
          <cell r="E949">
            <v>5.86</v>
          </cell>
          <cell r="G949">
            <v>39920</v>
          </cell>
          <cell r="H949">
            <v>7.35</v>
          </cell>
          <cell r="J949">
            <v>39918</v>
          </cell>
          <cell r="K949">
            <v>3.82</v>
          </cell>
          <cell r="M949">
            <v>39895</v>
          </cell>
          <cell r="N949">
            <v>3.14</v>
          </cell>
          <cell r="P949">
            <v>39920</v>
          </cell>
          <cell r="Q949">
            <v>68.347999999999999</v>
          </cell>
        </row>
        <row r="950">
          <cell r="D950">
            <v>39919</v>
          </cell>
          <cell r="E950">
            <v>5.3</v>
          </cell>
          <cell r="G950">
            <v>39919</v>
          </cell>
          <cell r="H950">
            <v>7.11</v>
          </cell>
          <cell r="J950">
            <v>39917</v>
          </cell>
          <cell r="K950">
            <v>3.77</v>
          </cell>
          <cell r="M950">
            <v>39892</v>
          </cell>
          <cell r="N950">
            <v>3.24</v>
          </cell>
          <cell r="P950">
            <v>39919</v>
          </cell>
          <cell r="Q950">
            <v>67.510000000000005</v>
          </cell>
        </row>
        <row r="951">
          <cell r="D951">
            <v>39918</v>
          </cell>
          <cell r="E951">
            <v>4.9000000000000004</v>
          </cell>
          <cell r="G951">
            <v>39918</v>
          </cell>
          <cell r="H951">
            <v>6.84</v>
          </cell>
          <cell r="J951">
            <v>39916</v>
          </cell>
          <cell r="K951">
            <v>3.74</v>
          </cell>
          <cell r="M951">
            <v>39891</v>
          </cell>
          <cell r="N951">
            <v>3.18</v>
          </cell>
          <cell r="P951">
            <v>39918</v>
          </cell>
          <cell r="Q951">
            <v>63.9</v>
          </cell>
        </row>
        <row r="952">
          <cell r="D952">
            <v>39917</v>
          </cell>
          <cell r="E952">
            <v>4.8099999999999996</v>
          </cell>
          <cell r="G952">
            <v>39917</v>
          </cell>
          <cell r="H952">
            <v>6.92</v>
          </cell>
          <cell r="J952">
            <v>39912</v>
          </cell>
          <cell r="K952">
            <v>3.77</v>
          </cell>
          <cell r="M952">
            <v>39890</v>
          </cell>
          <cell r="N952">
            <v>3.19</v>
          </cell>
          <cell r="P952">
            <v>39917</v>
          </cell>
          <cell r="Q952">
            <v>64.22</v>
          </cell>
        </row>
        <row r="953">
          <cell r="D953">
            <v>39916</v>
          </cell>
          <cell r="E953">
            <v>4.7</v>
          </cell>
          <cell r="G953">
            <v>39916</v>
          </cell>
          <cell r="H953">
            <v>7.21</v>
          </cell>
          <cell r="J953">
            <v>39911</v>
          </cell>
          <cell r="K953">
            <v>3.82</v>
          </cell>
          <cell r="M953">
            <v>39889</v>
          </cell>
          <cell r="N953">
            <v>3.2</v>
          </cell>
          <cell r="P953">
            <v>39916</v>
          </cell>
          <cell r="Q953">
            <v>64</v>
          </cell>
        </row>
        <row r="954">
          <cell r="D954">
            <v>39912</v>
          </cell>
          <cell r="E954">
            <v>4.75</v>
          </cell>
          <cell r="G954">
            <v>39912</v>
          </cell>
          <cell r="H954">
            <v>7.26</v>
          </cell>
          <cell r="J954">
            <v>39910</v>
          </cell>
          <cell r="K954">
            <v>3.69</v>
          </cell>
          <cell r="M954">
            <v>39888</v>
          </cell>
          <cell r="N954">
            <v>3.01</v>
          </cell>
          <cell r="P954">
            <v>39912</v>
          </cell>
          <cell r="Q954">
            <v>64.180000000000007</v>
          </cell>
        </row>
        <row r="955">
          <cell r="D955">
            <v>39911</v>
          </cell>
          <cell r="E955">
            <v>4.0949999999999998</v>
          </cell>
          <cell r="G955">
            <v>39911</v>
          </cell>
          <cell r="H955">
            <v>6.77</v>
          </cell>
          <cell r="J955">
            <v>39909</v>
          </cell>
          <cell r="K955">
            <v>3.69</v>
          </cell>
          <cell r="M955">
            <v>39885</v>
          </cell>
          <cell r="N955">
            <v>2.75</v>
          </cell>
          <cell r="P955">
            <v>39911</v>
          </cell>
          <cell r="Q955">
            <v>61.91</v>
          </cell>
        </row>
        <row r="956">
          <cell r="D956">
            <v>39910</v>
          </cell>
          <cell r="E956">
            <v>4.2050000000000001</v>
          </cell>
          <cell r="G956">
            <v>39910</v>
          </cell>
          <cell r="H956">
            <v>6.61</v>
          </cell>
          <cell r="J956">
            <v>39906</v>
          </cell>
          <cell r="K956">
            <v>3.7</v>
          </cell>
          <cell r="M956">
            <v>39884</v>
          </cell>
          <cell r="N956">
            <v>2.2999999999999998</v>
          </cell>
          <cell r="P956">
            <v>39910</v>
          </cell>
          <cell r="Q956">
            <v>59.95</v>
          </cell>
        </row>
        <row r="957">
          <cell r="D957">
            <v>39909</v>
          </cell>
          <cell r="E957">
            <v>4.5923999999999996</v>
          </cell>
          <cell r="G957">
            <v>39909</v>
          </cell>
          <cell r="H957">
            <v>6.88</v>
          </cell>
          <cell r="J957">
            <v>39905</v>
          </cell>
          <cell r="K957">
            <v>3.78</v>
          </cell>
          <cell r="M957">
            <v>39883</v>
          </cell>
          <cell r="N957">
            <v>2.23</v>
          </cell>
          <cell r="P957">
            <v>39909</v>
          </cell>
          <cell r="Q957">
            <v>63.972999999999999</v>
          </cell>
        </row>
        <row r="958">
          <cell r="D958">
            <v>39906</v>
          </cell>
          <cell r="E958">
            <v>4.34</v>
          </cell>
          <cell r="G958">
            <v>39906</v>
          </cell>
          <cell r="H958">
            <v>6.97</v>
          </cell>
          <cell r="J958">
            <v>39904</v>
          </cell>
          <cell r="K958">
            <v>3.86</v>
          </cell>
          <cell r="M958">
            <v>39882</v>
          </cell>
          <cell r="N958">
            <v>2.15</v>
          </cell>
          <cell r="P958">
            <v>39906</v>
          </cell>
          <cell r="Q958">
            <v>59.29</v>
          </cell>
        </row>
        <row r="959">
          <cell r="D959">
            <v>39905</v>
          </cell>
          <cell r="E959">
            <v>3.944</v>
          </cell>
          <cell r="G959">
            <v>39905</v>
          </cell>
          <cell r="H959">
            <v>6.67</v>
          </cell>
          <cell r="J959">
            <v>39903</v>
          </cell>
          <cell r="K959">
            <v>4.0599999999999996</v>
          </cell>
          <cell r="M959">
            <v>39881</v>
          </cell>
          <cell r="N959">
            <v>2.2759999999999998</v>
          </cell>
          <cell r="P959">
            <v>39905</v>
          </cell>
          <cell r="Q959">
            <v>49.09</v>
          </cell>
        </row>
        <row r="960">
          <cell r="D960">
            <v>39904</v>
          </cell>
          <cell r="E960">
            <v>3.69</v>
          </cell>
          <cell r="G960">
            <v>39904</v>
          </cell>
          <cell r="H960">
            <v>6.15</v>
          </cell>
          <cell r="J960">
            <v>39902</v>
          </cell>
          <cell r="K960">
            <v>3.895</v>
          </cell>
          <cell r="M960">
            <v>39878</v>
          </cell>
          <cell r="N960">
            <v>2.3439999999999999</v>
          </cell>
          <cell r="P960">
            <v>39904</v>
          </cell>
          <cell r="Q960">
            <v>45.62</v>
          </cell>
        </row>
        <row r="961">
          <cell r="D961">
            <v>39903</v>
          </cell>
          <cell r="E961">
            <v>3.64</v>
          </cell>
          <cell r="G961">
            <v>39903</v>
          </cell>
          <cell r="H961">
            <v>5.62</v>
          </cell>
          <cell r="J961">
            <v>39899</v>
          </cell>
          <cell r="K961">
            <v>4.0599999999999996</v>
          </cell>
          <cell r="M961">
            <v>39877</v>
          </cell>
          <cell r="N961">
            <v>2.14</v>
          </cell>
          <cell r="P961">
            <v>39903</v>
          </cell>
          <cell r="Q961">
            <v>43.11</v>
          </cell>
        </row>
        <row r="962">
          <cell r="D962">
            <v>39902</v>
          </cell>
          <cell r="E962">
            <v>3.55</v>
          </cell>
          <cell r="G962">
            <v>39902</v>
          </cell>
          <cell r="H962">
            <v>5.76</v>
          </cell>
          <cell r="J962">
            <v>39898</v>
          </cell>
          <cell r="K962">
            <v>3.92</v>
          </cell>
          <cell r="M962">
            <v>39876</v>
          </cell>
          <cell r="N962">
            <v>2.0699999999999998</v>
          </cell>
          <cell r="P962">
            <v>39902</v>
          </cell>
          <cell r="Q962">
            <v>43.25</v>
          </cell>
        </row>
        <row r="963">
          <cell r="D963">
            <v>39899</v>
          </cell>
          <cell r="E963">
            <v>3.87</v>
          </cell>
          <cell r="G963">
            <v>39899</v>
          </cell>
          <cell r="H963">
            <v>5.61</v>
          </cell>
          <cell r="J963">
            <v>39897</v>
          </cell>
          <cell r="K963">
            <v>3.86</v>
          </cell>
          <cell r="M963">
            <v>39875</v>
          </cell>
          <cell r="N963">
            <v>1.96</v>
          </cell>
          <cell r="P963">
            <v>39899</v>
          </cell>
          <cell r="Q963">
            <v>45.01</v>
          </cell>
        </row>
        <row r="964">
          <cell r="D964">
            <v>39898</v>
          </cell>
          <cell r="E964">
            <v>3.77</v>
          </cell>
          <cell r="G964">
            <v>39898</v>
          </cell>
          <cell r="H964">
            <v>6.03</v>
          </cell>
          <cell r="J964">
            <v>39896</v>
          </cell>
          <cell r="K964">
            <v>3.81</v>
          </cell>
          <cell r="M964">
            <v>39874</v>
          </cell>
          <cell r="N964">
            <v>1.98</v>
          </cell>
          <cell r="P964">
            <v>39898</v>
          </cell>
          <cell r="Q964">
            <v>45.04</v>
          </cell>
        </row>
        <row r="965">
          <cell r="D965">
            <v>39897</v>
          </cell>
          <cell r="E965">
            <v>3.6</v>
          </cell>
          <cell r="G965">
            <v>39897</v>
          </cell>
          <cell r="H965">
            <v>6.09</v>
          </cell>
          <cell r="J965">
            <v>39895</v>
          </cell>
          <cell r="K965">
            <v>3.88</v>
          </cell>
          <cell r="M965">
            <v>39871</v>
          </cell>
          <cell r="N965">
            <v>1.95</v>
          </cell>
          <cell r="P965">
            <v>39897</v>
          </cell>
          <cell r="Q965">
            <v>42.92</v>
          </cell>
        </row>
        <row r="966">
          <cell r="D966">
            <v>39896</v>
          </cell>
          <cell r="E966">
            <v>3.21</v>
          </cell>
          <cell r="G966">
            <v>39896</v>
          </cell>
          <cell r="H966">
            <v>6.14</v>
          </cell>
          <cell r="J966">
            <v>39892</v>
          </cell>
          <cell r="K966">
            <v>3.86</v>
          </cell>
          <cell r="M966">
            <v>39870</v>
          </cell>
          <cell r="N966">
            <v>1.94</v>
          </cell>
          <cell r="P966">
            <v>39896</v>
          </cell>
          <cell r="Q966">
            <v>44.23</v>
          </cell>
        </row>
        <row r="967">
          <cell r="D967">
            <v>39895</v>
          </cell>
          <cell r="E967">
            <v>2.95</v>
          </cell>
          <cell r="G967">
            <v>39895</v>
          </cell>
          <cell r="H967">
            <v>5.97</v>
          </cell>
          <cell r="J967">
            <v>39891</v>
          </cell>
          <cell r="K967">
            <v>3.84</v>
          </cell>
          <cell r="M967">
            <v>39869</v>
          </cell>
          <cell r="N967">
            <v>2.6680000000000001</v>
          </cell>
          <cell r="P967">
            <v>39895</v>
          </cell>
          <cell r="Q967">
            <v>44.9</v>
          </cell>
        </row>
        <row r="968">
          <cell r="D968">
            <v>39892</v>
          </cell>
          <cell r="E968">
            <v>2.89</v>
          </cell>
          <cell r="G968">
            <v>39892</v>
          </cell>
          <cell r="H968">
            <v>5.95</v>
          </cell>
          <cell r="J968">
            <v>39890</v>
          </cell>
          <cell r="K968">
            <v>3.96</v>
          </cell>
          <cell r="M968">
            <v>39868</v>
          </cell>
          <cell r="N968">
            <v>2.54</v>
          </cell>
          <cell r="P968">
            <v>39892</v>
          </cell>
          <cell r="Q968">
            <v>41.68</v>
          </cell>
        </row>
        <row r="969">
          <cell r="D969">
            <v>39891</v>
          </cell>
          <cell r="E969">
            <v>3.03</v>
          </cell>
          <cell r="G969">
            <v>39891</v>
          </cell>
          <cell r="H969">
            <v>5.92</v>
          </cell>
          <cell r="J969">
            <v>39889</v>
          </cell>
          <cell r="K969">
            <v>3.97</v>
          </cell>
          <cell r="M969">
            <v>39867</v>
          </cell>
          <cell r="N969">
            <v>2.6920000000000002</v>
          </cell>
          <cell r="P969">
            <v>39891</v>
          </cell>
          <cell r="Q969">
            <v>42.34</v>
          </cell>
        </row>
        <row r="970">
          <cell r="D970">
            <v>39890</v>
          </cell>
          <cell r="E970">
            <v>2.97</v>
          </cell>
          <cell r="G970">
            <v>39890</v>
          </cell>
          <cell r="H970">
            <v>5.8</v>
          </cell>
          <cell r="J970">
            <v>39888</v>
          </cell>
          <cell r="K970">
            <v>3.95</v>
          </cell>
          <cell r="M970">
            <v>39864</v>
          </cell>
          <cell r="N970">
            <v>2.9140000000000001</v>
          </cell>
          <cell r="P970">
            <v>39890</v>
          </cell>
          <cell r="Q970">
            <v>40.98</v>
          </cell>
        </row>
        <row r="971">
          <cell r="D971">
            <v>39889</v>
          </cell>
          <cell r="E971">
            <v>2.85</v>
          </cell>
          <cell r="G971">
            <v>39889</v>
          </cell>
          <cell r="H971">
            <v>5.7</v>
          </cell>
          <cell r="J971">
            <v>39885</v>
          </cell>
          <cell r="K971">
            <v>3.95</v>
          </cell>
          <cell r="M971">
            <v>39863</v>
          </cell>
          <cell r="N971">
            <v>2.95</v>
          </cell>
          <cell r="P971">
            <v>39889</v>
          </cell>
          <cell r="Q971">
            <v>41.66</v>
          </cell>
        </row>
        <row r="972">
          <cell r="D972">
            <v>39888</v>
          </cell>
          <cell r="E972">
            <v>2.87</v>
          </cell>
          <cell r="G972">
            <v>39888</v>
          </cell>
          <cell r="H972">
            <v>5.46</v>
          </cell>
          <cell r="J972">
            <v>39884</v>
          </cell>
          <cell r="K972">
            <v>3.85</v>
          </cell>
          <cell r="M972">
            <v>39862</v>
          </cell>
          <cell r="N972">
            <v>3</v>
          </cell>
          <cell r="P972">
            <v>39888</v>
          </cell>
          <cell r="Q972">
            <v>39.17</v>
          </cell>
        </row>
        <row r="973">
          <cell r="D973">
            <v>39885</v>
          </cell>
          <cell r="E973">
            <v>2.71</v>
          </cell>
          <cell r="G973">
            <v>39885</v>
          </cell>
          <cell r="H973">
            <v>5.51</v>
          </cell>
          <cell r="J973">
            <v>39883</v>
          </cell>
          <cell r="K973">
            <v>3.81</v>
          </cell>
          <cell r="M973">
            <v>39861</v>
          </cell>
          <cell r="N973">
            <v>3.05</v>
          </cell>
          <cell r="P973">
            <v>39885</v>
          </cell>
          <cell r="Q973">
            <v>40.18</v>
          </cell>
        </row>
        <row r="974">
          <cell r="D974">
            <v>39884</v>
          </cell>
          <cell r="E974">
            <v>2.92</v>
          </cell>
          <cell r="G974">
            <v>39884</v>
          </cell>
          <cell r="H974">
            <v>5.72</v>
          </cell>
          <cell r="J974">
            <v>39882</v>
          </cell>
          <cell r="K974">
            <v>3.65</v>
          </cell>
          <cell r="M974">
            <v>39857</v>
          </cell>
          <cell r="N974">
            <v>3</v>
          </cell>
          <cell r="P974">
            <v>39884</v>
          </cell>
          <cell r="Q974">
            <v>41.46</v>
          </cell>
        </row>
        <row r="975">
          <cell r="D975">
            <v>39883</v>
          </cell>
          <cell r="E975">
            <v>2.9350000000000001</v>
          </cell>
          <cell r="G975">
            <v>39883</v>
          </cell>
          <cell r="H975">
            <v>5.32</v>
          </cell>
          <cell r="J975">
            <v>39881</v>
          </cell>
          <cell r="K975">
            <v>3.5</v>
          </cell>
          <cell r="M975">
            <v>39855</v>
          </cell>
          <cell r="N975">
            <v>3.01</v>
          </cell>
          <cell r="P975">
            <v>39883</v>
          </cell>
          <cell r="Q975">
            <v>40.340000000000003</v>
          </cell>
        </row>
        <row r="976">
          <cell r="D976">
            <v>39882</v>
          </cell>
          <cell r="E976">
            <v>3.16</v>
          </cell>
          <cell r="G976">
            <v>39882</v>
          </cell>
          <cell r="H976">
            <v>5.19</v>
          </cell>
          <cell r="J976">
            <v>39878</v>
          </cell>
          <cell r="K976">
            <v>3.3</v>
          </cell>
          <cell r="M976">
            <v>39853</v>
          </cell>
          <cell r="N976">
            <v>3.03</v>
          </cell>
          <cell r="P976">
            <v>39882</v>
          </cell>
          <cell r="Q976">
            <v>38.963000000000001</v>
          </cell>
        </row>
        <row r="977">
          <cell r="D977">
            <v>39881</v>
          </cell>
          <cell r="E977">
            <v>3.21</v>
          </cell>
          <cell r="G977">
            <v>39881</v>
          </cell>
          <cell r="H977">
            <v>5.13</v>
          </cell>
          <cell r="J977">
            <v>39877</v>
          </cell>
          <cell r="K977">
            <v>3.23</v>
          </cell>
          <cell r="M977">
            <v>39850</v>
          </cell>
          <cell r="N977">
            <v>3.11</v>
          </cell>
          <cell r="P977">
            <v>39881</v>
          </cell>
          <cell r="Q977">
            <v>35.25</v>
          </cell>
        </row>
        <row r="978">
          <cell r="D978">
            <v>39878</v>
          </cell>
          <cell r="E978">
            <v>3.47</v>
          </cell>
          <cell r="G978">
            <v>39878</v>
          </cell>
          <cell r="H978">
            <v>5.75</v>
          </cell>
          <cell r="J978">
            <v>39876</v>
          </cell>
          <cell r="K978">
            <v>3.22</v>
          </cell>
          <cell r="M978">
            <v>39849</v>
          </cell>
          <cell r="N978">
            <v>3.1</v>
          </cell>
          <cell r="P978">
            <v>39878</v>
          </cell>
          <cell r="Q978">
            <v>36.340000000000003</v>
          </cell>
        </row>
        <row r="979">
          <cell r="D979">
            <v>39877</v>
          </cell>
          <cell r="E979">
            <v>3.69</v>
          </cell>
          <cell r="G979">
            <v>39877</v>
          </cell>
          <cell r="H979">
            <v>5.38</v>
          </cell>
          <cell r="J979">
            <v>39875</v>
          </cell>
          <cell r="K979">
            <v>3.17</v>
          </cell>
          <cell r="M979">
            <v>39847</v>
          </cell>
          <cell r="N979">
            <v>3.08</v>
          </cell>
          <cell r="P979">
            <v>39877</v>
          </cell>
          <cell r="Q979">
            <v>37.979999999999997</v>
          </cell>
        </row>
        <row r="980">
          <cell r="D980">
            <v>39876</v>
          </cell>
          <cell r="E980">
            <v>3.75</v>
          </cell>
          <cell r="G980">
            <v>39876</v>
          </cell>
          <cell r="H980">
            <v>5.17</v>
          </cell>
          <cell r="J980">
            <v>39874</v>
          </cell>
          <cell r="K980">
            <v>3.28</v>
          </cell>
          <cell r="M980">
            <v>39846</v>
          </cell>
          <cell r="N980">
            <v>3.08</v>
          </cell>
          <cell r="P980">
            <v>39876</v>
          </cell>
          <cell r="Q980">
            <v>40.49</v>
          </cell>
        </row>
        <row r="981">
          <cell r="D981">
            <v>39875</v>
          </cell>
          <cell r="E981">
            <v>3.64</v>
          </cell>
          <cell r="G981">
            <v>39875</v>
          </cell>
          <cell r="H981">
            <v>5.13</v>
          </cell>
          <cell r="J981">
            <v>39871</v>
          </cell>
          <cell r="K981">
            <v>3.35</v>
          </cell>
          <cell r="M981">
            <v>39843</v>
          </cell>
          <cell r="N981">
            <v>2.99</v>
          </cell>
          <cell r="P981">
            <v>39875</v>
          </cell>
          <cell r="Q981">
            <v>37.950000000000003</v>
          </cell>
        </row>
        <row r="982">
          <cell r="D982">
            <v>39874</v>
          </cell>
          <cell r="E982">
            <v>3.65</v>
          </cell>
          <cell r="G982">
            <v>39874</v>
          </cell>
          <cell r="H982">
            <v>5.38</v>
          </cell>
          <cell r="J982">
            <v>39870</v>
          </cell>
          <cell r="K982">
            <v>3.47</v>
          </cell>
          <cell r="M982">
            <v>39842</v>
          </cell>
          <cell r="N982">
            <v>2.73</v>
          </cell>
          <cell r="P982">
            <v>39874</v>
          </cell>
          <cell r="Q982">
            <v>36.880000000000003</v>
          </cell>
        </row>
        <row r="983">
          <cell r="D983">
            <v>39871</v>
          </cell>
          <cell r="E983">
            <v>3.9</v>
          </cell>
          <cell r="G983">
            <v>39871</v>
          </cell>
          <cell r="H983">
            <v>5.46</v>
          </cell>
          <cell r="J983">
            <v>39869</v>
          </cell>
          <cell r="K983">
            <v>3.38</v>
          </cell>
          <cell r="M983">
            <v>39841</v>
          </cell>
          <cell r="N983">
            <v>2.95</v>
          </cell>
          <cell r="P983">
            <v>39871</v>
          </cell>
          <cell r="Q983">
            <v>39.94</v>
          </cell>
        </row>
        <row r="984">
          <cell r="D984">
            <v>39870</v>
          </cell>
          <cell r="E984">
            <v>3.79</v>
          </cell>
          <cell r="G984">
            <v>39870</v>
          </cell>
          <cell r="H984">
            <v>6.25</v>
          </cell>
          <cell r="J984">
            <v>39868</v>
          </cell>
          <cell r="K984">
            <v>3.41</v>
          </cell>
          <cell r="M984">
            <v>39840</v>
          </cell>
          <cell r="N984">
            <v>2.9</v>
          </cell>
          <cell r="P984">
            <v>39870</v>
          </cell>
          <cell r="Q984">
            <v>39.54</v>
          </cell>
        </row>
        <row r="985">
          <cell r="D985">
            <v>39869</v>
          </cell>
          <cell r="E985">
            <v>3.71</v>
          </cell>
          <cell r="G985">
            <v>39869</v>
          </cell>
          <cell r="H985">
            <v>6.27</v>
          </cell>
          <cell r="J985">
            <v>39867</v>
          </cell>
          <cell r="K985">
            <v>3.42</v>
          </cell>
          <cell r="M985">
            <v>39839</v>
          </cell>
          <cell r="N985">
            <v>2.6</v>
          </cell>
          <cell r="P985">
            <v>39869</v>
          </cell>
          <cell r="Q985">
            <v>41.17</v>
          </cell>
        </row>
        <row r="986">
          <cell r="D986">
            <v>39868</v>
          </cell>
          <cell r="E986">
            <v>3.55</v>
          </cell>
          <cell r="G986">
            <v>39868</v>
          </cell>
          <cell r="H986">
            <v>6.57</v>
          </cell>
          <cell r="J986">
            <v>39864</v>
          </cell>
          <cell r="K986">
            <v>3.4</v>
          </cell>
          <cell r="M986">
            <v>39836</v>
          </cell>
          <cell r="N986">
            <v>2.9</v>
          </cell>
          <cell r="P986">
            <v>39868</v>
          </cell>
          <cell r="Q986">
            <v>40.42</v>
          </cell>
        </row>
        <row r="987">
          <cell r="D987">
            <v>39867</v>
          </cell>
          <cell r="E987">
            <v>3.36</v>
          </cell>
          <cell r="G987">
            <v>39867</v>
          </cell>
          <cell r="H987">
            <v>6.58</v>
          </cell>
          <cell r="J987">
            <v>39863</v>
          </cell>
          <cell r="K987">
            <v>3.47</v>
          </cell>
          <cell r="M987">
            <v>39834</v>
          </cell>
          <cell r="N987">
            <v>3.2</v>
          </cell>
          <cell r="P987">
            <v>39867</v>
          </cell>
          <cell r="Q987">
            <v>37.42</v>
          </cell>
        </row>
        <row r="988">
          <cell r="D988">
            <v>39864</v>
          </cell>
          <cell r="E988">
            <v>3.4</v>
          </cell>
          <cell r="G988">
            <v>39864</v>
          </cell>
          <cell r="H988">
            <v>6.51</v>
          </cell>
          <cell r="J988">
            <v>39862</v>
          </cell>
          <cell r="K988">
            <v>3.43</v>
          </cell>
          <cell r="M988">
            <v>39833</v>
          </cell>
          <cell r="N988">
            <v>3.2</v>
          </cell>
          <cell r="P988">
            <v>39864</v>
          </cell>
          <cell r="Q988">
            <v>39.15</v>
          </cell>
        </row>
        <row r="989">
          <cell r="D989">
            <v>39863</v>
          </cell>
          <cell r="E989">
            <v>3.56</v>
          </cell>
          <cell r="G989">
            <v>39863</v>
          </cell>
          <cell r="H989">
            <v>6.3</v>
          </cell>
          <cell r="J989">
            <v>39861</v>
          </cell>
          <cell r="K989">
            <v>3.5</v>
          </cell>
          <cell r="M989">
            <v>39828</v>
          </cell>
          <cell r="N989">
            <v>3.2</v>
          </cell>
          <cell r="P989">
            <v>39863</v>
          </cell>
          <cell r="Q989">
            <v>42.09</v>
          </cell>
        </row>
        <row r="990">
          <cell r="D990">
            <v>39862</v>
          </cell>
          <cell r="E990">
            <v>3.68</v>
          </cell>
          <cell r="G990">
            <v>39862</v>
          </cell>
          <cell r="H990">
            <v>6.29</v>
          </cell>
          <cell r="J990">
            <v>39857</v>
          </cell>
          <cell r="K990">
            <v>3.6</v>
          </cell>
          <cell r="M990">
            <v>39827</v>
          </cell>
          <cell r="N990">
            <v>3.31</v>
          </cell>
          <cell r="P990">
            <v>39862</v>
          </cell>
          <cell r="Q990">
            <v>42.1</v>
          </cell>
        </row>
        <row r="991">
          <cell r="D991">
            <v>39861</v>
          </cell>
          <cell r="E991">
            <v>3.81</v>
          </cell>
          <cell r="G991">
            <v>39861</v>
          </cell>
          <cell r="H991">
            <v>6.55</v>
          </cell>
          <cell r="J991">
            <v>39856</v>
          </cell>
          <cell r="K991">
            <v>3.61</v>
          </cell>
          <cell r="M991">
            <v>39826</v>
          </cell>
          <cell r="N991">
            <v>3.6</v>
          </cell>
          <cell r="P991">
            <v>39861</v>
          </cell>
          <cell r="Q991">
            <v>44.64</v>
          </cell>
        </row>
        <row r="992">
          <cell r="D992">
            <v>39857</v>
          </cell>
          <cell r="E992">
            <v>3.98</v>
          </cell>
          <cell r="G992">
            <v>39857</v>
          </cell>
          <cell r="H992">
            <v>6.34</v>
          </cell>
          <cell r="J992">
            <v>39855</v>
          </cell>
          <cell r="K992">
            <v>3.54</v>
          </cell>
          <cell r="M992">
            <v>39821</v>
          </cell>
          <cell r="N992">
            <v>3.64</v>
          </cell>
          <cell r="P992">
            <v>39857</v>
          </cell>
          <cell r="Q992">
            <v>48.51</v>
          </cell>
        </row>
        <row r="993">
          <cell r="D993">
            <v>39856</v>
          </cell>
          <cell r="E993">
            <v>3.95</v>
          </cell>
          <cell r="G993">
            <v>39856</v>
          </cell>
          <cell r="H993">
            <v>6.28</v>
          </cell>
          <cell r="J993">
            <v>39854</v>
          </cell>
          <cell r="K993">
            <v>3.53</v>
          </cell>
          <cell r="M993">
            <v>39820</v>
          </cell>
          <cell r="N993">
            <v>3.67</v>
          </cell>
          <cell r="P993">
            <v>39856</v>
          </cell>
          <cell r="Q993">
            <v>50.42</v>
          </cell>
        </row>
        <row r="994">
          <cell r="D994">
            <v>39855</v>
          </cell>
          <cell r="E994">
            <v>4.13</v>
          </cell>
          <cell r="G994">
            <v>39855</v>
          </cell>
          <cell r="H994">
            <v>6.14</v>
          </cell>
          <cell r="J994">
            <v>39853</v>
          </cell>
          <cell r="K994">
            <v>3.68</v>
          </cell>
          <cell r="M994">
            <v>39819</v>
          </cell>
          <cell r="N994">
            <v>3.75</v>
          </cell>
          <cell r="P994">
            <v>39855</v>
          </cell>
          <cell r="Q994">
            <v>48.76</v>
          </cell>
        </row>
        <row r="995">
          <cell r="D995">
            <v>39854</v>
          </cell>
          <cell r="E995">
            <v>4.5199999999999996</v>
          </cell>
          <cell r="G995">
            <v>39854</v>
          </cell>
          <cell r="H995">
            <v>6.08</v>
          </cell>
          <cell r="J995">
            <v>39850</v>
          </cell>
          <cell r="K995">
            <v>3.49</v>
          </cell>
          <cell r="M995">
            <v>39818</v>
          </cell>
          <cell r="N995">
            <v>3.74</v>
          </cell>
          <cell r="P995">
            <v>39854</v>
          </cell>
          <cell r="Q995">
            <v>57.037999999999997</v>
          </cell>
        </row>
        <row r="996">
          <cell r="D996">
            <v>39853</v>
          </cell>
          <cell r="E996">
            <v>4.8899999999999997</v>
          </cell>
          <cell r="G996">
            <v>39853</v>
          </cell>
          <cell r="H996">
            <v>6.34</v>
          </cell>
          <cell r="J996">
            <v>39849</v>
          </cell>
          <cell r="K996">
            <v>3.66</v>
          </cell>
          <cell r="M996">
            <v>39815</v>
          </cell>
          <cell r="N996">
            <v>3.7099000000000002</v>
          </cell>
          <cell r="P996">
            <v>39853</v>
          </cell>
          <cell r="Q996">
            <v>59</v>
          </cell>
        </row>
        <row r="997">
          <cell r="D997">
            <v>39850</v>
          </cell>
          <cell r="E997">
            <v>4.9000000000000004</v>
          </cell>
          <cell r="G997">
            <v>39850</v>
          </cell>
          <cell r="H997">
            <v>6.79</v>
          </cell>
          <cell r="J997">
            <v>39848</v>
          </cell>
          <cell r="K997">
            <v>3.67</v>
          </cell>
          <cell r="M997">
            <v>39813</v>
          </cell>
          <cell r="N997">
            <v>3.64</v>
          </cell>
          <cell r="P997">
            <v>39850</v>
          </cell>
          <cell r="Q997">
            <v>59.17</v>
          </cell>
        </row>
        <row r="998">
          <cell r="D998">
            <v>39849</v>
          </cell>
          <cell r="E998">
            <v>4.9800000000000004</v>
          </cell>
          <cell r="G998">
            <v>39849</v>
          </cell>
          <cell r="H998">
            <v>6.66</v>
          </cell>
          <cell r="J998">
            <v>39847</v>
          </cell>
          <cell r="K998">
            <v>3.73</v>
          </cell>
          <cell r="M998">
            <v>39812</v>
          </cell>
          <cell r="N998">
            <v>3.37</v>
          </cell>
          <cell r="P998">
            <v>39849</v>
          </cell>
          <cell r="Q998">
            <v>56.8</v>
          </cell>
        </row>
        <row r="999">
          <cell r="D999">
            <v>39848</v>
          </cell>
          <cell r="E999">
            <v>5.07</v>
          </cell>
          <cell r="G999">
            <v>39848</v>
          </cell>
          <cell r="H999">
            <v>6.35</v>
          </cell>
          <cell r="J999">
            <v>39846</v>
          </cell>
          <cell r="K999">
            <v>3.62</v>
          </cell>
          <cell r="M999">
            <v>39811</v>
          </cell>
          <cell r="N999">
            <v>3.1200999999999999</v>
          </cell>
          <cell r="P999">
            <v>39848</v>
          </cell>
          <cell r="Q999">
            <v>55.96</v>
          </cell>
        </row>
        <row r="1000">
          <cell r="D1000">
            <v>39847</v>
          </cell>
          <cell r="E1000">
            <v>5.26</v>
          </cell>
          <cell r="G1000">
            <v>39847</v>
          </cell>
          <cell r="H1000">
            <v>6.08</v>
          </cell>
          <cell r="J1000">
            <v>39843</v>
          </cell>
          <cell r="K1000">
            <v>3.83</v>
          </cell>
          <cell r="M1000">
            <v>39808</v>
          </cell>
          <cell r="N1000">
            <v>3.19</v>
          </cell>
          <cell r="P1000">
            <v>39847</v>
          </cell>
          <cell r="Q1000">
            <v>55.52</v>
          </cell>
        </row>
        <row r="1001">
          <cell r="D1001">
            <v>39846</v>
          </cell>
          <cell r="E1001">
            <v>5.4</v>
          </cell>
          <cell r="G1001">
            <v>39846</v>
          </cell>
          <cell r="H1001">
            <v>5.46</v>
          </cell>
          <cell r="J1001">
            <v>39842</v>
          </cell>
          <cell r="K1001">
            <v>3.84</v>
          </cell>
          <cell r="M1001">
            <v>39806</v>
          </cell>
          <cell r="N1001">
            <v>3.23</v>
          </cell>
          <cell r="P1001">
            <v>39846</v>
          </cell>
          <cell r="Q1001">
            <v>55.9</v>
          </cell>
        </row>
        <row r="1002">
          <cell r="D1002">
            <v>39843</v>
          </cell>
          <cell r="E1002">
            <v>5.51</v>
          </cell>
          <cell r="G1002">
            <v>39843</v>
          </cell>
          <cell r="H1002">
            <v>5.54</v>
          </cell>
          <cell r="J1002">
            <v>39841</v>
          </cell>
          <cell r="K1002">
            <v>3.84</v>
          </cell>
          <cell r="M1002">
            <v>39805</v>
          </cell>
          <cell r="N1002">
            <v>3.11</v>
          </cell>
          <cell r="P1002">
            <v>39843</v>
          </cell>
          <cell r="Q1002">
            <v>55.4</v>
          </cell>
        </row>
        <row r="1003">
          <cell r="D1003">
            <v>39842</v>
          </cell>
          <cell r="E1003">
            <v>5.59</v>
          </cell>
          <cell r="G1003">
            <v>39842</v>
          </cell>
          <cell r="H1003">
            <v>5.71</v>
          </cell>
          <cell r="J1003">
            <v>39840</v>
          </cell>
          <cell r="K1003">
            <v>3.8</v>
          </cell>
          <cell r="M1003">
            <v>39804</v>
          </cell>
          <cell r="N1003">
            <v>2.85</v>
          </cell>
          <cell r="P1003">
            <v>39842</v>
          </cell>
          <cell r="Q1003">
            <v>54.77</v>
          </cell>
        </row>
        <row r="1004">
          <cell r="D1004">
            <v>39841</v>
          </cell>
          <cell r="E1004">
            <v>5.63</v>
          </cell>
          <cell r="G1004">
            <v>39841</v>
          </cell>
          <cell r="H1004">
            <v>6.16</v>
          </cell>
          <cell r="J1004">
            <v>39839</v>
          </cell>
          <cell r="K1004">
            <v>3.88</v>
          </cell>
          <cell r="M1004">
            <v>39801</v>
          </cell>
          <cell r="N1004">
            <v>2.98</v>
          </cell>
          <cell r="P1004">
            <v>39841</v>
          </cell>
          <cell r="Q1004">
            <v>56.63</v>
          </cell>
        </row>
        <row r="1005">
          <cell r="D1005">
            <v>39840</v>
          </cell>
          <cell r="E1005">
            <v>5.58</v>
          </cell>
          <cell r="G1005">
            <v>39840</v>
          </cell>
          <cell r="H1005">
            <v>5.72</v>
          </cell>
          <cell r="J1005">
            <v>39836</v>
          </cell>
          <cell r="K1005">
            <v>3.86</v>
          </cell>
          <cell r="M1005">
            <v>39800</v>
          </cell>
          <cell r="N1005">
            <v>2.71</v>
          </cell>
          <cell r="P1005">
            <v>39840</v>
          </cell>
          <cell r="Q1005">
            <v>53.91</v>
          </cell>
        </row>
        <row r="1006">
          <cell r="D1006">
            <v>39839</v>
          </cell>
          <cell r="E1006">
            <v>5.58</v>
          </cell>
          <cell r="G1006">
            <v>39839</v>
          </cell>
          <cell r="H1006">
            <v>5.52</v>
          </cell>
          <cell r="J1006">
            <v>39835</v>
          </cell>
          <cell r="K1006">
            <v>4.01</v>
          </cell>
          <cell r="M1006">
            <v>39799</v>
          </cell>
          <cell r="N1006">
            <v>2.79</v>
          </cell>
          <cell r="P1006">
            <v>39839</v>
          </cell>
          <cell r="Q1006">
            <v>50.71</v>
          </cell>
        </row>
        <row r="1007">
          <cell r="D1007">
            <v>39836</v>
          </cell>
          <cell r="E1007">
            <v>5.75</v>
          </cell>
          <cell r="G1007">
            <v>39836</v>
          </cell>
          <cell r="H1007">
            <v>5.51</v>
          </cell>
          <cell r="J1007">
            <v>39834</v>
          </cell>
          <cell r="K1007">
            <v>4.08</v>
          </cell>
          <cell r="M1007">
            <v>39798</v>
          </cell>
          <cell r="N1007">
            <v>2.75</v>
          </cell>
          <cell r="P1007">
            <v>39836</v>
          </cell>
          <cell r="Q1007">
            <v>52.64</v>
          </cell>
        </row>
        <row r="1008">
          <cell r="D1008">
            <v>39835</v>
          </cell>
          <cell r="E1008">
            <v>5.71</v>
          </cell>
          <cell r="G1008">
            <v>39835</v>
          </cell>
          <cell r="H1008">
            <v>5.56</v>
          </cell>
          <cell r="J1008">
            <v>39833</v>
          </cell>
          <cell r="K1008">
            <v>4.0199999999999996</v>
          </cell>
          <cell r="M1008">
            <v>39797</v>
          </cell>
          <cell r="N1008">
            <v>2.65</v>
          </cell>
          <cell r="P1008">
            <v>39835</v>
          </cell>
          <cell r="Q1008">
            <v>52.33</v>
          </cell>
        </row>
        <row r="1009">
          <cell r="D1009">
            <v>39834</v>
          </cell>
          <cell r="E1009">
            <v>5.72</v>
          </cell>
          <cell r="G1009">
            <v>39834</v>
          </cell>
          <cell r="H1009">
            <v>5.79</v>
          </cell>
          <cell r="J1009">
            <v>39829</v>
          </cell>
          <cell r="K1009">
            <v>3.98</v>
          </cell>
          <cell r="M1009">
            <v>39794</v>
          </cell>
          <cell r="N1009">
            <v>2.5499999999999998</v>
          </cell>
          <cell r="P1009">
            <v>39834</v>
          </cell>
          <cell r="Q1009">
            <v>52.91</v>
          </cell>
        </row>
        <row r="1010">
          <cell r="D1010">
            <v>39833</v>
          </cell>
          <cell r="E1010">
            <v>5.4450000000000003</v>
          </cell>
          <cell r="G1010">
            <v>39833</v>
          </cell>
          <cell r="H1010">
            <v>4.99</v>
          </cell>
          <cell r="J1010">
            <v>39828</v>
          </cell>
          <cell r="K1010">
            <v>3.94</v>
          </cell>
          <cell r="M1010">
            <v>39793</v>
          </cell>
          <cell r="N1010">
            <v>2.5</v>
          </cell>
          <cell r="P1010">
            <v>39833</v>
          </cell>
          <cell r="Q1010">
            <v>49.93</v>
          </cell>
        </row>
        <row r="1011">
          <cell r="D1011">
            <v>39829</v>
          </cell>
          <cell r="E1011">
            <v>5.72</v>
          </cell>
          <cell r="G1011">
            <v>39829</v>
          </cell>
          <cell r="H1011">
            <v>5.24</v>
          </cell>
          <cell r="J1011">
            <v>39827</v>
          </cell>
          <cell r="K1011">
            <v>3.95</v>
          </cell>
          <cell r="M1011">
            <v>39792</v>
          </cell>
          <cell r="N1011">
            <v>2.36</v>
          </cell>
          <cell r="P1011">
            <v>39829</v>
          </cell>
          <cell r="Q1011">
            <v>51.11</v>
          </cell>
        </row>
        <row r="1012">
          <cell r="D1012">
            <v>39828</v>
          </cell>
          <cell r="E1012">
            <v>5.75</v>
          </cell>
          <cell r="G1012">
            <v>39828</v>
          </cell>
          <cell r="H1012">
            <v>5.21</v>
          </cell>
          <cell r="J1012">
            <v>39826</v>
          </cell>
          <cell r="K1012">
            <v>4.1900000000000004</v>
          </cell>
          <cell r="M1012">
            <v>39791</v>
          </cell>
          <cell r="N1012">
            <v>2.5</v>
          </cell>
          <cell r="P1012">
            <v>39828</v>
          </cell>
          <cell r="Q1012">
            <v>49.24</v>
          </cell>
        </row>
        <row r="1013">
          <cell r="D1013">
            <v>39827</v>
          </cell>
          <cell r="E1013">
            <v>5.86</v>
          </cell>
          <cell r="G1013">
            <v>39827</v>
          </cell>
          <cell r="H1013">
            <v>5.27</v>
          </cell>
          <cell r="J1013">
            <v>39825</v>
          </cell>
          <cell r="K1013">
            <v>4.04</v>
          </cell>
          <cell r="M1013">
            <v>39790</v>
          </cell>
          <cell r="N1013">
            <v>2.9180000000000001</v>
          </cell>
          <cell r="P1013">
            <v>39827</v>
          </cell>
          <cell r="Q1013">
            <v>45.1</v>
          </cell>
        </row>
        <row r="1014">
          <cell r="D1014">
            <v>39826</v>
          </cell>
          <cell r="E1014">
            <v>6.02</v>
          </cell>
          <cell r="G1014">
            <v>39826</v>
          </cell>
          <cell r="H1014">
            <v>5.58</v>
          </cell>
          <cell r="J1014">
            <v>39822</v>
          </cell>
          <cell r="K1014">
            <v>4.1900000000000004</v>
          </cell>
          <cell r="M1014">
            <v>39787</v>
          </cell>
          <cell r="N1014">
            <v>3.02</v>
          </cell>
          <cell r="P1014">
            <v>39826</v>
          </cell>
          <cell r="Q1014">
            <v>46.27</v>
          </cell>
        </row>
        <row r="1015">
          <cell r="D1015">
            <v>39825</v>
          </cell>
          <cell r="E1015">
            <v>6.03</v>
          </cell>
          <cell r="G1015">
            <v>39825</v>
          </cell>
          <cell r="H1015">
            <v>5.44</v>
          </cell>
          <cell r="J1015">
            <v>39821</v>
          </cell>
          <cell r="K1015">
            <v>4.2</v>
          </cell>
          <cell r="M1015">
            <v>39786</v>
          </cell>
          <cell r="N1015">
            <v>3.07</v>
          </cell>
          <cell r="P1015">
            <v>39825</v>
          </cell>
          <cell r="Q1015">
            <v>46.45</v>
          </cell>
        </row>
        <row r="1016">
          <cell r="D1016">
            <v>39822</v>
          </cell>
          <cell r="E1016">
            <v>6.32</v>
          </cell>
          <cell r="G1016">
            <v>39822</v>
          </cell>
          <cell r="H1016">
            <v>5.4</v>
          </cell>
          <cell r="J1016">
            <v>39820</v>
          </cell>
          <cell r="K1016">
            <v>4.1500000000000004</v>
          </cell>
          <cell r="M1016">
            <v>39785</v>
          </cell>
          <cell r="N1016">
            <v>3.02</v>
          </cell>
          <cell r="P1016">
            <v>39822</v>
          </cell>
          <cell r="Q1016">
            <v>47.46</v>
          </cell>
        </row>
        <row r="1017">
          <cell r="D1017">
            <v>39821</v>
          </cell>
          <cell r="E1017">
            <v>6.49</v>
          </cell>
          <cell r="G1017">
            <v>39821</v>
          </cell>
          <cell r="H1017">
            <v>5.67</v>
          </cell>
          <cell r="J1017">
            <v>39819</v>
          </cell>
          <cell r="K1017">
            <v>4.1900000000000004</v>
          </cell>
          <cell r="M1017">
            <v>39784</v>
          </cell>
          <cell r="N1017">
            <v>3.08</v>
          </cell>
          <cell r="P1017">
            <v>39821</v>
          </cell>
          <cell r="Q1017">
            <v>46.5</v>
          </cell>
        </row>
        <row r="1018">
          <cell r="D1018">
            <v>39820</v>
          </cell>
          <cell r="E1018">
            <v>6.34</v>
          </cell>
          <cell r="G1018">
            <v>39820</v>
          </cell>
          <cell r="H1018">
            <v>5.4</v>
          </cell>
          <cell r="J1018">
            <v>39818</v>
          </cell>
          <cell r="K1018">
            <v>4.12</v>
          </cell>
          <cell r="M1018">
            <v>39783</v>
          </cell>
          <cell r="N1018">
            <v>3.02</v>
          </cell>
          <cell r="P1018">
            <v>39820</v>
          </cell>
          <cell r="Q1018">
            <v>46.69</v>
          </cell>
        </row>
        <row r="1019">
          <cell r="D1019">
            <v>39819</v>
          </cell>
          <cell r="E1019">
            <v>6.45</v>
          </cell>
          <cell r="G1019">
            <v>39819</v>
          </cell>
          <cell r="H1019">
            <v>5.42</v>
          </cell>
          <cell r="J1019">
            <v>39815</v>
          </cell>
          <cell r="K1019">
            <v>4.0999999999999996</v>
          </cell>
          <cell r="M1019">
            <v>39780</v>
          </cell>
          <cell r="N1019">
            <v>3.2999000000000001</v>
          </cell>
          <cell r="P1019">
            <v>39819</v>
          </cell>
          <cell r="Q1019">
            <v>46.612000000000002</v>
          </cell>
        </row>
        <row r="1020">
          <cell r="D1020">
            <v>39818</v>
          </cell>
          <cell r="E1020">
            <v>6.42</v>
          </cell>
          <cell r="G1020">
            <v>39818</v>
          </cell>
          <cell r="H1020">
            <v>4.83</v>
          </cell>
          <cell r="J1020">
            <v>39813</v>
          </cell>
          <cell r="K1020">
            <v>4.05</v>
          </cell>
          <cell r="M1020">
            <v>39778</v>
          </cell>
          <cell r="N1020">
            <v>3.1</v>
          </cell>
          <cell r="P1020">
            <v>39818</v>
          </cell>
          <cell r="Q1020">
            <v>43.3</v>
          </cell>
        </row>
        <row r="1021">
          <cell r="D1021">
            <v>39815</v>
          </cell>
          <cell r="E1021">
            <v>6.07</v>
          </cell>
          <cell r="G1021">
            <v>39815</v>
          </cell>
          <cell r="H1021">
            <v>4.87</v>
          </cell>
          <cell r="J1021">
            <v>39812</v>
          </cell>
          <cell r="K1021">
            <v>3.74</v>
          </cell>
          <cell r="M1021">
            <v>39777</v>
          </cell>
          <cell r="N1021">
            <v>3.1</v>
          </cell>
          <cell r="P1021">
            <v>39815</v>
          </cell>
          <cell r="Q1021">
            <v>41.92</v>
          </cell>
        </row>
        <row r="1022">
          <cell r="D1022">
            <v>39813</v>
          </cell>
          <cell r="E1022">
            <v>5.83</v>
          </cell>
          <cell r="G1022">
            <v>39813</v>
          </cell>
          <cell r="H1022">
            <v>4.6399999999999997</v>
          </cell>
          <cell r="J1022">
            <v>39811</v>
          </cell>
          <cell r="K1022">
            <v>3.69</v>
          </cell>
          <cell r="M1022">
            <v>39776</v>
          </cell>
          <cell r="N1022">
            <v>3.9899</v>
          </cell>
          <cell r="P1022">
            <v>39813</v>
          </cell>
          <cell r="Q1022">
            <v>40.58</v>
          </cell>
        </row>
        <row r="1023">
          <cell r="D1023">
            <v>39812</v>
          </cell>
          <cell r="E1023">
            <v>5.87</v>
          </cell>
          <cell r="G1023">
            <v>39812</v>
          </cell>
          <cell r="H1023">
            <v>4.2</v>
          </cell>
          <cell r="J1023">
            <v>39808</v>
          </cell>
          <cell r="K1023">
            <v>3.61</v>
          </cell>
          <cell r="M1023">
            <v>39773</v>
          </cell>
          <cell r="N1023">
            <v>2.88</v>
          </cell>
          <cell r="P1023">
            <v>39812</v>
          </cell>
          <cell r="Q1023">
            <v>38.770000000000003</v>
          </cell>
        </row>
        <row r="1024">
          <cell r="D1024">
            <v>39811</v>
          </cell>
          <cell r="E1024">
            <v>5.15</v>
          </cell>
          <cell r="G1024">
            <v>39811</v>
          </cell>
          <cell r="H1024">
            <v>4.24</v>
          </cell>
          <cell r="J1024">
            <v>39806</v>
          </cell>
          <cell r="K1024">
            <v>3.59</v>
          </cell>
          <cell r="M1024">
            <v>39772</v>
          </cell>
          <cell r="N1024">
            <v>2.75</v>
          </cell>
          <cell r="P1024">
            <v>39811</v>
          </cell>
          <cell r="Q1024">
            <v>38.81</v>
          </cell>
        </row>
        <row r="1025">
          <cell r="D1025">
            <v>39808</v>
          </cell>
          <cell r="E1025">
            <v>5.2</v>
          </cell>
          <cell r="G1025">
            <v>39808</v>
          </cell>
          <cell r="H1025">
            <v>4.28</v>
          </cell>
          <cell r="J1025">
            <v>39805</v>
          </cell>
          <cell r="K1025">
            <v>3.51</v>
          </cell>
          <cell r="M1025">
            <v>39771</v>
          </cell>
          <cell r="N1025">
            <v>3.1499000000000001</v>
          </cell>
          <cell r="P1025">
            <v>39808</v>
          </cell>
          <cell r="Q1025">
            <v>40.85</v>
          </cell>
        </row>
        <row r="1026">
          <cell r="D1026">
            <v>39806</v>
          </cell>
          <cell r="E1026">
            <v>5</v>
          </cell>
          <cell r="G1026">
            <v>39806</v>
          </cell>
          <cell r="H1026">
            <v>4.08</v>
          </cell>
          <cell r="J1026">
            <v>39804</v>
          </cell>
          <cell r="K1026">
            <v>3.82</v>
          </cell>
          <cell r="M1026">
            <v>39770</v>
          </cell>
          <cell r="N1026">
            <v>3.38</v>
          </cell>
          <cell r="P1026">
            <v>39806</v>
          </cell>
          <cell r="Q1026">
            <v>41.02</v>
          </cell>
        </row>
        <row r="1027">
          <cell r="D1027">
            <v>39805</v>
          </cell>
          <cell r="E1027">
            <v>5.01</v>
          </cell>
          <cell r="G1027">
            <v>39805</v>
          </cell>
          <cell r="H1027">
            <v>4.16</v>
          </cell>
          <cell r="J1027">
            <v>39801</v>
          </cell>
          <cell r="K1027">
            <v>3.92</v>
          </cell>
          <cell r="M1027">
            <v>39769</v>
          </cell>
          <cell r="N1027">
            <v>3.1</v>
          </cell>
          <cell r="P1027">
            <v>39805</v>
          </cell>
          <cell r="Q1027">
            <v>41.81</v>
          </cell>
        </row>
        <row r="1028">
          <cell r="D1028">
            <v>39804</v>
          </cell>
          <cell r="E1028">
            <v>5.16</v>
          </cell>
          <cell r="G1028">
            <v>39804</v>
          </cell>
          <cell r="H1028">
            <v>4</v>
          </cell>
          <cell r="J1028">
            <v>39800</v>
          </cell>
          <cell r="K1028">
            <v>3.98</v>
          </cell>
          <cell r="M1028">
            <v>39766</v>
          </cell>
          <cell r="N1028">
            <v>3.09</v>
          </cell>
          <cell r="P1028">
            <v>39804</v>
          </cell>
          <cell r="Q1028">
            <v>41.59</v>
          </cell>
        </row>
        <row r="1029">
          <cell r="D1029">
            <v>39801</v>
          </cell>
          <cell r="E1029">
            <v>5.25</v>
          </cell>
          <cell r="G1029">
            <v>39801</v>
          </cell>
          <cell r="H1029">
            <v>4.05</v>
          </cell>
          <cell r="J1029">
            <v>39799</v>
          </cell>
          <cell r="K1029">
            <v>4.09</v>
          </cell>
          <cell r="M1029">
            <v>39765</v>
          </cell>
          <cell r="N1029">
            <v>3.13</v>
          </cell>
          <cell r="P1029">
            <v>39801</v>
          </cell>
          <cell r="Q1029">
            <v>42.83</v>
          </cell>
        </row>
        <row r="1030">
          <cell r="D1030">
            <v>39800</v>
          </cell>
          <cell r="E1030">
            <v>5.36</v>
          </cell>
          <cell r="G1030">
            <v>39800</v>
          </cell>
          <cell r="H1030">
            <v>3.93</v>
          </cell>
          <cell r="J1030">
            <v>39798</v>
          </cell>
          <cell r="K1030">
            <v>4.09</v>
          </cell>
          <cell r="M1030">
            <v>39764</v>
          </cell>
          <cell r="N1030">
            <v>3.74</v>
          </cell>
          <cell r="P1030">
            <v>39800</v>
          </cell>
          <cell r="Q1030">
            <v>38.44</v>
          </cell>
        </row>
        <row r="1031">
          <cell r="D1031">
            <v>39799</v>
          </cell>
          <cell r="E1031">
            <v>5.42</v>
          </cell>
          <cell r="G1031">
            <v>39799</v>
          </cell>
          <cell r="H1031">
            <v>3.71</v>
          </cell>
          <cell r="J1031">
            <v>39797</v>
          </cell>
          <cell r="K1031">
            <v>4.03</v>
          </cell>
          <cell r="M1031">
            <v>39763</v>
          </cell>
          <cell r="N1031">
            <v>3.9449999999999998</v>
          </cell>
          <cell r="P1031">
            <v>39799</v>
          </cell>
          <cell r="Q1031">
            <v>40.67</v>
          </cell>
        </row>
        <row r="1032">
          <cell r="D1032">
            <v>39798</v>
          </cell>
          <cell r="E1032">
            <v>5.14</v>
          </cell>
          <cell r="G1032">
            <v>39798</v>
          </cell>
          <cell r="H1032">
            <v>3.45</v>
          </cell>
          <cell r="J1032">
            <v>39794</v>
          </cell>
          <cell r="K1032">
            <v>4.2</v>
          </cell>
          <cell r="M1032">
            <v>39762</v>
          </cell>
          <cell r="N1032">
            <v>4</v>
          </cell>
          <cell r="P1032">
            <v>39798</v>
          </cell>
          <cell r="Q1032">
            <v>39.94</v>
          </cell>
        </row>
        <row r="1033">
          <cell r="D1033">
            <v>39797</v>
          </cell>
          <cell r="E1033">
            <v>5.0999999999999996</v>
          </cell>
          <cell r="G1033">
            <v>39797</v>
          </cell>
          <cell r="H1033">
            <v>2.86</v>
          </cell>
          <cell r="J1033">
            <v>39793</v>
          </cell>
          <cell r="K1033">
            <v>4.29</v>
          </cell>
          <cell r="M1033">
            <v>39759</v>
          </cell>
          <cell r="N1033">
            <v>4.16</v>
          </cell>
          <cell r="P1033">
            <v>39797</v>
          </cell>
          <cell r="Q1033">
            <v>36.86</v>
          </cell>
        </row>
        <row r="1034">
          <cell r="D1034">
            <v>39794</v>
          </cell>
          <cell r="E1034">
            <v>5.44</v>
          </cell>
          <cell r="G1034">
            <v>39794</v>
          </cell>
          <cell r="H1034">
            <v>3.11</v>
          </cell>
          <cell r="J1034">
            <v>39792</v>
          </cell>
          <cell r="K1034">
            <v>4.3899999999999997</v>
          </cell>
          <cell r="M1034">
            <v>39758</v>
          </cell>
          <cell r="N1034">
            <v>4.3</v>
          </cell>
          <cell r="P1034">
            <v>39794</v>
          </cell>
          <cell r="Q1034">
            <v>38.82</v>
          </cell>
        </row>
        <row r="1035">
          <cell r="D1035">
            <v>39793</v>
          </cell>
          <cell r="E1035">
            <v>5.26</v>
          </cell>
          <cell r="G1035">
            <v>39793</v>
          </cell>
          <cell r="H1035">
            <v>2.89</v>
          </cell>
          <cell r="J1035">
            <v>39791</v>
          </cell>
          <cell r="K1035">
            <v>4.43</v>
          </cell>
          <cell r="M1035">
            <v>39757</v>
          </cell>
          <cell r="N1035">
            <v>5.0199999999999996</v>
          </cell>
          <cell r="P1035">
            <v>39793</v>
          </cell>
          <cell r="Q1035">
            <v>37.46</v>
          </cell>
        </row>
        <row r="1036">
          <cell r="D1036">
            <v>39792</v>
          </cell>
          <cell r="E1036">
            <v>5.27</v>
          </cell>
          <cell r="G1036">
            <v>39792</v>
          </cell>
          <cell r="H1036">
            <v>3.15</v>
          </cell>
          <cell r="J1036">
            <v>39790</v>
          </cell>
          <cell r="K1036">
            <v>4.5599999999999996</v>
          </cell>
          <cell r="M1036">
            <v>39756</v>
          </cell>
          <cell r="N1036">
            <v>4.49</v>
          </cell>
          <cell r="P1036">
            <v>39792</v>
          </cell>
          <cell r="Q1036">
            <v>38.43</v>
          </cell>
        </row>
        <row r="1037">
          <cell r="D1037">
            <v>39791</v>
          </cell>
          <cell r="E1037">
            <v>5.46</v>
          </cell>
          <cell r="G1037">
            <v>39791</v>
          </cell>
          <cell r="H1037">
            <v>3.12</v>
          </cell>
          <cell r="J1037">
            <v>39787</v>
          </cell>
          <cell r="K1037">
            <v>4.26</v>
          </cell>
          <cell r="M1037">
            <v>39755</v>
          </cell>
          <cell r="N1037">
            <v>4.49</v>
          </cell>
          <cell r="P1037">
            <v>39791</v>
          </cell>
          <cell r="Q1037">
            <v>39.21</v>
          </cell>
        </row>
        <row r="1038">
          <cell r="D1038">
            <v>39790</v>
          </cell>
          <cell r="E1038">
            <v>5.58</v>
          </cell>
          <cell r="G1038">
            <v>39790</v>
          </cell>
          <cell r="H1038">
            <v>3.26</v>
          </cell>
          <cell r="J1038">
            <v>39786</v>
          </cell>
          <cell r="K1038">
            <v>4.25</v>
          </cell>
          <cell r="M1038">
            <v>39752</v>
          </cell>
          <cell r="N1038">
            <v>4.3</v>
          </cell>
          <cell r="P1038">
            <v>39790</v>
          </cell>
          <cell r="Q1038">
            <v>40.85</v>
          </cell>
        </row>
        <row r="1039">
          <cell r="D1039">
            <v>39787</v>
          </cell>
          <cell r="E1039">
            <v>5.0199999999999996</v>
          </cell>
          <cell r="G1039">
            <v>39787</v>
          </cell>
          <cell r="H1039">
            <v>3.15</v>
          </cell>
          <cell r="J1039">
            <v>39785</v>
          </cell>
          <cell r="K1039">
            <v>4.2699999999999996</v>
          </cell>
          <cell r="M1039">
            <v>39751</v>
          </cell>
          <cell r="N1039">
            <v>4.3259999999999996</v>
          </cell>
          <cell r="P1039">
            <v>39787</v>
          </cell>
          <cell r="Q1039">
            <v>39.49</v>
          </cell>
        </row>
        <row r="1040">
          <cell r="D1040">
            <v>39786</v>
          </cell>
          <cell r="E1040">
            <v>5.42</v>
          </cell>
          <cell r="G1040">
            <v>39786</v>
          </cell>
          <cell r="H1040">
            <v>3.08</v>
          </cell>
          <cell r="J1040">
            <v>39784</v>
          </cell>
          <cell r="K1040">
            <v>4.33</v>
          </cell>
          <cell r="M1040">
            <v>39750</v>
          </cell>
          <cell r="N1040">
            <v>4.0599999999999996</v>
          </cell>
          <cell r="P1040">
            <v>39786</v>
          </cell>
          <cell r="Q1040">
            <v>37.200000000000003</v>
          </cell>
        </row>
        <row r="1041">
          <cell r="D1041">
            <v>39785</v>
          </cell>
          <cell r="E1041">
            <v>5.55</v>
          </cell>
          <cell r="G1041">
            <v>39785</v>
          </cell>
          <cell r="H1041">
            <v>3.42</v>
          </cell>
          <cell r="J1041">
            <v>39783</v>
          </cell>
          <cell r="K1041">
            <v>4.34</v>
          </cell>
          <cell r="M1041">
            <v>39749</v>
          </cell>
          <cell r="N1041">
            <v>4.4800000000000004</v>
          </cell>
          <cell r="P1041">
            <v>39785</v>
          </cell>
          <cell r="Q1041">
            <v>38.96</v>
          </cell>
        </row>
        <row r="1042">
          <cell r="D1042">
            <v>39784</v>
          </cell>
          <cell r="E1042">
            <v>5.54</v>
          </cell>
          <cell r="G1042">
            <v>39784</v>
          </cell>
          <cell r="H1042">
            <v>3.58</v>
          </cell>
          <cell r="J1042">
            <v>39780</v>
          </cell>
          <cell r="K1042">
            <v>4.3499999999999996</v>
          </cell>
          <cell r="M1042">
            <v>39748</v>
          </cell>
          <cell r="N1042">
            <v>4.45</v>
          </cell>
          <cell r="P1042">
            <v>39784</v>
          </cell>
          <cell r="Q1042">
            <v>37.32</v>
          </cell>
        </row>
        <row r="1043">
          <cell r="D1043">
            <v>39783</v>
          </cell>
          <cell r="E1043">
            <v>7.76</v>
          </cell>
          <cell r="G1043">
            <v>39783</v>
          </cell>
          <cell r="H1043">
            <v>3.73</v>
          </cell>
          <cell r="J1043">
            <v>39778</v>
          </cell>
          <cell r="K1043">
            <v>4.2699999999999996</v>
          </cell>
          <cell r="M1043">
            <v>39744</v>
          </cell>
          <cell r="N1043">
            <v>4.5</v>
          </cell>
          <cell r="P1043">
            <v>39783</v>
          </cell>
          <cell r="Q1043">
            <v>39.799999999999997</v>
          </cell>
        </row>
        <row r="1044">
          <cell r="D1044">
            <v>39780</v>
          </cell>
          <cell r="E1044">
            <v>8.18</v>
          </cell>
          <cell r="G1044">
            <v>39780</v>
          </cell>
          <cell r="H1044">
            <v>3.83</v>
          </cell>
          <cell r="J1044">
            <v>39777</v>
          </cell>
          <cell r="K1044">
            <v>4.17</v>
          </cell>
          <cell r="M1044">
            <v>39743</v>
          </cell>
          <cell r="N1044">
            <v>4.5</v>
          </cell>
          <cell r="P1044">
            <v>39780</v>
          </cell>
          <cell r="Q1044">
            <v>42.47</v>
          </cell>
        </row>
        <row r="1045">
          <cell r="D1045">
            <v>39778</v>
          </cell>
          <cell r="E1045">
            <v>8.44</v>
          </cell>
          <cell r="G1045">
            <v>39778</v>
          </cell>
          <cell r="H1045">
            <v>3.87</v>
          </cell>
          <cell r="J1045">
            <v>39776</v>
          </cell>
          <cell r="K1045">
            <v>3.66</v>
          </cell>
          <cell r="M1045">
            <v>39742</v>
          </cell>
          <cell r="N1045">
            <v>4.45</v>
          </cell>
          <cell r="P1045">
            <v>39778</v>
          </cell>
          <cell r="Q1045">
            <v>44.7</v>
          </cell>
        </row>
        <row r="1046">
          <cell r="D1046">
            <v>39777</v>
          </cell>
          <cell r="E1046">
            <v>8.14</v>
          </cell>
          <cell r="G1046">
            <v>39777</v>
          </cell>
          <cell r="H1046">
            <v>3.62</v>
          </cell>
          <cell r="J1046">
            <v>39773</v>
          </cell>
          <cell r="K1046">
            <v>3.17</v>
          </cell>
          <cell r="M1046">
            <v>39741</v>
          </cell>
          <cell r="N1046">
            <v>4.5</v>
          </cell>
          <cell r="P1046">
            <v>39777</v>
          </cell>
          <cell r="Q1046">
            <v>41.5</v>
          </cell>
        </row>
        <row r="1047">
          <cell r="D1047">
            <v>39776</v>
          </cell>
          <cell r="E1047">
            <v>8.0299999999999994</v>
          </cell>
          <cell r="G1047">
            <v>39776</v>
          </cell>
          <cell r="H1047">
            <v>3.34</v>
          </cell>
          <cell r="J1047">
            <v>39772</v>
          </cell>
          <cell r="K1047">
            <v>3.72</v>
          </cell>
          <cell r="M1047">
            <v>39738</v>
          </cell>
          <cell r="N1047">
            <v>4.7899000000000003</v>
          </cell>
          <cell r="P1047">
            <v>39776</v>
          </cell>
          <cell r="Q1047">
            <v>45.26</v>
          </cell>
        </row>
        <row r="1048">
          <cell r="D1048">
            <v>39773</v>
          </cell>
          <cell r="E1048">
            <v>7.68</v>
          </cell>
          <cell r="G1048">
            <v>39773</v>
          </cell>
          <cell r="H1048">
            <v>3.52</v>
          </cell>
          <cell r="J1048">
            <v>39771</v>
          </cell>
          <cell r="K1048">
            <v>4.01</v>
          </cell>
          <cell r="M1048">
            <v>39737</v>
          </cell>
          <cell r="N1048">
            <v>4.5</v>
          </cell>
          <cell r="P1048">
            <v>39773</v>
          </cell>
          <cell r="Q1048">
            <v>44.8</v>
          </cell>
        </row>
        <row r="1049">
          <cell r="D1049">
            <v>39772</v>
          </cell>
          <cell r="E1049">
            <v>7.51</v>
          </cell>
          <cell r="G1049">
            <v>39772</v>
          </cell>
          <cell r="H1049">
            <v>3.58</v>
          </cell>
          <cell r="J1049">
            <v>39770</v>
          </cell>
          <cell r="K1049">
            <v>4.2699999999999996</v>
          </cell>
          <cell r="M1049">
            <v>39736</v>
          </cell>
          <cell r="N1049">
            <v>4.76</v>
          </cell>
          <cell r="P1049">
            <v>39772</v>
          </cell>
          <cell r="Q1049">
            <v>41.52</v>
          </cell>
        </row>
        <row r="1050">
          <cell r="D1050">
            <v>39771</v>
          </cell>
          <cell r="E1050">
            <v>7.51</v>
          </cell>
          <cell r="G1050">
            <v>39771</v>
          </cell>
          <cell r="H1050">
            <v>3.91</v>
          </cell>
          <cell r="J1050">
            <v>39769</v>
          </cell>
          <cell r="K1050">
            <v>4.12</v>
          </cell>
          <cell r="M1050">
            <v>39735</v>
          </cell>
          <cell r="N1050">
            <v>5.0999999999999996</v>
          </cell>
          <cell r="P1050">
            <v>39771</v>
          </cell>
          <cell r="Q1050">
            <v>45.33</v>
          </cell>
        </row>
        <row r="1051">
          <cell r="D1051">
            <v>39770</v>
          </cell>
          <cell r="E1051">
            <v>7.99</v>
          </cell>
          <cell r="G1051">
            <v>39770</v>
          </cell>
          <cell r="H1051">
            <v>4.46</v>
          </cell>
          <cell r="J1051">
            <v>39766</v>
          </cell>
          <cell r="K1051">
            <v>4.34</v>
          </cell>
          <cell r="M1051">
            <v>39734</v>
          </cell>
          <cell r="N1051">
            <v>3.8</v>
          </cell>
          <cell r="P1051">
            <v>39770</v>
          </cell>
          <cell r="Q1051">
            <v>47.25</v>
          </cell>
        </row>
        <row r="1052">
          <cell r="D1052">
            <v>39769</v>
          </cell>
          <cell r="E1052">
            <v>7.91</v>
          </cell>
          <cell r="G1052">
            <v>39769</v>
          </cell>
          <cell r="H1052">
            <v>4.42</v>
          </cell>
          <cell r="J1052">
            <v>39765</v>
          </cell>
          <cell r="K1052">
            <v>4.49</v>
          </cell>
          <cell r="M1052">
            <v>39731</v>
          </cell>
          <cell r="N1052">
            <v>3.16</v>
          </cell>
          <cell r="P1052">
            <v>39769</v>
          </cell>
          <cell r="Q1052">
            <v>42.24</v>
          </cell>
        </row>
        <row r="1053">
          <cell r="D1053">
            <v>39766</v>
          </cell>
          <cell r="E1053">
            <v>7.88</v>
          </cell>
          <cell r="G1053">
            <v>39766</v>
          </cell>
          <cell r="H1053">
            <v>4.55</v>
          </cell>
          <cell r="J1053">
            <v>39764</v>
          </cell>
          <cell r="K1053">
            <v>4.34</v>
          </cell>
          <cell r="M1053">
            <v>39730</v>
          </cell>
          <cell r="N1053">
            <v>3.49</v>
          </cell>
          <cell r="P1053">
            <v>39766</v>
          </cell>
          <cell r="Q1053">
            <v>40</v>
          </cell>
        </row>
        <row r="1054">
          <cell r="D1054">
            <v>39765</v>
          </cell>
          <cell r="E1054">
            <v>8.17</v>
          </cell>
          <cell r="G1054">
            <v>39765</v>
          </cell>
          <cell r="H1054">
            <v>5.12</v>
          </cell>
          <cell r="J1054">
            <v>39763</v>
          </cell>
          <cell r="K1054">
            <v>4.8395000000000001</v>
          </cell>
          <cell r="M1054">
            <v>39729</v>
          </cell>
          <cell r="N1054">
            <v>3.5979999999999999</v>
          </cell>
          <cell r="P1054">
            <v>39765</v>
          </cell>
          <cell r="Q1054">
            <v>43.8</v>
          </cell>
        </row>
        <row r="1055">
          <cell r="D1055">
            <v>39764</v>
          </cell>
          <cell r="E1055">
            <v>8.06</v>
          </cell>
          <cell r="G1055">
            <v>39764</v>
          </cell>
          <cell r="H1055">
            <v>4.7</v>
          </cell>
          <cell r="J1055">
            <v>39762</v>
          </cell>
          <cell r="K1055">
            <v>4.8600000000000003</v>
          </cell>
          <cell r="M1055">
            <v>39728</v>
          </cell>
          <cell r="N1055">
            <v>2.97</v>
          </cell>
          <cell r="P1055">
            <v>39764</v>
          </cell>
          <cell r="Q1055">
            <v>43.2</v>
          </cell>
        </row>
        <row r="1056">
          <cell r="D1056">
            <v>39763</v>
          </cell>
          <cell r="E1056">
            <v>8.26</v>
          </cell>
          <cell r="G1056">
            <v>39763</v>
          </cell>
          <cell r="H1056">
            <v>5.09</v>
          </cell>
          <cell r="J1056">
            <v>39759</v>
          </cell>
          <cell r="K1056">
            <v>4.7</v>
          </cell>
          <cell r="M1056">
            <v>39727</v>
          </cell>
          <cell r="N1056">
            <v>2.89</v>
          </cell>
          <cell r="P1056">
            <v>39763</v>
          </cell>
          <cell r="Q1056">
            <v>45.89</v>
          </cell>
        </row>
        <row r="1057">
          <cell r="D1057">
            <v>39762</v>
          </cell>
          <cell r="E1057">
            <v>7.98</v>
          </cell>
          <cell r="G1057">
            <v>39762</v>
          </cell>
          <cell r="H1057">
            <v>5.37</v>
          </cell>
          <cell r="J1057">
            <v>39758</v>
          </cell>
          <cell r="K1057">
            <v>5.04</v>
          </cell>
          <cell r="M1057">
            <v>39724</v>
          </cell>
          <cell r="N1057">
            <v>3.7</v>
          </cell>
          <cell r="P1057">
            <v>39762</v>
          </cell>
          <cell r="Q1057">
            <v>46.58</v>
          </cell>
        </row>
        <row r="1058">
          <cell r="D1058">
            <v>39759</v>
          </cell>
          <cell r="E1058">
            <v>8.3000000000000007</v>
          </cell>
          <cell r="G1058">
            <v>39759</v>
          </cell>
          <cell r="H1058">
            <v>5.32</v>
          </cell>
          <cell r="J1058">
            <v>39757</v>
          </cell>
          <cell r="K1058">
            <v>5.15</v>
          </cell>
          <cell r="M1058">
            <v>39723</v>
          </cell>
          <cell r="N1058">
            <v>3.86</v>
          </cell>
          <cell r="P1058">
            <v>39759</v>
          </cell>
          <cell r="Q1058">
            <v>48.65</v>
          </cell>
        </row>
        <row r="1059">
          <cell r="D1059">
            <v>39758</v>
          </cell>
          <cell r="E1059">
            <v>7.66</v>
          </cell>
          <cell r="G1059">
            <v>39758</v>
          </cell>
          <cell r="H1059">
            <v>5</v>
          </cell>
          <cell r="J1059">
            <v>39756</v>
          </cell>
          <cell r="K1059">
            <v>5.29</v>
          </cell>
          <cell r="M1059">
            <v>39722</v>
          </cell>
          <cell r="N1059">
            <v>4.26</v>
          </cell>
          <cell r="P1059">
            <v>39758</v>
          </cell>
          <cell r="Q1059">
            <v>47.96</v>
          </cell>
        </row>
        <row r="1060">
          <cell r="D1060">
            <v>39757</v>
          </cell>
          <cell r="E1060">
            <v>8.16</v>
          </cell>
          <cell r="G1060">
            <v>39757</v>
          </cell>
          <cell r="H1060">
            <v>5.14</v>
          </cell>
          <cell r="J1060">
            <v>39755</v>
          </cell>
          <cell r="K1060">
            <v>5.51</v>
          </cell>
          <cell r="M1060">
            <v>39721</v>
          </cell>
          <cell r="N1060">
            <v>4.07</v>
          </cell>
          <cell r="P1060">
            <v>39757</v>
          </cell>
          <cell r="Q1060">
            <v>52.97</v>
          </cell>
        </row>
        <row r="1061">
          <cell r="D1061">
            <v>39756</v>
          </cell>
          <cell r="E1061">
            <v>8.81</v>
          </cell>
          <cell r="G1061">
            <v>39756</v>
          </cell>
          <cell r="H1061">
            <v>5.37</v>
          </cell>
          <cell r="J1061">
            <v>39752</v>
          </cell>
          <cell r="K1061">
            <v>5.43</v>
          </cell>
          <cell r="M1061">
            <v>39720</v>
          </cell>
          <cell r="N1061">
            <v>3.5</v>
          </cell>
          <cell r="P1061">
            <v>39756</v>
          </cell>
          <cell r="Q1061">
            <v>55.56</v>
          </cell>
        </row>
        <row r="1062">
          <cell r="D1062">
            <v>39755</v>
          </cell>
          <cell r="E1062">
            <v>8.58</v>
          </cell>
          <cell r="G1062">
            <v>39755</v>
          </cell>
          <cell r="H1062">
            <v>5.55</v>
          </cell>
          <cell r="J1062">
            <v>39751</v>
          </cell>
          <cell r="K1062">
            <v>5.35</v>
          </cell>
          <cell r="M1062">
            <v>39717</v>
          </cell>
          <cell r="N1062">
            <v>3.84</v>
          </cell>
          <cell r="P1062">
            <v>39755</v>
          </cell>
          <cell r="Q1062">
            <v>53.53</v>
          </cell>
        </row>
        <row r="1063">
          <cell r="D1063">
            <v>39752</v>
          </cell>
          <cell r="E1063">
            <v>8.75</v>
          </cell>
          <cell r="G1063">
            <v>39752</v>
          </cell>
          <cell r="H1063">
            <v>5.21</v>
          </cell>
          <cell r="J1063">
            <v>39750</v>
          </cell>
          <cell r="K1063">
            <v>5.6</v>
          </cell>
          <cell r="M1063">
            <v>39716</v>
          </cell>
          <cell r="N1063">
            <v>3.81</v>
          </cell>
          <cell r="P1063">
            <v>39752</v>
          </cell>
          <cell r="Q1063">
            <v>50.43</v>
          </cell>
        </row>
        <row r="1064">
          <cell r="D1064">
            <v>39751</v>
          </cell>
          <cell r="E1064">
            <v>8.44</v>
          </cell>
          <cell r="G1064">
            <v>39751</v>
          </cell>
          <cell r="H1064">
            <v>5.07</v>
          </cell>
          <cell r="J1064">
            <v>39749</v>
          </cell>
          <cell r="K1064">
            <v>5.9</v>
          </cell>
          <cell r="M1064">
            <v>39715</v>
          </cell>
          <cell r="N1064">
            <v>3.88</v>
          </cell>
          <cell r="P1064">
            <v>39751</v>
          </cell>
          <cell r="Q1064">
            <v>47.39</v>
          </cell>
        </row>
        <row r="1065">
          <cell r="D1065">
            <v>39750</v>
          </cell>
          <cell r="E1065">
            <v>8.09</v>
          </cell>
          <cell r="G1065">
            <v>39750</v>
          </cell>
          <cell r="H1065">
            <v>4.8600000000000003</v>
          </cell>
          <cell r="J1065">
            <v>39748</v>
          </cell>
          <cell r="K1065">
            <v>5.91</v>
          </cell>
          <cell r="M1065">
            <v>39714</v>
          </cell>
          <cell r="N1065">
            <v>3.94</v>
          </cell>
          <cell r="P1065">
            <v>39750</v>
          </cell>
          <cell r="Q1065">
            <v>47.82</v>
          </cell>
        </row>
        <row r="1066">
          <cell r="D1066">
            <v>39749</v>
          </cell>
          <cell r="E1066">
            <v>7.51</v>
          </cell>
          <cell r="G1066">
            <v>39749</v>
          </cell>
          <cell r="H1066">
            <v>4.4800000000000004</v>
          </cell>
          <cell r="J1066">
            <v>39745</v>
          </cell>
          <cell r="K1066">
            <v>5.76</v>
          </cell>
          <cell r="M1066">
            <v>39713</v>
          </cell>
          <cell r="N1066">
            <v>4</v>
          </cell>
          <cell r="P1066">
            <v>39749</v>
          </cell>
          <cell r="Q1066">
            <v>46.99</v>
          </cell>
        </row>
        <row r="1067">
          <cell r="D1067">
            <v>39748</v>
          </cell>
          <cell r="E1067">
            <v>7.46</v>
          </cell>
          <cell r="G1067">
            <v>39748</v>
          </cell>
          <cell r="H1067">
            <v>4.3600000000000003</v>
          </cell>
          <cell r="J1067">
            <v>39744</v>
          </cell>
          <cell r="K1067">
            <v>6.03</v>
          </cell>
          <cell r="M1067">
            <v>39710</v>
          </cell>
          <cell r="N1067">
            <v>4.3600000000000003</v>
          </cell>
          <cell r="P1067">
            <v>39748</v>
          </cell>
          <cell r="Q1067">
            <v>42.66</v>
          </cell>
        </row>
        <row r="1068">
          <cell r="D1068">
            <v>39745</v>
          </cell>
          <cell r="E1068">
            <v>7.34</v>
          </cell>
          <cell r="G1068">
            <v>39745</v>
          </cell>
          <cell r="H1068">
            <v>4.1500000000000004</v>
          </cell>
          <cell r="J1068">
            <v>39743</v>
          </cell>
          <cell r="K1068">
            <v>6.14</v>
          </cell>
          <cell r="M1068">
            <v>39709</v>
          </cell>
          <cell r="N1068">
            <v>4.0999999999999996</v>
          </cell>
          <cell r="P1068">
            <v>39745</v>
          </cell>
          <cell r="Q1068">
            <v>44.96</v>
          </cell>
        </row>
        <row r="1069">
          <cell r="D1069">
            <v>39744</v>
          </cell>
          <cell r="E1069">
            <v>7.74</v>
          </cell>
          <cell r="G1069">
            <v>39744</v>
          </cell>
          <cell r="H1069">
            <v>4.16</v>
          </cell>
          <cell r="J1069">
            <v>39742</v>
          </cell>
          <cell r="K1069">
            <v>5.79</v>
          </cell>
          <cell r="M1069">
            <v>39708</v>
          </cell>
          <cell r="N1069">
            <v>4.0999999999999996</v>
          </cell>
          <cell r="P1069">
            <v>39744</v>
          </cell>
          <cell r="Q1069">
            <v>46.2</v>
          </cell>
        </row>
        <row r="1070">
          <cell r="D1070">
            <v>39743</v>
          </cell>
          <cell r="E1070">
            <v>7.81</v>
          </cell>
          <cell r="G1070">
            <v>39743</v>
          </cell>
          <cell r="H1070">
            <v>4.4000000000000004</v>
          </cell>
          <cell r="J1070">
            <v>39741</v>
          </cell>
          <cell r="K1070">
            <v>6.04</v>
          </cell>
          <cell r="M1070">
            <v>39707</v>
          </cell>
          <cell r="N1070">
            <v>4.1498999999999997</v>
          </cell>
          <cell r="P1070">
            <v>39743</v>
          </cell>
          <cell r="Q1070">
            <v>48.65</v>
          </cell>
        </row>
        <row r="1071">
          <cell r="D1071">
            <v>39742</v>
          </cell>
          <cell r="E1071">
            <v>7.75</v>
          </cell>
          <cell r="G1071">
            <v>39742</v>
          </cell>
          <cell r="H1071">
            <v>4.5199999999999996</v>
          </cell>
          <cell r="J1071">
            <v>39738</v>
          </cell>
          <cell r="K1071">
            <v>5.62</v>
          </cell>
          <cell r="M1071">
            <v>39706</v>
          </cell>
          <cell r="N1071">
            <v>4.04</v>
          </cell>
          <cell r="P1071">
            <v>39742</v>
          </cell>
          <cell r="Q1071">
            <v>50.527000000000001</v>
          </cell>
        </row>
        <row r="1072">
          <cell r="D1072">
            <v>39741</v>
          </cell>
          <cell r="E1072">
            <v>8.1</v>
          </cell>
          <cell r="G1072">
            <v>39741</v>
          </cell>
          <cell r="H1072">
            <v>4.66</v>
          </cell>
          <cell r="J1072">
            <v>39737</v>
          </cell>
          <cell r="K1072">
            <v>5.41</v>
          </cell>
          <cell r="M1072">
            <v>39703</v>
          </cell>
          <cell r="N1072">
            <v>4.57</v>
          </cell>
          <cell r="P1072">
            <v>39741</v>
          </cell>
          <cell r="Q1072">
            <v>53.91</v>
          </cell>
        </row>
        <row r="1073">
          <cell r="D1073">
            <v>39738</v>
          </cell>
          <cell r="E1073">
            <v>8</v>
          </cell>
          <cell r="G1073">
            <v>39738</v>
          </cell>
          <cell r="H1073">
            <v>4.5599999999999996</v>
          </cell>
          <cell r="J1073">
            <v>39736</v>
          </cell>
          <cell r="K1073">
            <v>5.26</v>
          </cell>
          <cell r="M1073">
            <v>39702</v>
          </cell>
          <cell r="N1073">
            <v>4.5</v>
          </cell>
          <cell r="P1073">
            <v>39738</v>
          </cell>
          <cell r="Q1073">
            <v>59.01</v>
          </cell>
        </row>
        <row r="1074">
          <cell r="D1074">
            <v>39737</v>
          </cell>
          <cell r="E1074">
            <v>7.87</v>
          </cell>
          <cell r="G1074">
            <v>39737</v>
          </cell>
          <cell r="H1074">
            <v>4.82</v>
          </cell>
          <cell r="J1074">
            <v>39735</v>
          </cell>
          <cell r="K1074">
            <v>5.26</v>
          </cell>
          <cell r="M1074">
            <v>39701</v>
          </cell>
          <cell r="N1074">
            <v>4.5</v>
          </cell>
          <cell r="P1074">
            <v>39737</v>
          </cell>
          <cell r="Q1074">
            <v>59.24</v>
          </cell>
        </row>
        <row r="1075">
          <cell r="D1075">
            <v>39736</v>
          </cell>
          <cell r="E1075">
            <v>7.61</v>
          </cell>
          <cell r="G1075">
            <v>39736</v>
          </cell>
          <cell r="H1075">
            <v>4.75</v>
          </cell>
          <cell r="J1075">
            <v>39734</v>
          </cell>
          <cell r="K1075">
            <v>5.51</v>
          </cell>
          <cell r="M1075">
            <v>39700</v>
          </cell>
          <cell r="N1075">
            <v>4.6500000000000004</v>
          </cell>
          <cell r="P1075">
            <v>39736</v>
          </cell>
          <cell r="Q1075">
            <v>55.75</v>
          </cell>
        </row>
        <row r="1076">
          <cell r="D1076">
            <v>39735</v>
          </cell>
          <cell r="E1076">
            <v>8.57</v>
          </cell>
          <cell r="G1076">
            <v>39735</v>
          </cell>
          <cell r="H1076">
            <v>5.1100000000000003</v>
          </cell>
          <cell r="J1076">
            <v>39731</v>
          </cell>
          <cell r="K1076">
            <v>5.45</v>
          </cell>
          <cell r="M1076">
            <v>39699</v>
          </cell>
          <cell r="N1076">
            <v>4.6500000000000004</v>
          </cell>
          <cell r="P1076">
            <v>39735</v>
          </cell>
          <cell r="Q1076">
            <v>60.12</v>
          </cell>
        </row>
        <row r="1077">
          <cell r="D1077">
            <v>39734</v>
          </cell>
          <cell r="E1077">
            <v>8.85</v>
          </cell>
          <cell r="G1077">
            <v>39734</v>
          </cell>
          <cell r="H1077">
            <v>5.6</v>
          </cell>
          <cell r="J1077">
            <v>39730</v>
          </cell>
          <cell r="K1077">
            <v>5.66</v>
          </cell>
          <cell r="M1077">
            <v>39696</v>
          </cell>
          <cell r="N1077">
            <v>4.99</v>
          </cell>
          <cell r="P1077">
            <v>39734</v>
          </cell>
          <cell r="Q1077">
            <v>63.87</v>
          </cell>
        </row>
        <row r="1078">
          <cell r="D1078">
            <v>39731</v>
          </cell>
          <cell r="E1078">
            <v>7.9</v>
          </cell>
          <cell r="G1078">
            <v>39731</v>
          </cell>
          <cell r="H1078">
            <v>5.27</v>
          </cell>
          <cell r="J1078">
            <v>39729</v>
          </cell>
          <cell r="K1078">
            <v>5.79</v>
          </cell>
          <cell r="M1078">
            <v>39695</v>
          </cell>
          <cell r="N1078">
            <v>4.9400000000000004</v>
          </cell>
          <cell r="P1078">
            <v>39731</v>
          </cell>
          <cell r="Q1078">
            <v>55.28</v>
          </cell>
        </row>
        <row r="1079">
          <cell r="D1079">
            <v>39730</v>
          </cell>
          <cell r="E1079">
            <v>7.96</v>
          </cell>
          <cell r="G1079">
            <v>39730</v>
          </cell>
          <cell r="H1079">
            <v>5.1100000000000003</v>
          </cell>
          <cell r="J1079">
            <v>39728</v>
          </cell>
          <cell r="K1079">
            <v>5.95</v>
          </cell>
          <cell r="M1079">
            <v>39694</v>
          </cell>
          <cell r="N1079">
            <v>5.18</v>
          </cell>
          <cell r="P1079">
            <v>39730</v>
          </cell>
          <cell r="Q1079">
            <v>59.03</v>
          </cell>
        </row>
        <row r="1080">
          <cell r="D1080">
            <v>39729</v>
          </cell>
          <cell r="E1080">
            <v>7.93</v>
          </cell>
          <cell r="G1080">
            <v>39729</v>
          </cell>
          <cell r="H1080">
            <v>5.43</v>
          </cell>
          <cell r="J1080">
            <v>39727</v>
          </cell>
          <cell r="K1080">
            <v>6.12</v>
          </cell>
          <cell r="M1080">
            <v>39693</v>
          </cell>
          <cell r="N1080">
            <v>5.19</v>
          </cell>
          <cell r="P1080">
            <v>39729</v>
          </cell>
          <cell r="Q1080">
            <v>57.6</v>
          </cell>
        </row>
        <row r="1081">
          <cell r="D1081">
            <v>39728</v>
          </cell>
          <cell r="E1081">
            <v>7.97</v>
          </cell>
          <cell r="G1081">
            <v>39728</v>
          </cell>
          <cell r="H1081">
            <v>5.48</v>
          </cell>
          <cell r="J1081">
            <v>39724</v>
          </cell>
          <cell r="K1081">
            <v>7.43</v>
          </cell>
          <cell r="M1081">
            <v>39689</v>
          </cell>
          <cell r="N1081">
            <v>5.22</v>
          </cell>
          <cell r="P1081">
            <v>39728</v>
          </cell>
          <cell r="Q1081">
            <v>55.05</v>
          </cell>
        </row>
        <row r="1082">
          <cell r="D1082">
            <v>39727</v>
          </cell>
          <cell r="E1082">
            <v>8.5</v>
          </cell>
          <cell r="G1082">
            <v>39727</v>
          </cell>
          <cell r="H1082">
            <v>5.92</v>
          </cell>
          <cell r="J1082">
            <v>39723</v>
          </cell>
          <cell r="K1082">
            <v>8.01</v>
          </cell>
          <cell r="M1082">
            <v>39688</v>
          </cell>
          <cell r="N1082">
            <v>5.2</v>
          </cell>
          <cell r="P1082">
            <v>39727</v>
          </cell>
          <cell r="Q1082">
            <v>59.66</v>
          </cell>
        </row>
        <row r="1083">
          <cell r="D1083">
            <v>39724</v>
          </cell>
          <cell r="E1083">
            <v>8.75</v>
          </cell>
          <cell r="G1083">
            <v>39724</v>
          </cell>
          <cell r="H1083">
            <v>6.17</v>
          </cell>
          <cell r="J1083">
            <v>39722</v>
          </cell>
          <cell r="K1083">
            <v>8.4499999999999993</v>
          </cell>
          <cell r="M1083">
            <v>39687</v>
          </cell>
          <cell r="N1083">
            <v>5.19</v>
          </cell>
          <cell r="P1083">
            <v>39724</v>
          </cell>
          <cell r="Q1083">
            <v>60.96</v>
          </cell>
        </row>
        <row r="1084">
          <cell r="D1084">
            <v>39723</v>
          </cell>
          <cell r="E1084">
            <v>8.99</v>
          </cell>
          <cell r="G1084">
            <v>39723</v>
          </cell>
          <cell r="H1084">
            <v>6.1</v>
          </cell>
          <cell r="J1084">
            <v>39721</v>
          </cell>
          <cell r="K1084">
            <v>8.85</v>
          </cell>
          <cell r="M1084">
            <v>39686</v>
          </cell>
          <cell r="N1084">
            <v>5.15</v>
          </cell>
          <cell r="P1084">
            <v>39723</v>
          </cell>
          <cell r="Q1084">
            <v>62</v>
          </cell>
        </row>
        <row r="1085">
          <cell r="D1085">
            <v>39722</v>
          </cell>
          <cell r="E1085">
            <v>9.76</v>
          </cell>
          <cell r="G1085">
            <v>39722</v>
          </cell>
          <cell r="H1085">
            <v>6.33</v>
          </cell>
          <cell r="J1085">
            <v>39720</v>
          </cell>
          <cell r="K1085">
            <v>8.8800000000000008</v>
          </cell>
          <cell r="M1085">
            <v>39685</v>
          </cell>
          <cell r="N1085">
            <v>4.55</v>
          </cell>
          <cell r="P1085">
            <v>39722</v>
          </cell>
          <cell r="Q1085">
            <v>66.930000000000007</v>
          </cell>
        </row>
        <row r="1086">
          <cell r="D1086">
            <v>39721</v>
          </cell>
          <cell r="E1086">
            <v>9.9700000000000006</v>
          </cell>
          <cell r="G1086">
            <v>39721</v>
          </cell>
          <cell r="H1086">
            <v>6.06</v>
          </cell>
          <cell r="J1086">
            <v>39717</v>
          </cell>
          <cell r="K1086">
            <v>8.98</v>
          </cell>
          <cell r="M1086">
            <v>39682</v>
          </cell>
          <cell r="N1086">
            <v>4.5</v>
          </cell>
          <cell r="P1086">
            <v>39721</v>
          </cell>
          <cell r="Q1086">
            <v>68.3</v>
          </cell>
        </row>
        <row r="1087">
          <cell r="D1087">
            <v>39720</v>
          </cell>
          <cell r="E1087">
            <v>9.94</v>
          </cell>
          <cell r="G1087">
            <v>39720</v>
          </cell>
          <cell r="H1087">
            <v>5.98</v>
          </cell>
          <cell r="J1087">
            <v>39716</v>
          </cell>
          <cell r="K1087">
            <v>8.74</v>
          </cell>
          <cell r="M1087">
            <v>39681</v>
          </cell>
          <cell r="N1087">
            <v>4.43</v>
          </cell>
          <cell r="P1087">
            <v>39720</v>
          </cell>
          <cell r="Q1087">
            <v>61.73</v>
          </cell>
        </row>
        <row r="1088">
          <cell r="D1088">
            <v>39717</v>
          </cell>
          <cell r="E1088">
            <v>9.92</v>
          </cell>
          <cell r="G1088">
            <v>39717</v>
          </cell>
          <cell r="H1088">
            <v>6.29</v>
          </cell>
          <cell r="J1088">
            <v>39715</v>
          </cell>
          <cell r="K1088">
            <v>8.6</v>
          </cell>
          <cell r="M1088">
            <v>39680</v>
          </cell>
          <cell r="N1088">
            <v>4.38</v>
          </cell>
          <cell r="P1088">
            <v>39717</v>
          </cell>
          <cell r="Q1088">
            <v>70.760000000000005</v>
          </cell>
        </row>
        <row r="1089">
          <cell r="D1089">
            <v>39716</v>
          </cell>
          <cell r="E1089">
            <v>9.8699999999999992</v>
          </cell>
          <cell r="G1089">
            <v>39716</v>
          </cell>
          <cell r="H1089">
            <v>6.44</v>
          </cell>
          <cell r="J1089">
            <v>39714</v>
          </cell>
          <cell r="K1089">
            <v>8.8800000000000008</v>
          </cell>
          <cell r="M1089">
            <v>39679</v>
          </cell>
          <cell r="N1089">
            <v>4.42</v>
          </cell>
          <cell r="P1089">
            <v>39716</v>
          </cell>
          <cell r="Q1089">
            <v>97.53</v>
          </cell>
        </row>
        <row r="1090">
          <cell r="D1090">
            <v>39715</v>
          </cell>
          <cell r="E1090">
            <v>10.119999999999999</v>
          </cell>
          <cell r="G1090">
            <v>39715</v>
          </cell>
          <cell r="H1090">
            <v>6.13</v>
          </cell>
          <cell r="J1090">
            <v>39713</v>
          </cell>
          <cell r="K1090">
            <v>9.07</v>
          </cell>
          <cell r="M1090">
            <v>39678</v>
          </cell>
          <cell r="N1090">
            <v>4.0999999999999996</v>
          </cell>
          <cell r="P1090">
            <v>39715</v>
          </cell>
          <cell r="Q1090">
            <v>96.71</v>
          </cell>
        </row>
        <row r="1091">
          <cell r="D1091">
            <v>39714</v>
          </cell>
          <cell r="E1091">
            <v>10.07</v>
          </cell>
          <cell r="G1091">
            <v>39714</v>
          </cell>
          <cell r="H1091">
            <v>6.18</v>
          </cell>
          <cell r="J1091">
            <v>39710</v>
          </cell>
          <cell r="K1091">
            <v>9.1</v>
          </cell>
          <cell r="M1091">
            <v>39675</v>
          </cell>
          <cell r="N1091">
            <v>4.42</v>
          </cell>
          <cell r="P1091">
            <v>39714</v>
          </cell>
          <cell r="Q1091">
            <v>96.97</v>
          </cell>
        </row>
        <row r="1092">
          <cell r="D1092">
            <v>39713</v>
          </cell>
          <cell r="E1092">
            <v>10.199999999999999</v>
          </cell>
          <cell r="G1092">
            <v>39713</v>
          </cell>
          <cell r="H1092">
            <v>6.31</v>
          </cell>
          <cell r="J1092">
            <v>39709</v>
          </cell>
          <cell r="K1092">
            <v>9</v>
          </cell>
          <cell r="M1092">
            <v>39674</v>
          </cell>
          <cell r="N1092">
            <v>4.43</v>
          </cell>
          <cell r="P1092">
            <v>39713</v>
          </cell>
          <cell r="Q1092">
            <v>97.84</v>
          </cell>
        </row>
        <row r="1093">
          <cell r="D1093">
            <v>39710</v>
          </cell>
          <cell r="E1093">
            <v>10.47</v>
          </cell>
          <cell r="G1093">
            <v>39710</v>
          </cell>
          <cell r="H1093">
            <v>6.62</v>
          </cell>
          <cell r="J1093">
            <v>39708</v>
          </cell>
          <cell r="K1093">
            <v>8.8000000000000007</v>
          </cell>
          <cell r="M1093">
            <v>39673</v>
          </cell>
          <cell r="N1093">
            <v>4.43</v>
          </cell>
          <cell r="P1093">
            <v>39710</v>
          </cell>
          <cell r="Q1093">
            <v>103.44</v>
          </cell>
        </row>
        <row r="1094">
          <cell r="D1094">
            <v>39709</v>
          </cell>
          <cell r="E1094">
            <v>10.41</v>
          </cell>
          <cell r="G1094">
            <v>39709</v>
          </cell>
          <cell r="H1094">
            <v>6.2</v>
          </cell>
          <cell r="J1094">
            <v>39707</v>
          </cell>
          <cell r="K1094">
            <v>8.9600000000000009</v>
          </cell>
          <cell r="M1094">
            <v>39672</v>
          </cell>
          <cell r="N1094">
            <v>4.42</v>
          </cell>
          <cell r="P1094">
            <v>39709</v>
          </cell>
          <cell r="Q1094">
            <v>98.18</v>
          </cell>
        </row>
        <row r="1095">
          <cell r="D1095">
            <v>39708</v>
          </cell>
          <cell r="E1095">
            <v>9.92</v>
          </cell>
          <cell r="G1095">
            <v>39708</v>
          </cell>
          <cell r="H1095">
            <v>5.85</v>
          </cell>
          <cell r="J1095">
            <v>39706</v>
          </cell>
          <cell r="K1095">
            <v>8.8800000000000008</v>
          </cell>
          <cell r="M1095">
            <v>39671</v>
          </cell>
          <cell r="N1095">
            <v>4.45</v>
          </cell>
          <cell r="P1095">
            <v>39708</v>
          </cell>
          <cell r="Q1095">
            <v>93</v>
          </cell>
        </row>
        <row r="1096">
          <cell r="D1096">
            <v>39707</v>
          </cell>
          <cell r="E1096">
            <v>10.24</v>
          </cell>
          <cell r="G1096">
            <v>39707</v>
          </cell>
          <cell r="H1096">
            <v>5.89</v>
          </cell>
          <cell r="J1096">
            <v>39703</v>
          </cell>
          <cell r="K1096">
            <v>8.77</v>
          </cell>
          <cell r="M1096">
            <v>39668</v>
          </cell>
          <cell r="N1096">
            <v>4.49</v>
          </cell>
          <cell r="P1096">
            <v>39707</v>
          </cell>
          <cell r="Q1096">
            <v>100.72</v>
          </cell>
        </row>
        <row r="1097">
          <cell r="D1097">
            <v>39706</v>
          </cell>
          <cell r="E1097">
            <v>10.62</v>
          </cell>
          <cell r="G1097">
            <v>39706</v>
          </cell>
          <cell r="H1097">
            <v>5.86</v>
          </cell>
          <cell r="J1097">
            <v>39702</v>
          </cell>
          <cell r="K1097">
            <v>9</v>
          </cell>
          <cell r="M1097">
            <v>39667</v>
          </cell>
          <cell r="N1097">
            <v>4.58</v>
          </cell>
          <cell r="P1097">
            <v>39706</v>
          </cell>
          <cell r="Q1097">
            <v>98.27</v>
          </cell>
        </row>
        <row r="1098">
          <cell r="D1098">
            <v>39703</v>
          </cell>
          <cell r="E1098">
            <v>10.99</v>
          </cell>
          <cell r="G1098">
            <v>39703</v>
          </cell>
          <cell r="H1098">
            <v>6.1</v>
          </cell>
          <cell r="J1098">
            <v>39701</v>
          </cell>
          <cell r="K1098">
            <v>8.94</v>
          </cell>
          <cell r="M1098">
            <v>39666</v>
          </cell>
          <cell r="N1098">
            <v>4.32</v>
          </cell>
          <cell r="P1098">
            <v>39703</v>
          </cell>
          <cell r="Q1098">
            <v>105.67</v>
          </cell>
        </row>
        <row r="1099">
          <cell r="D1099">
            <v>39702</v>
          </cell>
          <cell r="E1099">
            <v>10.92</v>
          </cell>
          <cell r="G1099">
            <v>39702</v>
          </cell>
          <cell r="H1099">
            <v>6.14</v>
          </cell>
          <cell r="J1099">
            <v>39700</v>
          </cell>
          <cell r="K1099">
            <v>9</v>
          </cell>
          <cell r="M1099">
            <v>39665</v>
          </cell>
          <cell r="N1099">
            <v>4.2699999999999996</v>
          </cell>
          <cell r="P1099">
            <v>39702</v>
          </cell>
          <cell r="Q1099">
            <v>109.32</v>
          </cell>
        </row>
        <row r="1100">
          <cell r="D1100">
            <v>39701</v>
          </cell>
          <cell r="E1100">
            <v>10.99</v>
          </cell>
          <cell r="G1100">
            <v>39701</v>
          </cell>
          <cell r="H1100">
            <v>6.37</v>
          </cell>
          <cell r="J1100">
            <v>39699</v>
          </cell>
          <cell r="K1100">
            <v>9.01</v>
          </cell>
          <cell r="M1100">
            <v>39664</v>
          </cell>
          <cell r="N1100">
            <v>6</v>
          </cell>
          <cell r="P1100">
            <v>39701</v>
          </cell>
          <cell r="Q1100">
            <v>104.61</v>
          </cell>
        </row>
        <row r="1101">
          <cell r="D1101">
            <v>39700</v>
          </cell>
          <cell r="E1101">
            <v>10.87</v>
          </cell>
          <cell r="G1101">
            <v>39700</v>
          </cell>
          <cell r="H1101">
            <v>6.1</v>
          </cell>
          <cell r="J1101">
            <v>39696</v>
          </cell>
          <cell r="K1101">
            <v>8.91</v>
          </cell>
          <cell r="M1101">
            <v>39661</v>
          </cell>
          <cell r="N1101">
            <v>6.15</v>
          </cell>
          <cell r="P1101">
            <v>39700</v>
          </cell>
          <cell r="Q1101">
            <v>99.3</v>
          </cell>
        </row>
        <row r="1102">
          <cell r="D1102">
            <v>39699</v>
          </cell>
          <cell r="E1102">
            <v>11.67</v>
          </cell>
          <cell r="G1102">
            <v>39699</v>
          </cell>
          <cell r="H1102">
            <v>6.19</v>
          </cell>
          <cell r="J1102">
            <v>39695</v>
          </cell>
          <cell r="K1102">
            <v>8.9600000000000009</v>
          </cell>
          <cell r="M1102">
            <v>39660</v>
          </cell>
          <cell r="N1102">
            <v>6.21</v>
          </cell>
          <cell r="P1102">
            <v>39699</v>
          </cell>
          <cell r="Q1102">
            <v>102.67</v>
          </cell>
        </row>
        <row r="1103">
          <cell r="D1103">
            <v>39696</v>
          </cell>
          <cell r="E1103">
            <v>11.89</v>
          </cell>
          <cell r="G1103">
            <v>39696</v>
          </cell>
          <cell r="H1103">
            <v>6.22</v>
          </cell>
          <cell r="J1103">
            <v>39694</v>
          </cell>
          <cell r="K1103">
            <v>8.9600000000000009</v>
          </cell>
          <cell r="M1103">
            <v>39659</v>
          </cell>
          <cell r="N1103">
            <v>6.26</v>
          </cell>
          <cell r="P1103">
            <v>39696</v>
          </cell>
          <cell r="Q1103">
            <v>106.95</v>
          </cell>
        </row>
        <row r="1104">
          <cell r="D1104">
            <v>39695</v>
          </cell>
          <cell r="E1104">
            <v>11.97</v>
          </cell>
          <cell r="G1104">
            <v>39695</v>
          </cell>
          <cell r="H1104">
            <v>6.18</v>
          </cell>
          <cell r="J1104">
            <v>39693</v>
          </cell>
          <cell r="K1104">
            <v>9.0500000000000007</v>
          </cell>
          <cell r="M1104">
            <v>39658</v>
          </cell>
          <cell r="N1104">
            <v>6.12</v>
          </cell>
          <cell r="P1104">
            <v>39695</v>
          </cell>
          <cell r="Q1104">
            <v>107.49</v>
          </cell>
        </row>
        <row r="1105">
          <cell r="D1105">
            <v>39694</v>
          </cell>
          <cell r="E1105">
            <v>12.39</v>
          </cell>
          <cell r="G1105">
            <v>39694</v>
          </cell>
          <cell r="H1105">
            <v>6.2</v>
          </cell>
          <cell r="J1105">
            <v>39689</v>
          </cell>
          <cell r="K1105">
            <v>8.99</v>
          </cell>
          <cell r="M1105">
            <v>39657</v>
          </cell>
          <cell r="N1105">
            <v>6.01</v>
          </cell>
          <cell r="P1105">
            <v>39694</v>
          </cell>
          <cell r="Q1105">
            <v>114.78</v>
          </cell>
        </row>
        <row r="1106">
          <cell r="D1106">
            <v>39693</v>
          </cell>
          <cell r="E1106">
            <v>12.8</v>
          </cell>
          <cell r="G1106">
            <v>39693</v>
          </cell>
          <cell r="H1106">
            <v>6.15</v>
          </cell>
          <cell r="J1106">
            <v>39688</v>
          </cell>
          <cell r="K1106">
            <v>8.75</v>
          </cell>
          <cell r="M1106">
            <v>39654</v>
          </cell>
          <cell r="N1106">
            <v>6.15</v>
          </cell>
          <cell r="P1106">
            <v>39693</v>
          </cell>
          <cell r="Q1106">
            <v>118.35</v>
          </cell>
        </row>
        <row r="1107">
          <cell r="D1107">
            <v>39689</v>
          </cell>
          <cell r="E1107">
            <v>12.71</v>
          </cell>
          <cell r="G1107">
            <v>39689</v>
          </cell>
          <cell r="H1107">
            <v>6.23</v>
          </cell>
          <cell r="J1107">
            <v>39687</v>
          </cell>
          <cell r="K1107">
            <v>8.5500000000000007</v>
          </cell>
          <cell r="M1107">
            <v>39653</v>
          </cell>
          <cell r="N1107">
            <v>6.32</v>
          </cell>
          <cell r="P1107">
            <v>39689</v>
          </cell>
          <cell r="Q1107">
            <v>121.6</v>
          </cell>
        </row>
        <row r="1108">
          <cell r="D1108">
            <v>39688</v>
          </cell>
          <cell r="E1108">
            <v>12.28</v>
          </cell>
          <cell r="G1108">
            <v>39688</v>
          </cell>
          <cell r="H1108">
            <v>6.25</v>
          </cell>
          <cell r="J1108">
            <v>39686</v>
          </cell>
          <cell r="K1108">
            <v>8.58</v>
          </cell>
          <cell r="M1108">
            <v>39652</v>
          </cell>
          <cell r="N1108">
            <v>6.35</v>
          </cell>
          <cell r="P1108">
            <v>39688</v>
          </cell>
          <cell r="Q1108">
            <v>126.65</v>
          </cell>
        </row>
        <row r="1109">
          <cell r="D1109">
            <v>39687</v>
          </cell>
          <cell r="E1109">
            <v>12.18</v>
          </cell>
          <cell r="G1109">
            <v>39687</v>
          </cell>
          <cell r="H1109">
            <v>6.25</v>
          </cell>
          <cell r="J1109">
            <v>39685</v>
          </cell>
          <cell r="K1109">
            <v>8.44</v>
          </cell>
          <cell r="M1109">
            <v>39651</v>
          </cell>
          <cell r="N1109">
            <v>6.5</v>
          </cell>
          <cell r="P1109">
            <v>39687</v>
          </cell>
          <cell r="Q1109">
            <v>128.22</v>
          </cell>
        </row>
        <row r="1110">
          <cell r="D1110">
            <v>39686</v>
          </cell>
          <cell r="E1110">
            <v>12.19</v>
          </cell>
          <cell r="G1110">
            <v>39686</v>
          </cell>
          <cell r="H1110">
            <v>6.25</v>
          </cell>
          <cell r="J1110">
            <v>39682</v>
          </cell>
          <cell r="K1110">
            <v>8.4</v>
          </cell>
          <cell r="M1110">
            <v>39650</v>
          </cell>
          <cell r="N1110">
            <v>6.51</v>
          </cell>
          <cell r="P1110">
            <v>39686</v>
          </cell>
          <cell r="Q1110">
            <v>127.18</v>
          </cell>
        </row>
        <row r="1111">
          <cell r="D1111">
            <v>39685</v>
          </cell>
          <cell r="E1111">
            <v>12.38</v>
          </cell>
          <cell r="G1111">
            <v>39685</v>
          </cell>
          <cell r="H1111">
            <v>6.16</v>
          </cell>
          <cell r="J1111">
            <v>39681</v>
          </cell>
          <cell r="K1111">
            <v>8.33</v>
          </cell>
          <cell r="M1111">
            <v>39647</v>
          </cell>
          <cell r="N1111">
            <v>6.43</v>
          </cell>
          <cell r="P1111">
            <v>39685</v>
          </cell>
          <cell r="Q1111">
            <v>127.03</v>
          </cell>
        </row>
        <row r="1112">
          <cell r="D1112">
            <v>39682</v>
          </cell>
          <cell r="E1112">
            <v>12.43</v>
          </cell>
          <cell r="G1112">
            <v>39682</v>
          </cell>
          <cell r="H1112">
            <v>6.27</v>
          </cell>
          <cell r="J1112">
            <v>39680</v>
          </cell>
          <cell r="K1112">
            <v>8.42</v>
          </cell>
          <cell r="M1112">
            <v>39646</v>
          </cell>
          <cell r="N1112">
            <v>6.04</v>
          </cell>
          <cell r="P1112">
            <v>39682</v>
          </cell>
          <cell r="Q1112">
            <v>131.44999999999999</v>
          </cell>
        </row>
        <row r="1113">
          <cell r="D1113">
            <v>39681</v>
          </cell>
          <cell r="E1113">
            <v>12.14</v>
          </cell>
          <cell r="G1113">
            <v>39681</v>
          </cell>
          <cell r="H1113">
            <v>6.32</v>
          </cell>
          <cell r="J1113">
            <v>39679</v>
          </cell>
          <cell r="K1113">
            <v>8.43</v>
          </cell>
          <cell r="M1113">
            <v>39645</v>
          </cell>
          <cell r="N1113">
            <v>5.95</v>
          </cell>
          <cell r="P1113">
            <v>39681</v>
          </cell>
          <cell r="Q1113">
            <v>132.30000000000001</v>
          </cell>
        </row>
        <row r="1114">
          <cell r="D1114">
            <v>39680</v>
          </cell>
          <cell r="E1114">
            <v>12.19</v>
          </cell>
          <cell r="G1114">
            <v>39680</v>
          </cell>
          <cell r="H1114">
            <v>6.29</v>
          </cell>
          <cell r="J1114">
            <v>39678</v>
          </cell>
          <cell r="K1114">
            <v>8.27</v>
          </cell>
          <cell r="M1114">
            <v>39644</v>
          </cell>
          <cell r="N1114">
            <v>5.92</v>
          </cell>
          <cell r="P1114">
            <v>39680</v>
          </cell>
          <cell r="Q1114">
            <v>130.28</v>
          </cell>
        </row>
        <row r="1115">
          <cell r="D1115">
            <v>39679</v>
          </cell>
          <cell r="E1115">
            <v>12.26</v>
          </cell>
          <cell r="G1115">
            <v>39679</v>
          </cell>
          <cell r="H1115">
            <v>8.4</v>
          </cell>
          <cell r="J1115">
            <v>39675</v>
          </cell>
          <cell r="K1115">
            <v>7.95</v>
          </cell>
          <cell r="M1115">
            <v>39643</v>
          </cell>
          <cell r="N1115">
            <v>6</v>
          </cell>
          <cell r="P1115">
            <v>39679</v>
          </cell>
          <cell r="Q1115">
            <v>125.95</v>
          </cell>
        </row>
        <row r="1116">
          <cell r="D1116">
            <v>39678</v>
          </cell>
          <cell r="E1116">
            <v>12.28</v>
          </cell>
          <cell r="G1116">
            <v>39678</v>
          </cell>
          <cell r="H1116">
            <v>8.92</v>
          </cell>
          <cell r="J1116">
            <v>39674</v>
          </cell>
          <cell r="K1116">
            <v>7.62</v>
          </cell>
          <cell r="M1116">
            <v>39640</v>
          </cell>
          <cell r="N1116">
            <v>6.32</v>
          </cell>
          <cell r="P1116">
            <v>39678</v>
          </cell>
          <cell r="Q1116">
            <v>127.01</v>
          </cell>
        </row>
        <row r="1117">
          <cell r="D1117">
            <v>39675</v>
          </cell>
          <cell r="E1117">
            <v>12.27</v>
          </cell>
          <cell r="G1117">
            <v>39675</v>
          </cell>
          <cell r="H1117">
            <v>9.15</v>
          </cell>
          <cell r="J1117">
            <v>39673</v>
          </cell>
          <cell r="K1117">
            <v>7.59</v>
          </cell>
          <cell r="M1117">
            <v>39639</v>
          </cell>
          <cell r="N1117">
            <v>6.27</v>
          </cell>
          <cell r="P1117">
            <v>39675</v>
          </cell>
          <cell r="Q1117">
            <v>128.80000000000001</v>
          </cell>
        </row>
        <row r="1118">
          <cell r="D1118">
            <v>39674</v>
          </cell>
          <cell r="E1118">
            <v>12.14</v>
          </cell>
          <cell r="G1118">
            <v>39674</v>
          </cell>
          <cell r="H1118">
            <v>9.24</v>
          </cell>
          <cell r="J1118">
            <v>39672</v>
          </cell>
          <cell r="K1118">
            <v>7.55</v>
          </cell>
          <cell r="M1118">
            <v>39638</v>
          </cell>
          <cell r="N1118">
            <v>6.3</v>
          </cell>
          <cell r="P1118">
            <v>39674</v>
          </cell>
          <cell r="Q1118">
            <v>130.72999999999999</v>
          </cell>
        </row>
        <row r="1119">
          <cell r="D1119">
            <v>39673</v>
          </cell>
          <cell r="E1119">
            <v>12.04</v>
          </cell>
          <cell r="G1119">
            <v>39673</v>
          </cell>
          <cell r="H1119">
            <v>9.15</v>
          </cell>
          <cell r="J1119">
            <v>39671</v>
          </cell>
          <cell r="K1119">
            <v>7.5</v>
          </cell>
          <cell r="M1119">
            <v>39637</v>
          </cell>
          <cell r="N1119">
            <v>6.2</v>
          </cell>
          <cell r="P1119">
            <v>39673</v>
          </cell>
          <cell r="Q1119">
            <v>126.9</v>
          </cell>
        </row>
        <row r="1120">
          <cell r="D1120">
            <v>39672</v>
          </cell>
          <cell r="E1120">
            <v>12.03</v>
          </cell>
          <cell r="G1120">
            <v>39672</v>
          </cell>
          <cell r="H1120">
            <v>9.16</v>
          </cell>
          <cell r="J1120">
            <v>39668</v>
          </cell>
          <cell r="K1120">
            <v>6.77</v>
          </cell>
          <cell r="M1120">
            <v>39636</v>
          </cell>
          <cell r="N1120">
            <v>6.55</v>
          </cell>
          <cell r="P1120">
            <v>39672</v>
          </cell>
          <cell r="Q1120">
            <v>128.29</v>
          </cell>
        </row>
        <row r="1121">
          <cell r="D1121">
            <v>39671</v>
          </cell>
          <cell r="E1121">
            <v>12.15</v>
          </cell>
          <cell r="G1121">
            <v>39671</v>
          </cell>
          <cell r="H1121">
            <v>9.2899999999999991</v>
          </cell>
          <cell r="J1121">
            <v>39667</v>
          </cell>
          <cell r="K1121">
            <v>6.64</v>
          </cell>
          <cell r="M1121">
            <v>39632</v>
          </cell>
          <cell r="N1121">
            <v>6.51</v>
          </cell>
          <cell r="P1121">
            <v>39671</v>
          </cell>
          <cell r="Q1121">
            <v>131.41999999999999</v>
          </cell>
        </row>
        <row r="1122">
          <cell r="D1122">
            <v>39668</v>
          </cell>
          <cell r="E1122">
            <v>12.41</v>
          </cell>
          <cell r="G1122">
            <v>39668</v>
          </cell>
          <cell r="H1122">
            <v>9.11</v>
          </cell>
          <cell r="J1122">
            <v>39666</v>
          </cell>
          <cell r="K1122">
            <v>6.78</v>
          </cell>
          <cell r="M1122">
            <v>39631</v>
          </cell>
          <cell r="N1122">
            <v>6.5</v>
          </cell>
          <cell r="P1122">
            <v>39668</v>
          </cell>
          <cell r="Q1122">
            <v>133.75</v>
          </cell>
        </row>
        <row r="1123">
          <cell r="D1123">
            <v>39667</v>
          </cell>
          <cell r="E1123">
            <v>12.08</v>
          </cell>
          <cell r="G1123">
            <v>39667</v>
          </cell>
          <cell r="H1123">
            <v>9.8000000000000007</v>
          </cell>
          <cell r="J1123">
            <v>39665</v>
          </cell>
          <cell r="K1123">
            <v>6.69</v>
          </cell>
          <cell r="M1123">
            <v>39630</v>
          </cell>
          <cell r="N1123">
            <v>6.85</v>
          </cell>
          <cell r="P1123">
            <v>39667</v>
          </cell>
          <cell r="Q1123">
            <v>127.25</v>
          </cell>
        </row>
        <row r="1124">
          <cell r="D1124">
            <v>39666</v>
          </cell>
          <cell r="E1124">
            <v>12.2</v>
          </cell>
          <cell r="G1124">
            <v>39666</v>
          </cell>
          <cell r="H1124">
            <v>9.9600000000000009</v>
          </cell>
          <cell r="J1124">
            <v>39664</v>
          </cell>
          <cell r="K1124">
            <v>6.82</v>
          </cell>
          <cell r="M1124">
            <v>39629</v>
          </cell>
          <cell r="N1124">
            <v>7.23</v>
          </cell>
          <cell r="P1124">
            <v>39666</v>
          </cell>
          <cell r="Q1124">
            <v>127.3</v>
          </cell>
        </row>
        <row r="1125">
          <cell r="D1125">
            <v>39665</v>
          </cell>
          <cell r="E1125">
            <v>12.02</v>
          </cell>
          <cell r="G1125">
            <v>39665</v>
          </cell>
          <cell r="H1125">
            <v>9.7200000000000006</v>
          </cell>
          <cell r="J1125">
            <v>39661</v>
          </cell>
          <cell r="K1125">
            <v>6.48</v>
          </cell>
          <cell r="M1125">
            <v>39626</v>
          </cell>
          <cell r="N1125">
            <v>6.8</v>
          </cell>
          <cell r="P1125">
            <v>39665</v>
          </cell>
          <cell r="Q1125">
            <v>121.98</v>
          </cell>
        </row>
        <row r="1126">
          <cell r="D1126">
            <v>39664</v>
          </cell>
          <cell r="E1126">
            <v>11.96</v>
          </cell>
          <cell r="G1126">
            <v>39664</v>
          </cell>
          <cell r="H1126">
            <v>9.5</v>
          </cell>
          <cell r="J1126">
            <v>39660</v>
          </cell>
          <cell r="K1126">
            <v>6.88</v>
          </cell>
          <cell r="M1126">
            <v>39625</v>
          </cell>
          <cell r="N1126">
            <v>6.82</v>
          </cell>
          <cell r="P1126">
            <v>39664</v>
          </cell>
          <cell r="Q1126">
            <v>116.43</v>
          </cell>
        </row>
        <row r="1127">
          <cell r="D1127">
            <v>39661</v>
          </cell>
          <cell r="E1127">
            <v>12.14</v>
          </cell>
          <cell r="G1127">
            <v>39661</v>
          </cell>
          <cell r="H1127">
            <v>9.5399999999999991</v>
          </cell>
          <cell r="J1127">
            <v>39659</v>
          </cell>
          <cell r="K1127">
            <v>7.13</v>
          </cell>
          <cell r="M1127">
            <v>39624</v>
          </cell>
          <cell r="N1127">
            <v>6.97</v>
          </cell>
          <cell r="P1127">
            <v>39661</v>
          </cell>
          <cell r="Q1127">
            <v>120.15</v>
          </cell>
        </row>
        <row r="1128">
          <cell r="D1128">
            <v>39660</v>
          </cell>
          <cell r="E1128">
            <v>12.4</v>
          </cell>
          <cell r="G1128">
            <v>39660</v>
          </cell>
          <cell r="H1128">
            <v>9.35</v>
          </cell>
          <cell r="J1128">
            <v>39658</v>
          </cell>
          <cell r="K1128">
            <v>7.19</v>
          </cell>
          <cell r="M1128">
            <v>39623</v>
          </cell>
          <cell r="N1128">
            <v>7</v>
          </cell>
          <cell r="P1128">
            <v>39660</v>
          </cell>
          <cell r="Q1128">
            <v>122.82</v>
          </cell>
        </row>
        <row r="1129">
          <cell r="D1129">
            <v>39659</v>
          </cell>
          <cell r="E1129">
            <v>12.16</v>
          </cell>
          <cell r="G1129">
            <v>39659</v>
          </cell>
          <cell r="H1129">
            <v>9.84</v>
          </cell>
          <cell r="J1129">
            <v>39657</v>
          </cell>
          <cell r="K1129">
            <v>7.19</v>
          </cell>
          <cell r="M1129">
            <v>39622</v>
          </cell>
          <cell r="N1129">
            <v>7</v>
          </cell>
          <cell r="P1129">
            <v>39659</v>
          </cell>
          <cell r="Q1129">
            <v>119.22</v>
          </cell>
        </row>
        <row r="1130">
          <cell r="D1130">
            <v>39658</v>
          </cell>
          <cell r="E1130">
            <v>12.48</v>
          </cell>
          <cell r="G1130">
            <v>39658</v>
          </cell>
          <cell r="H1130">
            <v>9.6</v>
          </cell>
          <cell r="J1130">
            <v>39654</v>
          </cell>
          <cell r="K1130">
            <v>7.2</v>
          </cell>
          <cell r="M1130">
            <v>39619</v>
          </cell>
          <cell r="N1130">
            <v>7.7</v>
          </cell>
          <cell r="P1130">
            <v>39658</v>
          </cell>
          <cell r="Q1130">
            <v>116.06</v>
          </cell>
        </row>
        <row r="1131">
          <cell r="D1131">
            <v>39657</v>
          </cell>
          <cell r="E1131">
            <v>12.91</v>
          </cell>
          <cell r="G1131">
            <v>39657</v>
          </cell>
          <cell r="H1131">
            <v>9.27</v>
          </cell>
          <cell r="J1131">
            <v>39653</v>
          </cell>
          <cell r="K1131">
            <v>7.13</v>
          </cell>
          <cell r="M1131">
            <v>39618</v>
          </cell>
          <cell r="N1131">
            <v>7.48</v>
          </cell>
          <cell r="P1131">
            <v>39657</v>
          </cell>
          <cell r="Q1131">
            <v>113.51</v>
          </cell>
        </row>
        <row r="1132">
          <cell r="D1132">
            <v>39654</v>
          </cell>
          <cell r="E1132">
            <v>13.8</v>
          </cell>
          <cell r="G1132">
            <v>39654</v>
          </cell>
          <cell r="H1132">
            <v>9.3699999999999992</v>
          </cell>
          <cell r="J1132">
            <v>39652</v>
          </cell>
          <cell r="K1132">
            <v>7.34</v>
          </cell>
          <cell r="M1132">
            <v>39617</v>
          </cell>
          <cell r="N1132">
            <v>7.01</v>
          </cell>
          <cell r="P1132">
            <v>39654</v>
          </cell>
          <cell r="Q1132">
            <v>117.43</v>
          </cell>
        </row>
        <row r="1133">
          <cell r="D1133">
            <v>39653</v>
          </cell>
          <cell r="E1133">
            <v>13.25</v>
          </cell>
          <cell r="G1133">
            <v>39653</v>
          </cell>
          <cell r="H1133">
            <v>9.66</v>
          </cell>
          <cell r="J1133">
            <v>39651</v>
          </cell>
          <cell r="K1133">
            <v>7.24</v>
          </cell>
          <cell r="M1133">
            <v>39616</v>
          </cell>
          <cell r="N1133">
            <v>7.17</v>
          </cell>
          <cell r="P1133">
            <v>39653</v>
          </cell>
          <cell r="Q1133">
            <v>114.55</v>
          </cell>
        </row>
        <row r="1134">
          <cell r="D1134">
            <v>39652</v>
          </cell>
          <cell r="E1134">
            <v>16.07</v>
          </cell>
          <cell r="G1134">
            <v>39652</v>
          </cell>
          <cell r="H1134">
            <v>10.33</v>
          </cell>
          <cell r="J1134">
            <v>39650</v>
          </cell>
          <cell r="K1134">
            <v>7.3</v>
          </cell>
          <cell r="M1134">
            <v>39615</v>
          </cell>
          <cell r="N1134">
            <v>7.02</v>
          </cell>
          <cell r="P1134">
            <v>39652</v>
          </cell>
          <cell r="Q1134">
            <v>117.66</v>
          </cell>
        </row>
        <row r="1135">
          <cell r="D1135">
            <v>39651</v>
          </cell>
          <cell r="E1135">
            <v>15.26</v>
          </cell>
          <cell r="G1135">
            <v>39651</v>
          </cell>
          <cell r="H1135">
            <v>10.51</v>
          </cell>
          <cell r="J1135">
            <v>39647</v>
          </cell>
          <cell r="K1135">
            <v>7.33</v>
          </cell>
          <cell r="M1135">
            <v>39612</v>
          </cell>
          <cell r="N1135">
            <v>7.18</v>
          </cell>
          <cell r="P1135">
            <v>39651</v>
          </cell>
          <cell r="Q1135">
            <v>113.53</v>
          </cell>
        </row>
        <row r="1136">
          <cell r="D1136">
            <v>39650</v>
          </cell>
          <cell r="E1136">
            <v>15.15</v>
          </cell>
          <cell r="G1136">
            <v>39650</v>
          </cell>
          <cell r="H1136">
            <v>10.51</v>
          </cell>
          <cell r="J1136">
            <v>39646</v>
          </cell>
          <cell r="K1136">
            <v>7.11</v>
          </cell>
          <cell r="M1136">
            <v>39611</v>
          </cell>
          <cell r="N1136">
            <v>7.1</v>
          </cell>
          <cell r="P1136">
            <v>39650</v>
          </cell>
          <cell r="Q1136">
            <v>115.03</v>
          </cell>
        </row>
        <row r="1137">
          <cell r="D1137">
            <v>39647</v>
          </cell>
          <cell r="E1137">
            <v>15.12</v>
          </cell>
          <cell r="G1137">
            <v>39647</v>
          </cell>
          <cell r="H1137">
            <v>10.71</v>
          </cell>
          <cell r="J1137">
            <v>39645</v>
          </cell>
          <cell r="K1137">
            <v>6.6349999999999998</v>
          </cell>
          <cell r="M1137">
            <v>39610</v>
          </cell>
          <cell r="N1137">
            <v>7.31</v>
          </cell>
          <cell r="P1137">
            <v>39647</v>
          </cell>
          <cell r="Q1137">
            <v>112.85</v>
          </cell>
        </row>
        <row r="1138">
          <cell r="D1138">
            <v>39646</v>
          </cell>
          <cell r="E1138">
            <v>15.24</v>
          </cell>
          <cell r="G1138">
            <v>39646</v>
          </cell>
          <cell r="H1138">
            <v>10.84</v>
          </cell>
          <cell r="J1138">
            <v>39644</v>
          </cell>
          <cell r="K1138">
            <v>6.5</v>
          </cell>
          <cell r="M1138">
            <v>39609</v>
          </cell>
          <cell r="N1138">
            <v>7</v>
          </cell>
          <cell r="P1138">
            <v>39646</v>
          </cell>
          <cell r="Q1138">
            <v>110.78</v>
          </cell>
        </row>
        <row r="1139">
          <cell r="D1139">
            <v>39645</v>
          </cell>
          <cell r="E1139">
            <v>14.69</v>
          </cell>
          <cell r="G1139">
            <v>39645</v>
          </cell>
          <cell r="H1139">
            <v>10.8</v>
          </cell>
          <cell r="J1139">
            <v>39643</v>
          </cell>
          <cell r="K1139">
            <v>6.5</v>
          </cell>
          <cell r="M1139">
            <v>39608</v>
          </cell>
          <cell r="N1139">
            <v>7.24</v>
          </cell>
          <cell r="P1139">
            <v>39645</v>
          </cell>
          <cell r="Q1139">
            <v>111</v>
          </cell>
        </row>
        <row r="1140">
          <cell r="D1140">
            <v>39644</v>
          </cell>
          <cell r="E1140">
            <v>14.26</v>
          </cell>
          <cell r="G1140">
            <v>39644</v>
          </cell>
          <cell r="H1140">
            <v>10.09</v>
          </cell>
          <cell r="J1140">
            <v>39640</v>
          </cell>
          <cell r="K1140">
            <v>6.6</v>
          </cell>
          <cell r="M1140">
            <v>39605</v>
          </cell>
          <cell r="N1140">
            <v>7.38</v>
          </cell>
          <cell r="P1140">
            <v>39644</v>
          </cell>
          <cell r="Q1140">
            <v>105.85</v>
          </cell>
        </row>
        <row r="1141">
          <cell r="D1141">
            <v>39643</v>
          </cell>
          <cell r="E1141">
            <v>14.47</v>
          </cell>
          <cell r="G1141">
            <v>39643</v>
          </cell>
          <cell r="H1141">
            <v>9.84</v>
          </cell>
          <cell r="J1141">
            <v>39639</v>
          </cell>
          <cell r="K1141">
            <v>6.6</v>
          </cell>
          <cell r="M1141">
            <v>39604</v>
          </cell>
          <cell r="N1141">
            <v>7.37</v>
          </cell>
          <cell r="P1141">
            <v>39643</v>
          </cell>
          <cell r="Q1141">
            <v>107.84</v>
          </cell>
        </row>
        <row r="1142">
          <cell r="D1142">
            <v>39640</v>
          </cell>
          <cell r="E1142">
            <v>14.35</v>
          </cell>
          <cell r="G1142">
            <v>39640</v>
          </cell>
          <cell r="H1142">
            <v>9.99</v>
          </cell>
          <cell r="J1142">
            <v>39638</v>
          </cell>
          <cell r="K1142">
            <v>6.55</v>
          </cell>
          <cell r="M1142">
            <v>39603</v>
          </cell>
          <cell r="N1142">
            <v>7.4</v>
          </cell>
          <cell r="P1142">
            <v>39640</v>
          </cell>
          <cell r="Q1142">
            <v>109.79</v>
          </cell>
        </row>
        <row r="1143">
          <cell r="D1143">
            <v>39639</v>
          </cell>
          <cell r="E1143">
            <v>14.31</v>
          </cell>
          <cell r="G1143">
            <v>39639</v>
          </cell>
          <cell r="H1143">
            <v>10</v>
          </cell>
          <cell r="J1143">
            <v>39637</v>
          </cell>
          <cell r="K1143">
            <v>6.52</v>
          </cell>
          <cell r="M1143">
            <v>39602</v>
          </cell>
          <cell r="N1143">
            <v>7.17</v>
          </cell>
          <cell r="P1143">
            <v>39639</v>
          </cell>
          <cell r="Q1143">
            <v>117.13</v>
          </cell>
        </row>
        <row r="1144">
          <cell r="D1144">
            <v>39638</v>
          </cell>
          <cell r="E1144">
            <v>14.31</v>
          </cell>
          <cell r="G1144">
            <v>39638</v>
          </cell>
          <cell r="H1144">
            <v>10.32</v>
          </cell>
          <cell r="J1144">
            <v>39636</v>
          </cell>
          <cell r="K1144">
            <v>6.29</v>
          </cell>
          <cell r="M1144">
            <v>39601</v>
          </cell>
          <cell r="N1144">
            <v>7.38</v>
          </cell>
          <cell r="P1144">
            <v>39638</v>
          </cell>
          <cell r="Q1144">
            <v>117.54</v>
          </cell>
        </row>
        <row r="1145">
          <cell r="D1145">
            <v>39637</v>
          </cell>
          <cell r="E1145">
            <v>14.25</v>
          </cell>
          <cell r="G1145">
            <v>39637</v>
          </cell>
          <cell r="H1145">
            <v>10.84</v>
          </cell>
          <cell r="J1145">
            <v>39632</v>
          </cell>
          <cell r="K1145">
            <v>6.11</v>
          </cell>
          <cell r="M1145">
            <v>39598</v>
          </cell>
          <cell r="N1145">
            <v>7.73</v>
          </cell>
          <cell r="P1145">
            <v>39637</v>
          </cell>
          <cell r="Q1145">
            <v>122.04</v>
          </cell>
        </row>
        <row r="1146">
          <cell r="D1146">
            <v>39636</v>
          </cell>
          <cell r="E1146">
            <v>13.88</v>
          </cell>
          <cell r="G1146">
            <v>39636</v>
          </cell>
          <cell r="H1146">
            <v>10.68</v>
          </cell>
          <cell r="J1146">
            <v>39631</v>
          </cell>
          <cell r="K1146">
            <v>5.81</v>
          </cell>
          <cell r="M1146">
            <v>39597</v>
          </cell>
          <cell r="N1146">
            <v>7.48</v>
          </cell>
          <cell r="P1146">
            <v>39636</v>
          </cell>
          <cell r="Q1146">
            <v>115.66</v>
          </cell>
        </row>
        <row r="1147">
          <cell r="D1147">
            <v>39632</v>
          </cell>
          <cell r="E1147">
            <v>13.92</v>
          </cell>
          <cell r="G1147">
            <v>39632</v>
          </cell>
          <cell r="H1147">
            <v>10.52</v>
          </cell>
          <cell r="J1147">
            <v>39630</v>
          </cell>
          <cell r="K1147">
            <v>5.95</v>
          </cell>
          <cell r="M1147">
            <v>39596</v>
          </cell>
          <cell r="N1147">
            <v>6.89</v>
          </cell>
          <cell r="P1147">
            <v>39632</v>
          </cell>
          <cell r="Q1147">
            <v>115.04</v>
          </cell>
        </row>
        <row r="1148">
          <cell r="D1148">
            <v>39631</v>
          </cell>
          <cell r="E1148">
            <v>13.8</v>
          </cell>
          <cell r="G1148">
            <v>39631</v>
          </cell>
          <cell r="H1148">
            <v>10.68</v>
          </cell>
          <cell r="J1148">
            <v>39629</v>
          </cell>
          <cell r="K1148">
            <v>6.44</v>
          </cell>
          <cell r="M1148">
            <v>39595</v>
          </cell>
          <cell r="N1148">
            <v>6.91</v>
          </cell>
          <cell r="P1148">
            <v>39631</v>
          </cell>
          <cell r="Q1148">
            <v>116.2</v>
          </cell>
        </row>
        <row r="1149">
          <cell r="D1149">
            <v>39630</v>
          </cell>
          <cell r="E1149">
            <v>13.85</v>
          </cell>
          <cell r="G1149">
            <v>39630</v>
          </cell>
          <cell r="H1149">
            <v>10.98</v>
          </cell>
          <cell r="J1149">
            <v>39626</v>
          </cell>
          <cell r="K1149">
            <v>6.41</v>
          </cell>
          <cell r="M1149">
            <v>39591</v>
          </cell>
          <cell r="N1149">
            <v>6.91</v>
          </cell>
          <cell r="P1149">
            <v>39630</v>
          </cell>
          <cell r="Q1149">
            <v>123.27</v>
          </cell>
        </row>
        <row r="1150">
          <cell r="D1150">
            <v>39629</v>
          </cell>
          <cell r="E1150">
            <v>14.6</v>
          </cell>
          <cell r="G1150">
            <v>39629</v>
          </cell>
          <cell r="H1150">
            <v>11.13</v>
          </cell>
          <cell r="J1150">
            <v>39625</v>
          </cell>
          <cell r="K1150">
            <v>6.37</v>
          </cell>
          <cell r="M1150">
            <v>39590</v>
          </cell>
          <cell r="N1150">
            <v>6.71</v>
          </cell>
          <cell r="P1150">
            <v>39629</v>
          </cell>
          <cell r="Q1150">
            <v>116.9</v>
          </cell>
        </row>
        <row r="1151">
          <cell r="D1151">
            <v>39626</v>
          </cell>
          <cell r="E1151">
            <v>14.85</v>
          </cell>
          <cell r="G1151">
            <v>39626</v>
          </cell>
          <cell r="H1151">
            <v>11.01</v>
          </cell>
          <cell r="J1151">
            <v>39624</v>
          </cell>
          <cell r="K1151">
            <v>6.52</v>
          </cell>
          <cell r="M1151">
            <v>39589</v>
          </cell>
          <cell r="N1151">
            <v>6.63</v>
          </cell>
          <cell r="P1151">
            <v>39626</v>
          </cell>
          <cell r="Q1151">
            <v>120.98</v>
          </cell>
        </row>
        <row r="1152">
          <cell r="D1152">
            <v>39625</v>
          </cell>
          <cell r="E1152">
            <v>14.82</v>
          </cell>
          <cell r="G1152">
            <v>39625</v>
          </cell>
          <cell r="H1152">
            <v>11.3</v>
          </cell>
          <cell r="J1152">
            <v>39623</v>
          </cell>
          <cell r="K1152">
            <v>6.61</v>
          </cell>
          <cell r="M1152">
            <v>39588</v>
          </cell>
          <cell r="N1152">
            <v>6.76</v>
          </cell>
          <cell r="P1152">
            <v>39625</v>
          </cell>
          <cell r="Q1152">
            <v>123.46</v>
          </cell>
        </row>
        <row r="1153">
          <cell r="D1153">
            <v>39624</v>
          </cell>
          <cell r="E1153">
            <v>16.04</v>
          </cell>
          <cell r="G1153">
            <v>39624</v>
          </cell>
          <cell r="H1153">
            <v>12.32</v>
          </cell>
          <cell r="J1153">
            <v>39622</v>
          </cell>
          <cell r="K1153">
            <v>6.71</v>
          </cell>
          <cell r="M1153">
            <v>39587</v>
          </cell>
          <cell r="N1153">
            <v>7.35</v>
          </cell>
          <cell r="P1153">
            <v>39624</v>
          </cell>
          <cell r="Q1153">
            <v>142.33600000000001</v>
          </cell>
        </row>
        <row r="1154">
          <cell r="D1154">
            <v>39623</v>
          </cell>
          <cell r="E1154">
            <v>15.71</v>
          </cell>
          <cell r="G1154">
            <v>39623</v>
          </cell>
          <cell r="H1154">
            <v>11.95</v>
          </cell>
          <cell r="J1154">
            <v>39619</v>
          </cell>
          <cell r="K1154">
            <v>6.67</v>
          </cell>
          <cell r="M1154">
            <v>39584</v>
          </cell>
          <cell r="N1154">
            <v>7.35</v>
          </cell>
          <cell r="P1154">
            <v>39623</v>
          </cell>
          <cell r="Q1154">
            <v>140.47999999999999</v>
          </cell>
        </row>
        <row r="1155">
          <cell r="D1155">
            <v>39622</v>
          </cell>
          <cell r="E1155">
            <v>15.85</v>
          </cell>
          <cell r="G1155">
            <v>39622</v>
          </cell>
          <cell r="H1155">
            <v>11.51</v>
          </cell>
          <cell r="J1155">
            <v>39618</v>
          </cell>
          <cell r="K1155">
            <v>6.85</v>
          </cell>
          <cell r="M1155">
            <v>39583</v>
          </cell>
          <cell r="N1155">
            <v>7.22</v>
          </cell>
          <cell r="P1155">
            <v>39622</v>
          </cell>
          <cell r="Q1155">
            <v>143.06</v>
          </cell>
        </row>
        <row r="1156">
          <cell r="D1156">
            <v>39619</v>
          </cell>
          <cell r="E1156">
            <v>15.46</v>
          </cell>
          <cell r="G1156">
            <v>39619</v>
          </cell>
          <cell r="H1156">
            <v>11.36</v>
          </cell>
          <cell r="J1156">
            <v>39617</v>
          </cell>
          <cell r="K1156">
            <v>6.61</v>
          </cell>
          <cell r="M1156">
            <v>39582</v>
          </cell>
          <cell r="N1156">
            <v>6.94</v>
          </cell>
          <cell r="P1156">
            <v>39619</v>
          </cell>
          <cell r="Q1156">
            <v>144.56</v>
          </cell>
        </row>
        <row r="1157">
          <cell r="D1157">
            <v>39618</v>
          </cell>
          <cell r="E1157">
            <v>15.84</v>
          </cell>
          <cell r="G1157">
            <v>39618</v>
          </cell>
          <cell r="H1157">
            <v>11.53</v>
          </cell>
          <cell r="J1157">
            <v>39616</v>
          </cell>
          <cell r="K1157">
            <v>6.42</v>
          </cell>
          <cell r="M1157">
            <v>39581</v>
          </cell>
          <cell r="N1157">
            <v>7.02</v>
          </cell>
          <cell r="P1157">
            <v>39618</v>
          </cell>
          <cell r="Q1157">
            <v>147.55000000000001</v>
          </cell>
        </row>
        <row r="1158">
          <cell r="D1158">
            <v>39617</v>
          </cell>
          <cell r="E1158">
            <v>15.83</v>
          </cell>
          <cell r="G1158">
            <v>39617</v>
          </cell>
          <cell r="H1158">
            <v>11.47</v>
          </cell>
          <cell r="J1158">
            <v>39615</v>
          </cell>
          <cell r="K1158">
            <v>6.66</v>
          </cell>
          <cell r="M1158">
            <v>39580</v>
          </cell>
          <cell r="N1158">
            <v>7.27</v>
          </cell>
          <cell r="P1158">
            <v>39617</v>
          </cell>
          <cell r="Q1158">
            <v>144.44999999999999</v>
          </cell>
        </row>
        <row r="1159">
          <cell r="D1159">
            <v>39616</v>
          </cell>
          <cell r="E1159">
            <v>16.23</v>
          </cell>
          <cell r="G1159">
            <v>39616</v>
          </cell>
          <cell r="H1159">
            <v>11.84</v>
          </cell>
          <cell r="J1159">
            <v>39612</v>
          </cell>
          <cell r="K1159">
            <v>6.64</v>
          </cell>
          <cell r="M1159">
            <v>39577</v>
          </cell>
          <cell r="N1159">
            <v>7.26</v>
          </cell>
          <cell r="P1159">
            <v>39616</v>
          </cell>
          <cell r="Q1159">
            <v>142.16</v>
          </cell>
        </row>
        <row r="1160">
          <cell r="D1160">
            <v>39615</v>
          </cell>
          <cell r="E1160">
            <v>16</v>
          </cell>
          <cell r="G1160">
            <v>39615</v>
          </cell>
          <cell r="H1160">
            <v>11.88</v>
          </cell>
          <cell r="J1160">
            <v>39611</v>
          </cell>
          <cell r="K1160">
            <v>6.79</v>
          </cell>
          <cell r="M1160">
            <v>39576</v>
          </cell>
          <cell r="N1160">
            <v>7.58</v>
          </cell>
          <cell r="P1160">
            <v>39615</v>
          </cell>
          <cell r="Q1160">
            <v>140.97999999999999</v>
          </cell>
        </row>
        <row r="1161">
          <cell r="D1161">
            <v>39612</v>
          </cell>
          <cell r="E1161">
            <v>15.83</v>
          </cell>
          <cell r="G1161">
            <v>39612</v>
          </cell>
          <cell r="H1161">
            <v>11.93</v>
          </cell>
          <cell r="J1161">
            <v>39610</v>
          </cell>
          <cell r="K1161">
            <v>6.74</v>
          </cell>
          <cell r="M1161">
            <v>39575</v>
          </cell>
          <cell r="N1161">
            <v>7.97</v>
          </cell>
          <cell r="P1161">
            <v>39612</v>
          </cell>
          <cell r="Q1161">
            <v>132.96</v>
          </cell>
        </row>
        <row r="1162">
          <cell r="D1162">
            <v>39611</v>
          </cell>
          <cell r="E1162">
            <v>15.7</v>
          </cell>
          <cell r="G1162">
            <v>39611</v>
          </cell>
          <cell r="H1162">
            <v>11.48</v>
          </cell>
          <cell r="J1162">
            <v>39609</v>
          </cell>
          <cell r="K1162">
            <v>6.99</v>
          </cell>
          <cell r="M1162">
            <v>39574</v>
          </cell>
          <cell r="N1162">
            <v>7.98</v>
          </cell>
          <cell r="P1162">
            <v>39611</v>
          </cell>
          <cell r="Q1162">
            <v>129.59</v>
          </cell>
        </row>
        <row r="1163">
          <cell r="D1163">
            <v>39610</v>
          </cell>
          <cell r="E1163">
            <v>15.54</v>
          </cell>
          <cell r="G1163">
            <v>39610</v>
          </cell>
          <cell r="H1163">
            <v>11.31</v>
          </cell>
          <cell r="J1163">
            <v>39608</v>
          </cell>
          <cell r="K1163">
            <v>7.01</v>
          </cell>
          <cell r="M1163">
            <v>39573</v>
          </cell>
          <cell r="N1163">
            <v>8.1999999999999993</v>
          </cell>
          <cell r="P1163">
            <v>39610</v>
          </cell>
          <cell r="Q1163">
            <v>131.79</v>
          </cell>
        </row>
        <row r="1164">
          <cell r="D1164">
            <v>39609</v>
          </cell>
          <cell r="E1164">
            <v>15.66</v>
          </cell>
          <cell r="G1164">
            <v>39609</v>
          </cell>
          <cell r="H1164">
            <v>11.57</v>
          </cell>
          <cell r="J1164">
            <v>39605</v>
          </cell>
          <cell r="K1164">
            <v>7.1</v>
          </cell>
          <cell r="M1164">
            <v>39570</v>
          </cell>
          <cell r="N1164">
            <v>8</v>
          </cell>
          <cell r="P1164">
            <v>39609</v>
          </cell>
          <cell r="Q1164">
            <v>134.94999999999999</v>
          </cell>
        </row>
        <row r="1165">
          <cell r="D1165">
            <v>39608</v>
          </cell>
          <cell r="E1165">
            <v>16.100000000000001</v>
          </cell>
          <cell r="G1165">
            <v>39608</v>
          </cell>
          <cell r="H1165">
            <v>11.78</v>
          </cell>
          <cell r="J1165">
            <v>39604</v>
          </cell>
          <cell r="K1165">
            <v>7.4</v>
          </cell>
          <cell r="M1165">
            <v>39569</v>
          </cell>
          <cell r="N1165">
            <v>7.89</v>
          </cell>
          <cell r="P1165">
            <v>39608</v>
          </cell>
          <cell r="Q1165">
            <v>134.12</v>
          </cell>
        </row>
        <row r="1166">
          <cell r="D1166">
            <v>39605</v>
          </cell>
          <cell r="E1166">
            <v>16.079999999999998</v>
          </cell>
          <cell r="G1166">
            <v>39605</v>
          </cell>
          <cell r="H1166">
            <v>11.94</v>
          </cell>
          <cell r="J1166">
            <v>39603</v>
          </cell>
          <cell r="K1166">
            <v>7.46</v>
          </cell>
          <cell r="M1166">
            <v>39568</v>
          </cell>
          <cell r="N1166">
            <v>7.8</v>
          </cell>
          <cell r="P1166">
            <v>39605</v>
          </cell>
          <cell r="Q1166">
            <v>131.41</v>
          </cell>
        </row>
        <row r="1167">
          <cell r="D1167">
            <v>39604</v>
          </cell>
          <cell r="E1167">
            <v>16.809999999999999</v>
          </cell>
          <cell r="G1167">
            <v>39604</v>
          </cell>
          <cell r="H1167">
            <v>11.59</v>
          </cell>
          <cell r="J1167">
            <v>39602</v>
          </cell>
          <cell r="K1167">
            <v>7.42</v>
          </cell>
          <cell r="M1167">
            <v>39567</v>
          </cell>
          <cell r="N1167">
            <v>7.63</v>
          </cell>
          <cell r="P1167">
            <v>39604</v>
          </cell>
          <cell r="Q1167">
            <v>135.59</v>
          </cell>
        </row>
        <row r="1168">
          <cell r="D1168">
            <v>39603</v>
          </cell>
          <cell r="E1168">
            <v>16.79</v>
          </cell>
          <cell r="G1168">
            <v>39603</v>
          </cell>
          <cell r="H1168">
            <v>11.41</v>
          </cell>
          <cell r="J1168">
            <v>39601</v>
          </cell>
          <cell r="K1168">
            <v>7.3</v>
          </cell>
          <cell r="M1168">
            <v>39566</v>
          </cell>
          <cell r="N1168">
            <v>7.63</v>
          </cell>
          <cell r="P1168">
            <v>39603</v>
          </cell>
          <cell r="Q1168">
            <v>134.29</v>
          </cell>
        </row>
        <row r="1169">
          <cell r="D1169">
            <v>39602</v>
          </cell>
          <cell r="E1169">
            <v>16.93</v>
          </cell>
          <cell r="G1169">
            <v>39602</v>
          </cell>
          <cell r="H1169">
            <v>10.88</v>
          </cell>
          <cell r="J1169">
            <v>39598</v>
          </cell>
          <cell r="K1169">
            <v>7.36</v>
          </cell>
          <cell r="M1169">
            <v>39563</v>
          </cell>
          <cell r="N1169">
            <v>7.9</v>
          </cell>
          <cell r="P1169">
            <v>39602</v>
          </cell>
          <cell r="Q1169">
            <v>133.51</v>
          </cell>
        </row>
        <row r="1170">
          <cell r="D1170">
            <v>39601</v>
          </cell>
          <cell r="E1170">
            <v>16.91</v>
          </cell>
          <cell r="G1170">
            <v>39601</v>
          </cell>
          <cell r="H1170">
            <v>10.19</v>
          </cell>
          <cell r="J1170">
            <v>39597</v>
          </cell>
          <cell r="K1170">
            <v>7.3</v>
          </cell>
          <cell r="M1170">
            <v>39562</v>
          </cell>
          <cell r="N1170">
            <v>7.74</v>
          </cell>
          <cell r="P1170">
            <v>39601</v>
          </cell>
          <cell r="Q1170">
            <v>137.02000000000001</v>
          </cell>
        </row>
        <row r="1171">
          <cell r="D1171">
            <v>39598</v>
          </cell>
          <cell r="E1171">
            <v>17.13</v>
          </cell>
          <cell r="G1171">
            <v>39598</v>
          </cell>
          <cell r="H1171">
            <v>10.31</v>
          </cell>
          <cell r="J1171">
            <v>39596</v>
          </cell>
          <cell r="K1171">
            <v>7.19</v>
          </cell>
          <cell r="M1171">
            <v>39561</v>
          </cell>
          <cell r="N1171">
            <v>7.79</v>
          </cell>
          <cell r="P1171">
            <v>39598</v>
          </cell>
          <cell r="Q1171">
            <v>138.87</v>
          </cell>
        </row>
        <row r="1172">
          <cell r="D1172">
            <v>39597</v>
          </cell>
          <cell r="E1172">
            <v>17.52</v>
          </cell>
          <cell r="G1172">
            <v>39597</v>
          </cell>
          <cell r="H1172">
            <v>10.220000000000001</v>
          </cell>
          <cell r="J1172">
            <v>39595</v>
          </cell>
          <cell r="K1172">
            <v>7.6</v>
          </cell>
          <cell r="M1172">
            <v>39560</v>
          </cell>
          <cell r="N1172">
            <v>7.55</v>
          </cell>
          <cell r="P1172">
            <v>39597</v>
          </cell>
          <cell r="Q1172">
            <v>138.97999999999999</v>
          </cell>
        </row>
        <row r="1173">
          <cell r="D1173">
            <v>39596</v>
          </cell>
          <cell r="E1173">
            <v>16.79</v>
          </cell>
          <cell r="G1173">
            <v>39596</v>
          </cell>
          <cell r="H1173">
            <v>10.4</v>
          </cell>
          <cell r="J1173">
            <v>39591</v>
          </cell>
          <cell r="K1173">
            <v>7.61</v>
          </cell>
          <cell r="M1173">
            <v>39559</v>
          </cell>
          <cell r="N1173">
            <v>7.55</v>
          </cell>
          <cell r="P1173">
            <v>39596</v>
          </cell>
          <cell r="Q1173">
            <v>137.80000000000001</v>
          </cell>
        </row>
        <row r="1174">
          <cell r="D1174">
            <v>39595</v>
          </cell>
          <cell r="E1174">
            <v>16.670000000000002</v>
          </cell>
          <cell r="G1174">
            <v>39595</v>
          </cell>
          <cell r="H1174">
            <v>10.199999999999999</v>
          </cell>
          <cell r="J1174">
            <v>39590</v>
          </cell>
          <cell r="K1174">
            <v>7.48</v>
          </cell>
          <cell r="M1174">
            <v>39556</v>
          </cell>
          <cell r="N1174">
            <v>7.55</v>
          </cell>
          <cell r="P1174">
            <v>39595</v>
          </cell>
          <cell r="Q1174">
            <v>135.13</v>
          </cell>
        </row>
        <row r="1175">
          <cell r="D1175">
            <v>39591</v>
          </cell>
          <cell r="E1175">
            <v>16.55</v>
          </cell>
          <cell r="G1175">
            <v>39591</v>
          </cell>
          <cell r="H1175">
            <v>9.8000000000000007</v>
          </cell>
          <cell r="J1175">
            <v>39589</v>
          </cell>
          <cell r="K1175">
            <v>7.61</v>
          </cell>
          <cell r="M1175">
            <v>39555</v>
          </cell>
          <cell r="N1175">
            <v>7.43</v>
          </cell>
          <cell r="P1175">
            <v>39591</v>
          </cell>
          <cell r="Q1175">
            <v>131.63999999999999</v>
          </cell>
        </row>
        <row r="1176">
          <cell r="D1176">
            <v>39590</v>
          </cell>
          <cell r="E1176">
            <v>16.8</v>
          </cell>
          <cell r="G1176">
            <v>39590</v>
          </cell>
          <cell r="H1176">
            <v>9.84</v>
          </cell>
          <cell r="J1176">
            <v>39588</v>
          </cell>
          <cell r="K1176">
            <v>7.99</v>
          </cell>
          <cell r="M1176">
            <v>39554</v>
          </cell>
          <cell r="N1176">
            <v>7.21</v>
          </cell>
          <cell r="P1176">
            <v>39590</v>
          </cell>
          <cell r="Q1176">
            <v>130.49</v>
          </cell>
        </row>
        <row r="1177">
          <cell r="D1177">
            <v>39589</v>
          </cell>
          <cell r="E1177">
            <v>16.600000000000001</v>
          </cell>
          <cell r="G1177">
            <v>39589</v>
          </cell>
          <cell r="H1177">
            <v>9.31</v>
          </cell>
          <cell r="J1177">
            <v>39587</v>
          </cell>
          <cell r="K1177">
            <v>7.94</v>
          </cell>
          <cell r="M1177">
            <v>39553</v>
          </cell>
          <cell r="N1177">
            <v>7.2500999999999998</v>
          </cell>
          <cell r="P1177">
            <v>39589</v>
          </cell>
          <cell r="Q1177">
            <v>132.88999999999999</v>
          </cell>
        </row>
        <row r="1178">
          <cell r="D1178">
            <v>39588</v>
          </cell>
          <cell r="E1178">
            <v>17.25</v>
          </cell>
          <cell r="G1178">
            <v>39588</v>
          </cell>
          <cell r="H1178">
            <v>9.6</v>
          </cell>
          <cell r="J1178">
            <v>39584</v>
          </cell>
          <cell r="K1178">
            <v>7.61</v>
          </cell>
          <cell r="M1178">
            <v>39552</v>
          </cell>
          <cell r="N1178">
            <v>7.3</v>
          </cell>
          <cell r="P1178">
            <v>39588</v>
          </cell>
          <cell r="Q1178">
            <v>138.6</v>
          </cell>
        </row>
        <row r="1179">
          <cell r="D1179">
            <v>39587</v>
          </cell>
          <cell r="E1179">
            <v>17.329999999999998</v>
          </cell>
          <cell r="G1179">
            <v>39587</v>
          </cell>
          <cell r="H1179">
            <v>9.73</v>
          </cell>
          <cell r="J1179">
            <v>39583</v>
          </cell>
          <cell r="K1179">
            <v>7.53</v>
          </cell>
          <cell r="M1179">
            <v>39549</v>
          </cell>
          <cell r="N1179">
            <v>7.26</v>
          </cell>
          <cell r="P1179">
            <v>39587</v>
          </cell>
          <cell r="Q1179">
            <v>137.63</v>
          </cell>
        </row>
        <row r="1180">
          <cell r="D1180">
            <v>39584</v>
          </cell>
          <cell r="E1180">
            <v>17.63</v>
          </cell>
          <cell r="G1180">
            <v>39584</v>
          </cell>
          <cell r="H1180">
            <v>9.17</v>
          </cell>
          <cell r="J1180">
            <v>39582</v>
          </cell>
          <cell r="K1180">
            <v>7.16</v>
          </cell>
          <cell r="M1180">
            <v>39548</v>
          </cell>
          <cell r="N1180">
            <v>7.25</v>
          </cell>
          <cell r="P1180">
            <v>39584</v>
          </cell>
          <cell r="Q1180">
            <v>140.36009999999999</v>
          </cell>
        </row>
        <row r="1181">
          <cell r="D1181">
            <v>39583</v>
          </cell>
          <cell r="E1181">
            <v>17.61</v>
          </cell>
          <cell r="G1181">
            <v>39583</v>
          </cell>
          <cell r="H1181">
            <v>9.4499999999999993</v>
          </cell>
          <cell r="J1181">
            <v>39581</v>
          </cell>
          <cell r="K1181">
            <v>7.06</v>
          </cell>
          <cell r="M1181">
            <v>39547</v>
          </cell>
          <cell r="N1181">
            <v>7.13</v>
          </cell>
          <cell r="P1181">
            <v>39583</v>
          </cell>
          <cell r="Q1181">
            <v>140.71</v>
          </cell>
        </row>
        <row r="1182">
          <cell r="D1182">
            <v>39582</v>
          </cell>
          <cell r="E1182">
            <v>17.59</v>
          </cell>
          <cell r="G1182">
            <v>39582</v>
          </cell>
          <cell r="H1182">
            <v>9.1300000000000008</v>
          </cell>
          <cell r="J1182">
            <v>39580</v>
          </cell>
          <cell r="K1182">
            <v>6.98</v>
          </cell>
          <cell r="M1182">
            <v>39546</v>
          </cell>
          <cell r="N1182">
            <v>7.5</v>
          </cell>
          <cell r="P1182">
            <v>39582</v>
          </cell>
          <cell r="Q1182">
            <v>138.56</v>
          </cell>
        </row>
        <row r="1183">
          <cell r="D1183">
            <v>39581</v>
          </cell>
          <cell r="E1183">
            <v>17.809999999999999</v>
          </cell>
          <cell r="G1183">
            <v>39581</v>
          </cell>
          <cell r="H1183">
            <v>9.34</v>
          </cell>
          <cell r="J1183">
            <v>39577</v>
          </cell>
          <cell r="K1183">
            <v>6.99</v>
          </cell>
          <cell r="M1183">
            <v>39545</v>
          </cell>
          <cell r="N1183">
            <v>7.45</v>
          </cell>
          <cell r="P1183">
            <v>39581</v>
          </cell>
          <cell r="Q1183">
            <v>140.84</v>
          </cell>
        </row>
        <row r="1184">
          <cell r="D1184">
            <v>39580</v>
          </cell>
          <cell r="E1184">
            <v>18.07</v>
          </cell>
          <cell r="G1184">
            <v>39580</v>
          </cell>
          <cell r="H1184">
            <v>9.2899999999999991</v>
          </cell>
          <cell r="J1184">
            <v>39576</v>
          </cell>
          <cell r="K1184">
            <v>7.3</v>
          </cell>
          <cell r="M1184">
            <v>39542</v>
          </cell>
          <cell r="N1184">
            <v>7.44</v>
          </cell>
          <cell r="P1184">
            <v>39580</v>
          </cell>
          <cell r="Q1184">
            <v>141.97</v>
          </cell>
        </row>
        <row r="1185">
          <cell r="D1185">
            <v>39577</v>
          </cell>
          <cell r="E1185">
            <v>17.73</v>
          </cell>
          <cell r="G1185">
            <v>39577</v>
          </cell>
          <cell r="H1185">
            <v>9.09</v>
          </cell>
          <cell r="J1185">
            <v>39575</v>
          </cell>
          <cell r="K1185">
            <v>7.07</v>
          </cell>
          <cell r="M1185">
            <v>39541</v>
          </cell>
          <cell r="N1185">
            <v>6.96</v>
          </cell>
          <cell r="P1185">
            <v>39577</v>
          </cell>
          <cell r="Q1185">
            <v>132.77000000000001</v>
          </cell>
        </row>
        <row r="1186">
          <cell r="D1186">
            <v>39576</v>
          </cell>
          <cell r="E1186">
            <v>18.100999999999999</v>
          </cell>
          <cell r="G1186">
            <v>39576</v>
          </cell>
          <cell r="H1186">
            <v>9.01</v>
          </cell>
          <cell r="J1186">
            <v>39574</v>
          </cell>
          <cell r="K1186">
            <v>7.5</v>
          </cell>
          <cell r="M1186">
            <v>39540</v>
          </cell>
          <cell r="N1186">
            <v>7.1</v>
          </cell>
          <cell r="P1186">
            <v>39576</v>
          </cell>
          <cell r="Q1186">
            <v>131.18</v>
          </cell>
        </row>
        <row r="1187">
          <cell r="D1187">
            <v>39575</v>
          </cell>
          <cell r="E1187">
            <v>17.89</v>
          </cell>
          <cell r="G1187">
            <v>39575</v>
          </cell>
          <cell r="H1187">
            <v>8.85</v>
          </cell>
          <cell r="J1187">
            <v>39573</v>
          </cell>
          <cell r="K1187">
            <v>7.74</v>
          </cell>
          <cell r="M1187">
            <v>39539</v>
          </cell>
          <cell r="N1187">
            <v>7.43</v>
          </cell>
          <cell r="P1187">
            <v>39575</v>
          </cell>
          <cell r="Q1187">
            <v>129.97999999999999</v>
          </cell>
        </row>
        <row r="1188">
          <cell r="D1188">
            <v>39574</v>
          </cell>
          <cell r="E1188">
            <v>17.73</v>
          </cell>
          <cell r="G1188">
            <v>39574</v>
          </cell>
          <cell r="H1188">
            <v>8.69</v>
          </cell>
          <cell r="J1188">
            <v>39570</v>
          </cell>
          <cell r="K1188">
            <v>8.31</v>
          </cell>
          <cell r="M1188">
            <v>39538</v>
          </cell>
          <cell r="N1188">
            <v>7</v>
          </cell>
          <cell r="P1188">
            <v>39574</v>
          </cell>
          <cell r="Q1188">
            <v>132.1</v>
          </cell>
        </row>
        <row r="1189">
          <cell r="D1189">
            <v>39573</v>
          </cell>
          <cell r="E1189">
            <v>18.350000000000001</v>
          </cell>
          <cell r="G1189">
            <v>39573</v>
          </cell>
          <cell r="H1189">
            <v>8.51</v>
          </cell>
          <cell r="J1189">
            <v>39569</v>
          </cell>
          <cell r="K1189">
            <v>8.4</v>
          </cell>
          <cell r="M1189">
            <v>39535</v>
          </cell>
          <cell r="N1189">
            <v>7.06</v>
          </cell>
          <cell r="P1189">
            <v>39573</v>
          </cell>
          <cell r="Q1189">
            <v>133.18</v>
          </cell>
        </row>
        <row r="1190">
          <cell r="D1190">
            <v>39570</v>
          </cell>
          <cell r="E1190">
            <v>18.88</v>
          </cell>
          <cell r="G1190">
            <v>39570</v>
          </cell>
          <cell r="H1190">
            <v>8.39</v>
          </cell>
          <cell r="J1190">
            <v>39568</v>
          </cell>
          <cell r="K1190">
            <v>8.5</v>
          </cell>
          <cell r="M1190">
            <v>39534</v>
          </cell>
          <cell r="N1190">
            <v>7.1319999999999997</v>
          </cell>
          <cell r="P1190">
            <v>39570</v>
          </cell>
          <cell r="Q1190">
            <v>131.92009999999999</v>
          </cell>
        </row>
        <row r="1191">
          <cell r="D1191">
            <v>39569</v>
          </cell>
          <cell r="E1191">
            <v>19.149999999999999</v>
          </cell>
          <cell r="G1191">
            <v>39569</v>
          </cell>
          <cell r="H1191">
            <v>9.14</v>
          </cell>
          <cell r="J1191">
            <v>39567</v>
          </cell>
          <cell r="K1191">
            <v>8.9</v>
          </cell>
          <cell r="M1191">
            <v>39533</v>
          </cell>
          <cell r="N1191">
            <v>6.88</v>
          </cell>
          <cell r="P1191">
            <v>39569</v>
          </cell>
          <cell r="Q1191">
            <v>128</v>
          </cell>
        </row>
        <row r="1192">
          <cell r="D1192">
            <v>39568</v>
          </cell>
          <cell r="E1192">
            <v>18.7</v>
          </cell>
          <cell r="G1192">
            <v>39568</v>
          </cell>
          <cell r="H1192">
            <v>8.92</v>
          </cell>
          <cell r="J1192">
            <v>39566</v>
          </cell>
          <cell r="K1192">
            <v>9</v>
          </cell>
          <cell r="M1192">
            <v>39532</v>
          </cell>
          <cell r="N1192">
            <v>7.01</v>
          </cell>
          <cell r="P1192">
            <v>39568</v>
          </cell>
          <cell r="Q1192">
            <v>121.63</v>
          </cell>
        </row>
        <row r="1193">
          <cell r="D1193">
            <v>39567</v>
          </cell>
          <cell r="E1193">
            <v>20.239999999999998</v>
          </cell>
          <cell r="G1193">
            <v>39567</v>
          </cell>
          <cell r="H1193">
            <v>9.0299999999999994</v>
          </cell>
          <cell r="J1193">
            <v>39563</v>
          </cell>
          <cell r="K1193">
            <v>9.2899999999999991</v>
          </cell>
          <cell r="M1193">
            <v>39531</v>
          </cell>
          <cell r="N1193">
            <v>7.117</v>
          </cell>
          <cell r="P1193">
            <v>39567</v>
          </cell>
          <cell r="Q1193">
            <v>126.29</v>
          </cell>
        </row>
        <row r="1194">
          <cell r="D1194">
            <v>39566</v>
          </cell>
          <cell r="E1194">
            <v>20.13</v>
          </cell>
          <cell r="G1194">
            <v>39566</v>
          </cell>
          <cell r="H1194">
            <v>8.93</v>
          </cell>
          <cell r="J1194">
            <v>39562</v>
          </cell>
          <cell r="K1194">
            <v>8.98</v>
          </cell>
          <cell r="M1194">
            <v>39527</v>
          </cell>
          <cell r="N1194">
            <v>7.05</v>
          </cell>
          <cell r="P1194">
            <v>39566</v>
          </cell>
          <cell r="Q1194">
            <v>122.39</v>
          </cell>
        </row>
        <row r="1195">
          <cell r="D1195">
            <v>39563</v>
          </cell>
          <cell r="E1195">
            <v>19.670000000000002</v>
          </cell>
          <cell r="G1195">
            <v>39563</v>
          </cell>
          <cell r="H1195">
            <v>8.8000000000000007</v>
          </cell>
          <cell r="J1195">
            <v>39561</v>
          </cell>
          <cell r="K1195">
            <v>9</v>
          </cell>
          <cell r="M1195">
            <v>39526</v>
          </cell>
          <cell r="N1195">
            <v>7.17</v>
          </cell>
          <cell r="P1195">
            <v>39563</v>
          </cell>
          <cell r="Q1195">
            <v>120.04</v>
          </cell>
        </row>
        <row r="1196">
          <cell r="D1196">
            <v>39562</v>
          </cell>
          <cell r="E1196">
            <v>19.13</v>
          </cell>
          <cell r="G1196">
            <v>39562</v>
          </cell>
          <cell r="H1196">
            <v>8.57</v>
          </cell>
          <cell r="J1196">
            <v>39560</v>
          </cell>
          <cell r="K1196">
            <v>9.0399999999999991</v>
          </cell>
          <cell r="M1196">
            <v>39525</v>
          </cell>
          <cell r="N1196">
            <v>6.25</v>
          </cell>
          <cell r="P1196">
            <v>39562</v>
          </cell>
          <cell r="Q1196">
            <v>123.66</v>
          </cell>
        </row>
        <row r="1197">
          <cell r="D1197">
            <v>39561</v>
          </cell>
          <cell r="E1197">
            <v>18.98</v>
          </cell>
          <cell r="G1197">
            <v>39561</v>
          </cell>
          <cell r="H1197">
            <v>8.51</v>
          </cell>
          <cell r="J1197">
            <v>39559</v>
          </cell>
          <cell r="K1197">
            <v>9.26</v>
          </cell>
          <cell r="M1197">
            <v>39524</v>
          </cell>
          <cell r="N1197">
            <v>6.2</v>
          </cell>
          <cell r="P1197">
            <v>39561</v>
          </cell>
          <cell r="Q1197">
            <v>120.83</v>
          </cell>
        </row>
        <row r="1198">
          <cell r="D1198">
            <v>39560</v>
          </cell>
          <cell r="E1198">
            <v>18.760000000000002</v>
          </cell>
          <cell r="G1198">
            <v>39560</v>
          </cell>
          <cell r="H1198">
            <v>8.67</v>
          </cell>
          <cell r="J1198">
            <v>39556</v>
          </cell>
          <cell r="K1198">
            <v>9.24</v>
          </cell>
          <cell r="M1198">
            <v>39521</v>
          </cell>
          <cell r="N1198">
            <v>6.99</v>
          </cell>
          <cell r="P1198">
            <v>39560</v>
          </cell>
          <cell r="Q1198">
            <v>121.33</v>
          </cell>
        </row>
        <row r="1199">
          <cell r="D1199">
            <v>39559</v>
          </cell>
          <cell r="E1199">
            <v>19.27</v>
          </cell>
          <cell r="G1199">
            <v>39559</v>
          </cell>
          <cell r="H1199">
            <v>8.58</v>
          </cell>
          <cell r="J1199">
            <v>39555</v>
          </cell>
          <cell r="K1199">
            <v>8.9499999999999993</v>
          </cell>
          <cell r="M1199">
            <v>39520</v>
          </cell>
          <cell r="N1199">
            <v>7.03</v>
          </cell>
          <cell r="P1199">
            <v>39559</v>
          </cell>
          <cell r="Q1199">
            <v>126.2</v>
          </cell>
        </row>
        <row r="1200">
          <cell r="D1200">
            <v>39556</v>
          </cell>
          <cell r="E1200">
            <v>18.89</v>
          </cell>
          <cell r="G1200">
            <v>39556</v>
          </cell>
          <cell r="H1200">
            <v>8.41</v>
          </cell>
          <cell r="J1200">
            <v>39554</v>
          </cell>
          <cell r="K1200">
            <v>8.2899999999999991</v>
          </cell>
          <cell r="M1200">
            <v>39519</v>
          </cell>
          <cell r="N1200">
            <v>7.24</v>
          </cell>
          <cell r="P1200">
            <v>39556</v>
          </cell>
          <cell r="Q1200">
            <v>123.22</v>
          </cell>
        </row>
        <row r="1201">
          <cell r="D1201">
            <v>39555</v>
          </cell>
          <cell r="E1201">
            <v>18.53</v>
          </cell>
          <cell r="G1201">
            <v>39555</v>
          </cell>
          <cell r="H1201">
            <v>8.24</v>
          </cell>
          <cell r="J1201">
            <v>39553</v>
          </cell>
          <cell r="K1201">
            <v>8.16</v>
          </cell>
          <cell r="M1201">
            <v>39518</v>
          </cell>
          <cell r="N1201">
            <v>7.34</v>
          </cell>
          <cell r="P1201">
            <v>39555</v>
          </cell>
          <cell r="Q1201">
            <v>118.63</v>
          </cell>
        </row>
        <row r="1202">
          <cell r="D1202">
            <v>39554</v>
          </cell>
          <cell r="E1202">
            <v>18.850000000000001</v>
          </cell>
          <cell r="G1202">
            <v>39554</v>
          </cell>
          <cell r="H1202">
            <v>8.1999999999999993</v>
          </cell>
          <cell r="J1202">
            <v>39552</v>
          </cell>
          <cell r="K1202">
            <v>7.76</v>
          </cell>
          <cell r="M1202">
            <v>39517</v>
          </cell>
          <cell r="N1202">
            <v>7.52</v>
          </cell>
          <cell r="P1202">
            <v>39554</v>
          </cell>
          <cell r="Q1202">
            <v>120.12</v>
          </cell>
        </row>
        <row r="1203">
          <cell r="D1203">
            <v>39553</v>
          </cell>
          <cell r="E1203">
            <v>17.62</v>
          </cell>
          <cell r="G1203">
            <v>39553</v>
          </cell>
          <cell r="H1203">
            <v>7.76</v>
          </cell>
          <cell r="J1203">
            <v>39549</v>
          </cell>
          <cell r="K1203">
            <v>7.48</v>
          </cell>
          <cell r="M1203">
            <v>39514</v>
          </cell>
          <cell r="N1203">
            <v>7.6</v>
          </cell>
          <cell r="P1203">
            <v>39553</v>
          </cell>
          <cell r="Q1203">
            <v>115.65</v>
          </cell>
        </row>
        <row r="1204">
          <cell r="D1204">
            <v>39552</v>
          </cell>
          <cell r="E1204">
            <v>17.59</v>
          </cell>
          <cell r="G1204">
            <v>39552</v>
          </cell>
          <cell r="H1204">
            <v>10.01</v>
          </cell>
          <cell r="J1204">
            <v>39548</v>
          </cell>
          <cell r="K1204">
            <v>7.55</v>
          </cell>
          <cell r="M1204">
            <v>39513</v>
          </cell>
          <cell r="N1204">
            <v>7.67</v>
          </cell>
          <cell r="P1204">
            <v>39552</v>
          </cell>
          <cell r="Q1204">
            <v>115.47</v>
          </cell>
        </row>
        <row r="1205">
          <cell r="D1205">
            <v>39549</v>
          </cell>
          <cell r="E1205">
            <v>18.03</v>
          </cell>
          <cell r="G1205">
            <v>39549</v>
          </cell>
          <cell r="H1205">
            <v>10.02</v>
          </cell>
          <cell r="J1205">
            <v>39547</v>
          </cell>
          <cell r="K1205">
            <v>7.46</v>
          </cell>
          <cell r="M1205">
            <v>39512</v>
          </cell>
          <cell r="N1205">
            <v>7.86</v>
          </cell>
          <cell r="P1205">
            <v>39549</v>
          </cell>
          <cell r="Q1205">
            <v>115.85</v>
          </cell>
        </row>
        <row r="1206">
          <cell r="D1206">
            <v>39548</v>
          </cell>
          <cell r="E1206">
            <v>18.47</v>
          </cell>
          <cell r="G1206">
            <v>39548</v>
          </cell>
          <cell r="H1206">
            <v>10.48</v>
          </cell>
          <cell r="J1206">
            <v>39546</v>
          </cell>
          <cell r="K1206">
            <v>7.55</v>
          </cell>
          <cell r="M1206">
            <v>39511</v>
          </cell>
          <cell r="N1206">
            <v>8</v>
          </cell>
          <cell r="P1206">
            <v>39548</v>
          </cell>
          <cell r="Q1206">
            <v>120.68</v>
          </cell>
        </row>
        <row r="1207">
          <cell r="D1207">
            <v>39547</v>
          </cell>
          <cell r="E1207">
            <v>18.34</v>
          </cell>
          <cell r="G1207">
            <v>39547</v>
          </cell>
          <cell r="H1207">
            <v>10.19</v>
          </cell>
          <cell r="J1207">
            <v>39545</v>
          </cell>
          <cell r="K1207">
            <v>7.56</v>
          </cell>
          <cell r="M1207">
            <v>39510</v>
          </cell>
          <cell r="N1207">
            <v>7.99</v>
          </cell>
          <cell r="P1207">
            <v>39547</v>
          </cell>
          <cell r="Q1207">
            <v>118.16</v>
          </cell>
        </row>
        <row r="1208">
          <cell r="D1208">
            <v>39546</v>
          </cell>
          <cell r="E1208">
            <v>18.43</v>
          </cell>
          <cell r="G1208">
            <v>39546</v>
          </cell>
          <cell r="H1208">
            <v>10.78</v>
          </cell>
          <cell r="J1208">
            <v>39542</v>
          </cell>
          <cell r="K1208">
            <v>7.7</v>
          </cell>
          <cell r="M1208">
            <v>39507</v>
          </cell>
          <cell r="N1208">
            <v>7.96</v>
          </cell>
          <cell r="P1208">
            <v>39546</v>
          </cell>
          <cell r="Q1208">
            <v>120.98</v>
          </cell>
        </row>
        <row r="1209">
          <cell r="D1209">
            <v>39545</v>
          </cell>
          <cell r="E1209">
            <v>18.13</v>
          </cell>
          <cell r="G1209">
            <v>39545</v>
          </cell>
          <cell r="H1209">
            <v>10.96</v>
          </cell>
          <cell r="J1209">
            <v>39541</v>
          </cell>
          <cell r="K1209">
            <v>7.48</v>
          </cell>
          <cell r="M1209">
            <v>39506</v>
          </cell>
          <cell r="N1209">
            <v>7.92</v>
          </cell>
          <cell r="P1209">
            <v>39545</v>
          </cell>
          <cell r="Q1209">
            <v>118.07</v>
          </cell>
        </row>
        <row r="1210">
          <cell r="D1210">
            <v>39542</v>
          </cell>
          <cell r="E1210">
            <v>17.239999999999998</v>
          </cell>
          <cell r="G1210">
            <v>39542</v>
          </cell>
          <cell r="H1210">
            <v>10.84</v>
          </cell>
          <cell r="J1210">
            <v>39540</v>
          </cell>
          <cell r="K1210">
            <v>7.43</v>
          </cell>
          <cell r="M1210">
            <v>39505</v>
          </cell>
          <cell r="N1210">
            <v>8.4</v>
          </cell>
          <cell r="P1210">
            <v>39542</v>
          </cell>
          <cell r="Q1210">
            <v>119.99</v>
          </cell>
        </row>
        <row r="1211">
          <cell r="D1211">
            <v>39541</v>
          </cell>
          <cell r="E1211">
            <v>17.239999999999998</v>
          </cell>
          <cell r="G1211">
            <v>39541</v>
          </cell>
          <cell r="H1211">
            <v>10.56</v>
          </cell>
          <cell r="J1211">
            <v>39539</v>
          </cell>
          <cell r="K1211">
            <v>7.48</v>
          </cell>
          <cell r="M1211">
            <v>39504</v>
          </cell>
          <cell r="N1211">
            <v>8.3000000000000007</v>
          </cell>
          <cell r="P1211">
            <v>39541</v>
          </cell>
          <cell r="Q1211">
            <v>122.58</v>
          </cell>
        </row>
        <row r="1212">
          <cell r="D1212">
            <v>39540</v>
          </cell>
          <cell r="E1212">
            <v>17.37</v>
          </cell>
          <cell r="G1212">
            <v>39540</v>
          </cell>
          <cell r="H1212">
            <v>10.72</v>
          </cell>
          <cell r="J1212">
            <v>39538</v>
          </cell>
          <cell r="K1212">
            <v>7.51</v>
          </cell>
          <cell r="M1212">
            <v>39503</v>
          </cell>
          <cell r="N1212">
            <v>8</v>
          </cell>
          <cell r="P1212">
            <v>39540</v>
          </cell>
          <cell r="Q1212">
            <v>115.79</v>
          </cell>
        </row>
        <row r="1213">
          <cell r="D1213">
            <v>39539</v>
          </cell>
          <cell r="E1213">
            <v>16.71</v>
          </cell>
          <cell r="G1213">
            <v>39539</v>
          </cell>
          <cell r="H1213">
            <v>10.39</v>
          </cell>
          <cell r="J1213">
            <v>39535</v>
          </cell>
          <cell r="K1213">
            <v>7.32</v>
          </cell>
          <cell r="M1213">
            <v>39500</v>
          </cell>
          <cell r="N1213">
            <v>8.06</v>
          </cell>
          <cell r="P1213">
            <v>39539</v>
          </cell>
          <cell r="Q1213">
            <v>117.48009999999999</v>
          </cell>
        </row>
        <row r="1214">
          <cell r="D1214">
            <v>39538</v>
          </cell>
          <cell r="E1214">
            <v>15.95</v>
          </cell>
          <cell r="G1214">
            <v>39538</v>
          </cell>
          <cell r="H1214">
            <v>9.68</v>
          </cell>
          <cell r="J1214">
            <v>39534</v>
          </cell>
          <cell r="K1214">
            <v>7.17</v>
          </cell>
          <cell r="M1214">
            <v>39499</v>
          </cell>
          <cell r="N1214">
            <v>8</v>
          </cell>
          <cell r="P1214">
            <v>39538</v>
          </cell>
          <cell r="Q1214">
            <v>112.23</v>
          </cell>
        </row>
        <row r="1215">
          <cell r="D1215">
            <v>39535</v>
          </cell>
          <cell r="E1215">
            <v>15.95</v>
          </cell>
          <cell r="G1215">
            <v>39535</v>
          </cell>
          <cell r="H1215">
            <v>9.73</v>
          </cell>
          <cell r="J1215">
            <v>39533</v>
          </cell>
          <cell r="K1215">
            <v>7.03</v>
          </cell>
          <cell r="M1215">
            <v>39498</v>
          </cell>
          <cell r="N1215">
            <v>7.97</v>
          </cell>
          <cell r="P1215">
            <v>39535</v>
          </cell>
          <cell r="Q1215">
            <v>115.34</v>
          </cell>
        </row>
        <row r="1216">
          <cell r="D1216">
            <v>39534</v>
          </cell>
          <cell r="E1216">
            <v>15.7</v>
          </cell>
          <cell r="G1216">
            <v>39534</v>
          </cell>
          <cell r="H1216">
            <v>9.9600000000000009</v>
          </cell>
          <cell r="J1216">
            <v>39532</v>
          </cell>
          <cell r="K1216">
            <v>6.92</v>
          </cell>
          <cell r="M1216">
            <v>39497</v>
          </cell>
          <cell r="N1216">
            <v>8.06</v>
          </cell>
          <cell r="P1216">
            <v>39534</v>
          </cell>
          <cell r="Q1216">
            <v>112.15</v>
          </cell>
        </row>
        <row r="1217">
          <cell r="D1217">
            <v>39533</v>
          </cell>
          <cell r="E1217">
            <v>15.55</v>
          </cell>
          <cell r="G1217">
            <v>39533</v>
          </cell>
          <cell r="H1217">
            <v>10.029999999999999</v>
          </cell>
          <cell r="J1217">
            <v>39531</v>
          </cell>
          <cell r="K1217">
            <v>6.8</v>
          </cell>
          <cell r="M1217">
            <v>39493</v>
          </cell>
          <cell r="N1217">
            <v>8.25</v>
          </cell>
          <cell r="P1217">
            <v>39533</v>
          </cell>
          <cell r="Q1217">
            <v>118.15</v>
          </cell>
        </row>
        <row r="1218">
          <cell r="D1218">
            <v>39532</v>
          </cell>
          <cell r="E1218">
            <v>15.62</v>
          </cell>
          <cell r="G1218">
            <v>39532</v>
          </cell>
          <cell r="H1218">
            <v>9.99</v>
          </cell>
          <cell r="J1218">
            <v>39527</v>
          </cell>
          <cell r="K1218">
            <v>6.8</v>
          </cell>
          <cell r="M1218">
            <v>39492</v>
          </cell>
          <cell r="N1218">
            <v>8.3000000000000007</v>
          </cell>
          <cell r="P1218">
            <v>39532</v>
          </cell>
          <cell r="Q1218">
            <v>115.95</v>
          </cell>
        </row>
        <row r="1219">
          <cell r="D1219">
            <v>39531</v>
          </cell>
          <cell r="E1219">
            <v>15.32</v>
          </cell>
          <cell r="G1219">
            <v>39531</v>
          </cell>
          <cell r="H1219">
            <v>9.98</v>
          </cell>
          <cell r="J1219">
            <v>39526</v>
          </cell>
          <cell r="K1219">
            <v>6.82</v>
          </cell>
          <cell r="M1219">
            <v>39491</v>
          </cell>
          <cell r="N1219">
            <v>8.35</v>
          </cell>
          <cell r="P1219">
            <v>39531</v>
          </cell>
          <cell r="Q1219">
            <v>111.83</v>
          </cell>
        </row>
        <row r="1220">
          <cell r="D1220">
            <v>39527</v>
          </cell>
          <cell r="E1220">
            <v>14.39</v>
          </cell>
          <cell r="G1220">
            <v>39527</v>
          </cell>
          <cell r="H1220">
            <v>8.98</v>
          </cell>
          <cell r="J1220">
            <v>39525</v>
          </cell>
          <cell r="K1220">
            <v>6.58</v>
          </cell>
          <cell r="M1220">
            <v>39490</v>
          </cell>
          <cell r="N1220">
            <v>8.33</v>
          </cell>
          <cell r="P1220">
            <v>39527</v>
          </cell>
          <cell r="Q1220">
            <v>104.94</v>
          </cell>
        </row>
        <row r="1221">
          <cell r="D1221">
            <v>39526</v>
          </cell>
          <cell r="E1221">
            <v>13.84</v>
          </cell>
          <cell r="G1221">
            <v>39526</v>
          </cell>
          <cell r="H1221">
            <v>9.15</v>
          </cell>
          <cell r="J1221">
            <v>39524</v>
          </cell>
          <cell r="K1221">
            <v>6.64</v>
          </cell>
          <cell r="M1221">
            <v>39489</v>
          </cell>
          <cell r="N1221">
            <v>8.3000000000000007</v>
          </cell>
          <cell r="P1221">
            <v>39526</v>
          </cell>
          <cell r="Q1221">
            <v>101.12</v>
          </cell>
        </row>
        <row r="1222">
          <cell r="D1222">
            <v>39525</v>
          </cell>
          <cell r="E1222">
            <v>14.44</v>
          </cell>
          <cell r="G1222">
            <v>39525</v>
          </cell>
          <cell r="H1222">
            <v>9.09</v>
          </cell>
          <cell r="J1222">
            <v>39521</v>
          </cell>
          <cell r="K1222">
            <v>6.2</v>
          </cell>
          <cell r="M1222">
            <v>39486</v>
          </cell>
          <cell r="N1222">
            <v>8.3000000000000007</v>
          </cell>
          <cell r="P1222">
            <v>39525</v>
          </cell>
          <cell r="Q1222">
            <v>105</v>
          </cell>
        </row>
        <row r="1223">
          <cell r="D1223">
            <v>39524</v>
          </cell>
          <cell r="E1223">
            <v>13.99</v>
          </cell>
          <cell r="G1223">
            <v>39524</v>
          </cell>
          <cell r="H1223">
            <v>8.65</v>
          </cell>
          <cell r="J1223">
            <v>39520</v>
          </cell>
          <cell r="K1223">
            <v>6.44</v>
          </cell>
          <cell r="M1223">
            <v>39485</v>
          </cell>
          <cell r="N1223">
            <v>7.8860000000000001</v>
          </cell>
          <cell r="P1223">
            <v>39524</v>
          </cell>
          <cell r="Q1223">
            <v>98.12</v>
          </cell>
        </row>
        <row r="1224">
          <cell r="D1224">
            <v>39521</v>
          </cell>
          <cell r="E1224">
            <v>13.52</v>
          </cell>
          <cell r="G1224">
            <v>39521</v>
          </cell>
          <cell r="H1224">
            <v>8.8800000000000008</v>
          </cell>
          <cell r="J1224">
            <v>39519</v>
          </cell>
          <cell r="K1224">
            <v>6.25</v>
          </cell>
          <cell r="M1224">
            <v>39484</v>
          </cell>
          <cell r="N1224">
            <v>7.82</v>
          </cell>
          <cell r="P1224">
            <v>39521</v>
          </cell>
          <cell r="Q1224">
            <v>101.69</v>
          </cell>
        </row>
        <row r="1225">
          <cell r="D1225">
            <v>39520</v>
          </cell>
          <cell r="E1225">
            <v>14</v>
          </cell>
          <cell r="G1225">
            <v>39520</v>
          </cell>
          <cell r="H1225">
            <v>9.7799999999999994</v>
          </cell>
          <cell r="J1225">
            <v>39518</v>
          </cell>
          <cell r="K1225">
            <v>6.02</v>
          </cell>
          <cell r="M1225">
            <v>39483</v>
          </cell>
          <cell r="N1225">
            <v>8.01</v>
          </cell>
          <cell r="P1225">
            <v>39520</v>
          </cell>
          <cell r="Q1225">
            <v>105.65</v>
          </cell>
        </row>
        <row r="1226">
          <cell r="D1226">
            <v>39519</v>
          </cell>
          <cell r="E1226">
            <v>13.45</v>
          </cell>
          <cell r="G1226">
            <v>39519</v>
          </cell>
          <cell r="H1226">
            <v>9.98</v>
          </cell>
          <cell r="J1226">
            <v>39517</v>
          </cell>
          <cell r="K1226">
            <v>6.04</v>
          </cell>
          <cell r="M1226">
            <v>39482</v>
          </cell>
          <cell r="N1226">
            <v>8.1</v>
          </cell>
          <cell r="P1226">
            <v>39519</v>
          </cell>
          <cell r="Q1226">
            <v>101.39</v>
          </cell>
        </row>
        <row r="1227">
          <cell r="D1227">
            <v>39518</v>
          </cell>
          <cell r="E1227">
            <v>13.33</v>
          </cell>
          <cell r="G1227">
            <v>39518</v>
          </cell>
          <cell r="H1227">
            <v>10.7</v>
          </cell>
          <cell r="J1227">
            <v>39514</v>
          </cell>
          <cell r="K1227">
            <v>5.96</v>
          </cell>
          <cell r="M1227">
            <v>39479</v>
          </cell>
          <cell r="N1227">
            <v>7.9</v>
          </cell>
          <cell r="P1227">
            <v>39518</v>
          </cell>
          <cell r="Q1227">
            <v>100.73990000000001</v>
          </cell>
        </row>
        <row r="1228">
          <cell r="D1228">
            <v>39517</v>
          </cell>
          <cell r="E1228">
            <v>12.93</v>
          </cell>
          <cell r="G1228">
            <v>39517</v>
          </cell>
          <cell r="H1228">
            <v>10.220000000000001</v>
          </cell>
          <cell r="J1228">
            <v>39513</v>
          </cell>
          <cell r="K1228">
            <v>5.97</v>
          </cell>
          <cell r="M1228">
            <v>39478</v>
          </cell>
          <cell r="N1228">
            <v>7.83</v>
          </cell>
          <cell r="P1228">
            <v>39517</v>
          </cell>
          <cell r="Q1228">
            <v>93.59</v>
          </cell>
        </row>
        <row r="1229">
          <cell r="D1229">
            <v>39514</v>
          </cell>
          <cell r="E1229">
            <v>13.74</v>
          </cell>
          <cell r="G1229">
            <v>39514</v>
          </cell>
          <cell r="H1229">
            <v>10.8</v>
          </cell>
          <cell r="J1229">
            <v>39512</v>
          </cell>
          <cell r="K1229">
            <v>6.0598999999999998</v>
          </cell>
          <cell r="M1229">
            <v>39477</v>
          </cell>
          <cell r="N1229">
            <v>8.09</v>
          </cell>
          <cell r="P1229">
            <v>39514</v>
          </cell>
          <cell r="Q1229">
            <v>98.04</v>
          </cell>
        </row>
        <row r="1230">
          <cell r="D1230">
            <v>39513</v>
          </cell>
          <cell r="E1230">
            <v>14.055</v>
          </cell>
          <cell r="G1230">
            <v>39513</v>
          </cell>
          <cell r="H1230">
            <v>10.77</v>
          </cell>
          <cell r="J1230">
            <v>39511</v>
          </cell>
          <cell r="K1230">
            <v>7.02</v>
          </cell>
          <cell r="M1230">
            <v>39476</v>
          </cell>
          <cell r="N1230">
            <v>8.08</v>
          </cell>
          <cell r="P1230">
            <v>39513</v>
          </cell>
          <cell r="Q1230">
            <v>97.92</v>
          </cell>
        </row>
        <row r="1231">
          <cell r="D1231">
            <v>39512</v>
          </cell>
          <cell r="E1231">
            <v>14.47</v>
          </cell>
          <cell r="G1231">
            <v>39512</v>
          </cell>
          <cell r="H1231">
            <v>10.430099999999999</v>
          </cell>
          <cell r="J1231">
            <v>39510</v>
          </cell>
          <cell r="K1231">
            <v>7.19</v>
          </cell>
          <cell r="M1231">
            <v>39475</v>
          </cell>
          <cell r="N1231">
            <v>8.11</v>
          </cell>
          <cell r="P1231">
            <v>39512</v>
          </cell>
          <cell r="Q1231">
            <v>101.7299</v>
          </cell>
        </row>
        <row r="1232">
          <cell r="D1232">
            <v>39511</v>
          </cell>
          <cell r="E1232">
            <v>14.11</v>
          </cell>
          <cell r="G1232">
            <v>39511</v>
          </cell>
          <cell r="H1232">
            <v>10.58</v>
          </cell>
          <cell r="J1232">
            <v>39507</v>
          </cell>
          <cell r="K1232">
            <v>7.14</v>
          </cell>
          <cell r="M1232">
            <v>39472</v>
          </cell>
          <cell r="N1232">
            <v>8.25</v>
          </cell>
          <cell r="P1232">
            <v>39511</v>
          </cell>
          <cell r="Q1232">
            <v>104.66</v>
          </cell>
        </row>
        <row r="1233">
          <cell r="D1233">
            <v>39510</v>
          </cell>
          <cell r="E1233">
            <v>14.39</v>
          </cell>
          <cell r="G1233">
            <v>39510</v>
          </cell>
          <cell r="H1233">
            <v>10.64</v>
          </cell>
          <cell r="J1233">
            <v>39506</v>
          </cell>
          <cell r="K1233">
            <v>7.12</v>
          </cell>
          <cell r="M1233">
            <v>39471</v>
          </cell>
          <cell r="N1233">
            <v>7.85</v>
          </cell>
          <cell r="P1233">
            <v>39510</v>
          </cell>
          <cell r="Q1233">
            <v>100.15</v>
          </cell>
        </row>
        <row r="1234">
          <cell r="D1234">
            <v>39507</v>
          </cell>
          <cell r="E1234">
            <v>14.46</v>
          </cell>
          <cell r="G1234">
            <v>39507</v>
          </cell>
          <cell r="H1234">
            <v>10.58</v>
          </cell>
          <cell r="J1234">
            <v>39505</v>
          </cell>
          <cell r="K1234">
            <v>7.41</v>
          </cell>
          <cell r="M1234">
            <v>39470</v>
          </cell>
          <cell r="N1234">
            <v>8.0299999999999994</v>
          </cell>
          <cell r="P1234">
            <v>39507</v>
          </cell>
          <cell r="Q1234">
            <v>103.8</v>
          </cell>
        </row>
        <row r="1235">
          <cell r="D1235">
            <v>39506</v>
          </cell>
          <cell r="E1235">
            <v>15.15</v>
          </cell>
          <cell r="G1235">
            <v>39506</v>
          </cell>
          <cell r="H1235">
            <v>10.93</v>
          </cell>
          <cell r="J1235">
            <v>39504</v>
          </cell>
          <cell r="K1235">
            <v>6.97</v>
          </cell>
          <cell r="M1235">
            <v>39469</v>
          </cell>
          <cell r="N1235">
            <v>8.08</v>
          </cell>
          <cell r="P1235">
            <v>39506</v>
          </cell>
          <cell r="Q1235">
            <v>109.05</v>
          </cell>
        </row>
        <row r="1236">
          <cell r="D1236">
            <v>39505</v>
          </cell>
          <cell r="E1236">
            <v>15.47</v>
          </cell>
          <cell r="G1236">
            <v>39505</v>
          </cell>
          <cell r="H1236">
            <v>11.61</v>
          </cell>
          <cell r="J1236">
            <v>39503</v>
          </cell>
          <cell r="K1236">
            <v>7.05</v>
          </cell>
          <cell r="M1236">
            <v>39465</v>
          </cell>
          <cell r="N1236">
            <v>8.07</v>
          </cell>
          <cell r="P1236">
            <v>39505</v>
          </cell>
          <cell r="Q1236">
            <v>111.5</v>
          </cell>
        </row>
        <row r="1237">
          <cell r="D1237">
            <v>39504</v>
          </cell>
          <cell r="E1237">
            <v>15.59</v>
          </cell>
          <cell r="G1237">
            <v>39504</v>
          </cell>
          <cell r="H1237">
            <v>11.39</v>
          </cell>
          <cell r="J1237">
            <v>39500</v>
          </cell>
          <cell r="K1237">
            <v>7</v>
          </cell>
          <cell r="M1237">
            <v>39464</v>
          </cell>
          <cell r="N1237">
            <v>8.4</v>
          </cell>
          <cell r="P1237">
            <v>39504</v>
          </cell>
          <cell r="Q1237">
            <v>107.75</v>
          </cell>
        </row>
        <row r="1238">
          <cell r="D1238">
            <v>39503</v>
          </cell>
          <cell r="E1238">
            <v>15.11</v>
          </cell>
          <cell r="G1238">
            <v>39503</v>
          </cell>
          <cell r="H1238">
            <v>11.43</v>
          </cell>
          <cell r="J1238">
            <v>39499</v>
          </cell>
          <cell r="K1238">
            <v>7.04</v>
          </cell>
          <cell r="M1238">
            <v>39463</v>
          </cell>
          <cell r="N1238">
            <v>8.6300000000000008</v>
          </cell>
          <cell r="P1238">
            <v>39503</v>
          </cell>
          <cell r="Q1238">
            <v>108.71</v>
          </cell>
        </row>
        <row r="1239">
          <cell r="D1239">
            <v>39500</v>
          </cell>
          <cell r="E1239">
            <v>15.07</v>
          </cell>
          <cell r="G1239">
            <v>39500</v>
          </cell>
          <cell r="H1239">
            <v>10.84</v>
          </cell>
          <cell r="J1239">
            <v>39498</v>
          </cell>
          <cell r="K1239">
            <v>7.32</v>
          </cell>
          <cell r="M1239">
            <v>39462</v>
          </cell>
          <cell r="N1239">
            <v>8.42</v>
          </cell>
          <cell r="P1239">
            <v>39500</v>
          </cell>
          <cell r="Q1239">
            <v>107.95</v>
          </cell>
        </row>
        <row r="1240">
          <cell r="D1240">
            <v>39499</v>
          </cell>
          <cell r="E1240">
            <v>15.21</v>
          </cell>
          <cell r="G1240">
            <v>39499</v>
          </cell>
          <cell r="H1240">
            <v>10.69</v>
          </cell>
          <cell r="J1240">
            <v>39497</v>
          </cell>
          <cell r="K1240">
            <v>7.29</v>
          </cell>
          <cell r="M1240">
            <v>39461</v>
          </cell>
          <cell r="N1240">
            <v>8.5299999999999994</v>
          </cell>
          <cell r="P1240">
            <v>39499</v>
          </cell>
          <cell r="Q1240">
            <v>106.69</v>
          </cell>
        </row>
        <row r="1241">
          <cell r="D1241">
            <v>39498</v>
          </cell>
          <cell r="E1241">
            <v>16.7</v>
          </cell>
          <cell r="G1241">
            <v>39498</v>
          </cell>
          <cell r="H1241">
            <v>13.86</v>
          </cell>
          <cell r="J1241">
            <v>39493</v>
          </cell>
          <cell r="K1241">
            <v>7.53</v>
          </cell>
          <cell r="M1241">
            <v>39458</v>
          </cell>
          <cell r="N1241">
            <v>8.34</v>
          </cell>
          <cell r="P1241">
            <v>39498</v>
          </cell>
          <cell r="Q1241">
            <v>97.91</v>
          </cell>
        </row>
        <row r="1242">
          <cell r="D1242">
            <v>39497</v>
          </cell>
          <cell r="E1242">
            <v>16.309999999999999</v>
          </cell>
          <cell r="G1242">
            <v>39497</v>
          </cell>
          <cell r="H1242">
            <v>13.58</v>
          </cell>
          <cell r="J1242">
            <v>39492</v>
          </cell>
          <cell r="K1242">
            <v>7.47</v>
          </cell>
          <cell r="M1242">
            <v>39457</v>
          </cell>
          <cell r="N1242">
            <v>7.98</v>
          </cell>
          <cell r="P1242">
            <v>39497</v>
          </cell>
          <cell r="Q1242">
            <v>92.89</v>
          </cell>
        </row>
        <row r="1243">
          <cell r="D1243">
            <v>39493</v>
          </cell>
          <cell r="E1243">
            <v>16.579999999999998</v>
          </cell>
          <cell r="G1243">
            <v>39493</v>
          </cell>
          <cell r="H1243">
            <v>13.35</v>
          </cell>
          <cell r="J1243">
            <v>39491</v>
          </cell>
          <cell r="K1243">
            <v>7.53</v>
          </cell>
          <cell r="M1243">
            <v>39456</v>
          </cell>
          <cell r="N1243">
            <v>7.9</v>
          </cell>
          <cell r="P1243">
            <v>39493</v>
          </cell>
          <cell r="Q1243">
            <v>95.19</v>
          </cell>
        </row>
        <row r="1244">
          <cell r="D1244">
            <v>39492</v>
          </cell>
          <cell r="E1244">
            <v>16.28</v>
          </cell>
          <cell r="G1244">
            <v>39492</v>
          </cell>
          <cell r="H1244">
            <v>13.36</v>
          </cell>
          <cell r="J1244">
            <v>39490</v>
          </cell>
          <cell r="K1244">
            <v>7.43</v>
          </cell>
          <cell r="M1244">
            <v>39455</v>
          </cell>
          <cell r="N1244">
            <v>8</v>
          </cell>
          <cell r="P1244">
            <v>39492</v>
          </cell>
          <cell r="Q1244">
            <v>95.54</v>
          </cell>
        </row>
        <row r="1245">
          <cell r="D1245">
            <v>39491</v>
          </cell>
          <cell r="E1245">
            <v>16.559999999999999</v>
          </cell>
          <cell r="G1245">
            <v>39491</v>
          </cell>
          <cell r="H1245">
            <v>14.58</v>
          </cell>
          <cell r="J1245">
            <v>39489</v>
          </cell>
          <cell r="K1245">
            <v>7.62</v>
          </cell>
          <cell r="M1245">
            <v>39454</v>
          </cell>
          <cell r="N1245">
            <v>7.97</v>
          </cell>
          <cell r="P1245">
            <v>39491</v>
          </cell>
          <cell r="Q1245">
            <v>96.76</v>
          </cell>
        </row>
        <row r="1246">
          <cell r="D1246">
            <v>39490</v>
          </cell>
          <cell r="E1246">
            <v>15.93</v>
          </cell>
          <cell r="G1246">
            <v>39490</v>
          </cell>
          <cell r="H1246">
            <v>14.2</v>
          </cell>
          <cell r="J1246">
            <v>39486</v>
          </cell>
          <cell r="K1246">
            <v>7.8</v>
          </cell>
          <cell r="M1246">
            <v>39451</v>
          </cell>
          <cell r="N1246">
            <v>8</v>
          </cell>
          <cell r="P1246">
            <v>39490</v>
          </cell>
          <cell r="Q1246">
            <v>91.5</v>
          </cell>
        </row>
        <row r="1247">
          <cell r="D1247">
            <v>39489</v>
          </cell>
          <cell r="E1247">
            <v>16.2</v>
          </cell>
          <cell r="G1247">
            <v>39489</v>
          </cell>
          <cell r="H1247">
            <v>14.21</v>
          </cell>
          <cell r="J1247">
            <v>39485</v>
          </cell>
          <cell r="K1247">
            <v>8.0299999999999994</v>
          </cell>
          <cell r="M1247">
            <v>39450</v>
          </cell>
          <cell r="N1247">
            <v>8.49</v>
          </cell>
          <cell r="P1247">
            <v>39489</v>
          </cell>
          <cell r="Q1247">
            <v>94.47</v>
          </cell>
        </row>
        <row r="1248">
          <cell r="D1248">
            <v>39486</v>
          </cell>
          <cell r="E1248">
            <v>15.92</v>
          </cell>
          <cell r="G1248">
            <v>39486</v>
          </cell>
          <cell r="H1248">
            <v>14.02</v>
          </cell>
          <cell r="J1248">
            <v>39484</v>
          </cell>
          <cell r="K1248">
            <v>8.2100000000000009</v>
          </cell>
          <cell r="M1248">
            <v>39449</v>
          </cell>
          <cell r="N1248">
            <v>8.59</v>
          </cell>
          <cell r="P1248">
            <v>39486</v>
          </cell>
          <cell r="Q1248">
            <v>89.71</v>
          </cell>
        </row>
        <row r="1249">
          <cell r="D1249">
            <v>39485</v>
          </cell>
          <cell r="E1249">
            <v>15.45</v>
          </cell>
          <cell r="G1249">
            <v>39485</v>
          </cell>
          <cell r="H1249">
            <v>14.52</v>
          </cell>
          <cell r="J1249">
            <v>39483</v>
          </cell>
          <cell r="K1249">
            <v>8.56</v>
          </cell>
          <cell r="M1249">
            <v>39447</v>
          </cell>
          <cell r="N1249">
            <v>8.25</v>
          </cell>
          <cell r="P1249">
            <v>39485</v>
          </cell>
          <cell r="Q1249">
            <v>84.95</v>
          </cell>
        </row>
        <row r="1250">
          <cell r="D1250">
            <v>39484</v>
          </cell>
          <cell r="E1250">
            <v>15.21</v>
          </cell>
          <cell r="G1250">
            <v>39484</v>
          </cell>
          <cell r="H1250">
            <v>15.22</v>
          </cell>
          <cell r="J1250">
            <v>39482</v>
          </cell>
          <cell r="K1250">
            <v>8.74</v>
          </cell>
          <cell r="M1250">
            <v>39444</v>
          </cell>
          <cell r="N1250">
            <v>8.2125000000000004</v>
          </cell>
          <cell r="P1250">
            <v>39484</v>
          </cell>
          <cell r="Q1250">
            <v>84.1</v>
          </cell>
        </row>
        <row r="1251">
          <cell r="D1251">
            <v>39483</v>
          </cell>
          <cell r="E1251">
            <v>15.75</v>
          </cell>
          <cell r="G1251">
            <v>39483</v>
          </cell>
          <cell r="H1251">
            <v>15.62</v>
          </cell>
          <cell r="J1251">
            <v>39479</v>
          </cell>
          <cell r="K1251">
            <v>9</v>
          </cell>
          <cell r="M1251">
            <v>39443</v>
          </cell>
          <cell r="N1251">
            <v>8.32</v>
          </cell>
          <cell r="P1251">
            <v>39483</v>
          </cell>
          <cell r="Q1251">
            <v>88.3</v>
          </cell>
        </row>
        <row r="1252">
          <cell r="D1252">
            <v>39482</v>
          </cell>
          <cell r="E1252">
            <v>16.8</v>
          </cell>
          <cell r="G1252">
            <v>39482</v>
          </cell>
          <cell r="H1252">
            <v>15.99</v>
          </cell>
          <cell r="J1252">
            <v>39478</v>
          </cell>
          <cell r="K1252">
            <v>8.99</v>
          </cell>
          <cell r="M1252">
            <v>39442</v>
          </cell>
          <cell r="N1252">
            <v>8.2100000000000009</v>
          </cell>
          <cell r="P1252">
            <v>39482</v>
          </cell>
          <cell r="Q1252">
            <v>93.17</v>
          </cell>
        </row>
        <row r="1253">
          <cell r="D1253">
            <v>39479</v>
          </cell>
          <cell r="E1253">
            <v>16.240100000000002</v>
          </cell>
          <cell r="G1253">
            <v>39479</v>
          </cell>
          <cell r="H1253">
            <v>16.25</v>
          </cell>
          <cell r="J1253">
            <v>39477</v>
          </cell>
          <cell r="K1253">
            <v>8.9700000000000006</v>
          </cell>
          <cell r="M1253">
            <v>39440</v>
          </cell>
          <cell r="N1253">
            <v>8.0399999999999991</v>
          </cell>
          <cell r="P1253">
            <v>39479</v>
          </cell>
          <cell r="Q1253">
            <v>92.240099999999998</v>
          </cell>
        </row>
        <row r="1254">
          <cell r="D1254">
            <v>39478</v>
          </cell>
          <cell r="E1254">
            <v>14.81</v>
          </cell>
          <cell r="G1254">
            <v>39478</v>
          </cell>
          <cell r="H1254">
            <v>16</v>
          </cell>
          <cell r="J1254">
            <v>39476</v>
          </cell>
          <cell r="K1254">
            <v>9.01</v>
          </cell>
          <cell r="M1254">
            <v>39437</v>
          </cell>
          <cell r="N1254">
            <v>8.11</v>
          </cell>
          <cell r="P1254">
            <v>39478</v>
          </cell>
          <cell r="Q1254">
            <v>93.88</v>
          </cell>
        </row>
        <row r="1255">
          <cell r="D1255">
            <v>39477</v>
          </cell>
          <cell r="E1255">
            <v>14.68</v>
          </cell>
          <cell r="G1255">
            <v>39477</v>
          </cell>
          <cell r="H1255">
            <v>15.73</v>
          </cell>
          <cell r="J1255">
            <v>39475</v>
          </cell>
          <cell r="K1255">
            <v>8.7799999999999994</v>
          </cell>
          <cell r="M1255">
            <v>39436</v>
          </cell>
          <cell r="N1255">
            <v>8.0399999999999991</v>
          </cell>
          <cell r="P1255">
            <v>39477</v>
          </cell>
          <cell r="Q1255">
            <v>93.79</v>
          </cell>
        </row>
        <row r="1256">
          <cell r="D1256">
            <v>39476</v>
          </cell>
          <cell r="E1256">
            <v>15.14</v>
          </cell>
          <cell r="G1256">
            <v>39476</v>
          </cell>
          <cell r="H1256">
            <v>15.3</v>
          </cell>
          <cell r="J1256">
            <v>39472</v>
          </cell>
          <cell r="K1256">
            <v>8.84</v>
          </cell>
          <cell r="M1256">
            <v>39435</v>
          </cell>
          <cell r="N1256">
            <v>8.14</v>
          </cell>
          <cell r="P1256">
            <v>39476</v>
          </cell>
          <cell r="Q1256">
            <v>91.15</v>
          </cell>
        </row>
        <row r="1257">
          <cell r="D1257">
            <v>39475</v>
          </cell>
          <cell r="E1257">
            <v>14.36</v>
          </cell>
          <cell r="G1257">
            <v>39475</v>
          </cell>
          <cell r="H1257">
            <v>15.11</v>
          </cell>
          <cell r="J1257">
            <v>39471</v>
          </cell>
          <cell r="K1257">
            <v>8.6999999999999993</v>
          </cell>
          <cell r="M1257">
            <v>39434</v>
          </cell>
          <cell r="N1257">
            <v>8.27</v>
          </cell>
          <cell r="P1257">
            <v>39475</v>
          </cell>
          <cell r="Q1257">
            <v>92.07</v>
          </cell>
        </row>
        <row r="1258">
          <cell r="D1258">
            <v>39472</v>
          </cell>
          <cell r="E1258">
            <v>14.16</v>
          </cell>
          <cell r="G1258">
            <v>39472</v>
          </cell>
          <cell r="H1258">
            <v>15.58</v>
          </cell>
          <cell r="J1258">
            <v>39470</v>
          </cell>
          <cell r="K1258">
            <v>9.0500000000000007</v>
          </cell>
          <cell r="M1258">
            <v>39433</v>
          </cell>
          <cell r="N1258">
            <v>8.5399999999999991</v>
          </cell>
          <cell r="P1258">
            <v>39472</v>
          </cell>
          <cell r="Q1258">
            <v>91.05</v>
          </cell>
        </row>
        <row r="1259">
          <cell r="D1259">
            <v>39471</v>
          </cell>
          <cell r="E1259">
            <v>14.08</v>
          </cell>
          <cell r="G1259">
            <v>39471</v>
          </cell>
          <cell r="H1259">
            <v>16.11</v>
          </cell>
          <cell r="J1259">
            <v>39469</v>
          </cell>
          <cell r="K1259">
            <v>9.0399999999999991</v>
          </cell>
          <cell r="M1259">
            <v>39430</v>
          </cell>
          <cell r="N1259">
            <v>8.5</v>
          </cell>
          <cell r="P1259">
            <v>39471</v>
          </cell>
          <cell r="Q1259">
            <v>95</v>
          </cell>
        </row>
        <row r="1260">
          <cell r="D1260">
            <v>39470</v>
          </cell>
          <cell r="E1260">
            <v>13.15</v>
          </cell>
          <cell r="G1260">
            <v>39470</v>
          </cell>
          <cell r="H1260">
            <v>15.46</v>
          </cell>
          <cell r="J1260">
            <v>39465</v>
          </cell>
          <cell r="K1260">
            <v>9.2899999999999991</v>
          </cell>
          <cell r="M1260">
            <v>39429</v>
          </cell>
          <cell r="N1260">
            <v>8.48</v>
          </cell>
          <cell r="P1260">
            <v>39470</v>
          </cell>
          <cell r="Q1260">
            <v>88</v>
          </cell>
        </row>
        <row r="1261">
          <cell r="D1261">
            <v>39469</v>
          </cell>
          <cell r="E1261">
            <v>13.02</v>
          </cell>
          <cell r="G1261">
            <v>39469</v>
          </cell>
          <cell r="H1261">
            <v>15.59</v>
          </cell>
          <cell r="J1261">
            <v>39464</v>
          </cell>
          <cell r="K1261">
            <v>9.75</v>
          </cell>
          <cell r="M1261">
            <v>39428</v>
          </cell>
          <cell r="N1261">
            <v>8.76</v>
          </cell>
          <cell r="P1261">
            <v>39469</v>
          </cell>
          <cell r="Q1261">
            <v>90.08</v>
          </cell>
        </row>
        <row r="1262">
          <cell r="D1262">
            <v>39465</v>
          </cell>
          <cell r="E1262">
            <v>13.27</v>
          </cell>
          <cell r="G1262">
            <v>39465</v>
          </cell>
          <cell r="H1262">
            <v>15.02</v>
          </cell>
          <cell r="J1262">
            <v>39463</v>
          </cell>
          <cell r="K1262">
            <v>9.9499999999999993</v>
          </cell>
          <cell r="M1262">
            <v>39427</v>
          </cell>
          <cell r="N1262">
            <v>8.4600000000000009</v>
          </cell>
          <cell r="P1262">
            <v>39465</v>
          </cell>
          <cell r="Q1262">
            <v>88.58</v>
          </cell>
        </row>
        <row r="1263">
          <cell r="D1263">
            <v>39464</v>
          </cell>
          <cell r="E1263">
            <v>13.22</v>
          </cell>
          <cell r="G1263">
            <v>39464</v>
          </cell>
          <cell r="H1263">
            <v>14.79</v>
          </cell>
          <cell r="J1263">
            <v>39462</v>
          </cell>
          <cell r="K1263">
            <v>9.9</v>
          </cell>
          <cell r="M1263">
            <v>39426</v>
          </cell>
          <cell r="N1263">
            <v>8.39</v>
          </cell>
          <cell r="P1263">
            <v>39464</v>
          </cell>
          <cell r="Q1263">
            <v>87.03</v>
          </cell>
        </row>
        <row r="1264">
          <cell r="D1264">
            <v>39463</v>
          </cell>
          <cell r="E1264">
            <v>13.07</v>
          </cell>
          <cell r="G1264">
            <v>39463</v>
          </cell>
          <cell r="H1264">
            <v>15.18</v>
          </cell>
          <cell r="J1264">
            <v>39461</v>
          </cell>
          <cell r="K1264">
            <v>10.23</v>
          </cell>
          <cell r="M1264">
            <v>39423</v>
          </cell>
          <cell r="N1264">
            <v>8.5</v>
          </cell>
          <cell r="P1264">
            <v>39463</v>
          </cell>
          <cell r="Q1264">
            <v>89.3</v>
          </cell>
        </row>
        <row r="1265">
          <cell r="D1265">
            <v>39462</v>
          </cell>
          <cell r="E1265">
            <v>12.96</v>
          </cell>
          <cell r="G1265">
            <v>39462</v>
          </cell>
          <cell r="H1265">
            <v>15.18</v>
          </cell>
          <cell r="J1265">
            <v>39458</v>
          </cell>
          <cell r="K1265">
            <v>10.23</v>
          </cell>
          <cell r="M1265">
            <v>39422</v>
          </cell>
          <cell r="N1265">
            <v>8.6300000000000008</v>
          </cell>
          <cell r="P1265">
            <v>39462</v>
          </cell>
          <cell r="Q1265">
            <v>90.93</v>
          </cell>
        </row>
        <row r="1266">
          <cell r="D1266">
            <v>39461</v>
          </cell>
          <cell r="E1266">
            <v>13.99</v>
          </cell>
          <cell r="G1266">
            <v>39461</v>
          </cell>
          <cell r="H1266">
            <v>15.66</v>
          </cell>
          <cell r="J1266">
            <v>39457</v>
          </cell>
          <cell r="K1266">
            <v>10.39</v>
          </cell>
          <cell r="M1266">
            <v>39421</v>
          </cell>
          <cell r="N1266">
            <v>8.35</v>
          </cell>
          <cell r="P1266">
            <v>39461</v>
          </cell>
          <cell r="Q1266">
            <v>96.35</v>
          </cell>
        </row>
        <row r="1267">
          <cell r="D1267">
            <v>39458</v>
          </cell>
          <cell r="E1267">
            <v>13.4</v>
          </cell>
          <cell r="G1267">
            <v>39458</v>
          </cell>
          <cell r="H1267">
            <v>14.5</v>
          </cell>
          <cell r="J1267">
            <v>39456</v>
          </cell>
          <cell r="K1267">
            <v>10.62</v>
          </cell>
          <cell r="M1267">
            <v>39420</v>
          </cell>
          <cell r="N1267">
            <v>8.35</v>
          </cell>
          <cell r="P1267">
            <v>39458</v>
          </cell>
          <cell r="Q1267">
            <v>93.7</v>
          </cell>
        </row>
        <row r="1268">
          <cell r="D1268">
            <v>39457</v>
          </cell>
          <cell r="E1268">
            <v>13.63</v>
          </cell>
          <cell r="G1268">
            <v>39457</v>
          </cell>
          <cell r="H1268">
            <v>14</v>
          </cell>
          <cell r="J1268">
            <v>39455</v>
          </cell>
          <cell r="K1268">
            <v>10.8</v>
          </cell>
          <cell r="M1268">
            <v>39419</v>
          </cell>
          <cell r="N1268">
            <v>8.51</v>
          </cell>
          <cell r="P1268">
            <v>39457</v>
          </cell>
          <cell r="Q1268">
            <v>100.66</v>
          </cell>
        </row>
        <row r="1269">
          <cell r="D1269">
            <v>39456</v>
          </cell>
          <cell r="E1269">
            <v>13.68</v>
          </cell>
          <cell r="G1269">
            <v>39456</v>
          </cell>
          <cell r="H1269">
            <v>14.19</v>
          </cell>
          <cell r="J1269">
            <v>39454</v>
          </cell>
          <cell r="K1269">
            <v>11.6</v>
          </cell>
          <cell r="M1269">
            <v>39416</v>
          </cell>
          <cell r="N1269">
            <v>8.06</v>
          </cell>
          <cell r="P1269">
            <v>39456</v>
          </cell>
          <cell r="Q1269">
            <v>98.55</v>
          </cell>
        </row>
        <row r="1270">
          <cell r="D1270">
            <v>39455</v>
          </cell>
          <cell r="E1270">
            <v>13.1</v>
          </cell>
          <cell r="G1270">
            <v>39455</v>
          </cell>
          <cell r="H1270">
            <v>12.78</v>
          </cell>
          <cell r="J1270">
            <v>39451</v>
          </cell>
          <cell r="K1270">
            <v>11.85</v>
          </cell>
          <cell r="M1270">
            <v>39415</v>
          </cell>
          <cell r="N1270">
            <v>8.4499999999999993</v>
          </cell>
          <cell r="P1270">
            <v>39455</v>
          </cell>
          <cell r="Q1270">
            <v>96.44</v>
          </cell>
        </row>
        <row r="1271">
          <cell r="D1271">
            <v>39454</v>
          </cell>
          <cell r="E1271">
            <v>13.11</v>
          </cell>
          <cell r="G1271">
            <v>39454</v>
          </cell>
          <cell r="H1271">
            <v>13.6</v>
          </cell>
          <cell r="J1271">
            <v>39450</v>
          </cell>
          <cell r="K1271">
            <v>12.2</v>
          </cell>
          <cell r="M1271">
            <v>39414</v>
          </cell>
          <cell r="N1271">
            <v>8.82</v>
          </cell>
          <cell r="P1271">
            <v>39454</v>
          </cell>
          <cell r="Q1271">
            <v>99.83</v>
          </cell>
        </row>
        <row r="1272">
          <cell r="D1272">
            <v>39451</v>
          </cell>
          <cell r="E1272">
            <v>13.66</v>
          </cell>
          <cell r="G1272">
            <v>39451</v>
          </cell>
          <cell r="H1272">
            <v>14.43</v>
          </cell>
          <cell r="J1272">
            <v>39449</v>
          </cell>
          <cell r="K1272">
            <v>12.43</v>
          </cell>
          <cell r="M1272">
            <v>39413</v>
          </cell>
          <cell r="N1272">
            <v>8.42</v>
          </cell>
          <cell r="P1272">
            <v>39451</v>
          </cell>
          <cell r="Q1272">
            <v>103.35</v>
          </cell>
        </row>
        <row r="1273">
          <cell r="D1273">
            <v>39450</v>
          </cell>
          <cell r="E1273">
            <v>14.34</v>
          </cell>
          <cell r="G1273">
            <v>39450</v>
          </cell>
          <cell r="H1273">
            <v>15.4</v>
          </cell>
          <cell r="J1273">
            <v>39447</v>
          </cell>
          <cell r="K1273">
            <v>12.46</v>
          </cell>
          <cell r="M1273">
            <v>39412</v>
          </cell>
          <cell r="N1273">
            <v>8.42</v>
          </cell>
          <cell r="P1273">
            <v>39450</v>
          </cell>
          <cell r="Q1273">
            <v>112.82</v>
          </cell>
        </row>
        <row r="1274">
          <cell r="D1274">
            <v>39449</v>
          </cell>
          <cell r="E1274">
            <v>14.41</v>
          </cell>
          <cell r="G1274">
            <v>39449</v>
          </cell>
          <cell r="H1274">
            <v>15.28</v>
          </cell>
          <cell r="J1274">
            <v>39444</v>
          </cell>
          <cell r="K1274">
            <v>13.13</v>
          </cell>
          <cell r="M1274">
            <v>39409</v>
          </cell>
          <cell r="N1274">
            <v>8.41</v>
          </cell>
          <cell r="P1274">
            <v>39449</v>
          </cell>
          <cell r="Q1274">
            <v>113.71</v>
          </cell>
        </row>
        <row r="1275">
          <cell r="D1275">
            <v>39447</v>
          </cell>
          <cell r="E1275">
            <v>14.85</v>
          </cell>
          <cell r="G1275">
            <v>39447</v>
          </cell>
          <cell r="H1275">
            <v>16.2</v>
          </cell>
          <cell r="J1275">
            <v>39443</v>
          </cell>
          <cell r="K1275">
            <v>12.82</v>
          </cell>
          <cell r="M1275">
            <v>39407</v>
          </cell>
          <cell r="N1275">
            <v>8.7100000000000009</v>
          </cell>
          <cell r="P1275">
            <v>39447</v>
          </cell>
          <cell r="Q1275">
            <v>113.4</v>
          </cell>
        </row>
        <row r="1276">
          <cell r="D1276">
            <v>39444</v>
          </cell>
          <cell r="E1276">
            <v>15.15</v>
          </cell>
          <cell r="G1276">
            <v>39444</v>
          </cell>
          <cell r="H1276">
            <v>16.18</v>
          </cell>
          <cell r="J1276">
            <v>39442</v>
          </cell>
          <cell r="K1276">
            <v>13.07</v>
          </cell>
          <cell r="M1276">
            <v>39406</v>
          </cell>
          <cell r="N1276">
            <v>8.2978000000000005</v>
          </cell>
          <cell r="P1276">
            <v>39444</v>
          </cell>
          <cell r="Q1276">
            <v>116.94</v>
          </cell>
        </row>
        <row r="1277">
          <cell r="D1277">
            <v>39443</v>
          </cell>
          <cell r="E1277">
            <v>15.26</v>
          </cell>
          <cell r="G1277">
            <v>39443</v>
          </cell>
          <cell r="H1277">
            <v>16.3</v>
          </cell>
          <cell r="J1277">
            <v>39440</v>
          </cell>
          <cell r="K1277">
            <v>13.21</v>
          </cell>
          <cell r="M1277">
            <v>39405</v>
          </cell>
          <cell r="N1277">
            <v>7.71</v>
          </cell>
          <cell r="P1277">
            <v>39443</v>
          </cell>
          <cell r="Q1277">
            <v>117.36</v>
          </cell>
        </row>
        <row r="1278">
          <cell r="D1278">
            <v>39442</v>
          </cell>
          <cell r="E1278">
            <v>15.7</v>
          </cell>
          <cell r="G1278">
            <v>39442</v>
          </cell>
          <cell r="H1278">
            <v>17.059999999999999</v>
          </cell>
          <cell r="J1278">
            <v>39437</v>
          </cell>
          <cell r="K1278">
            <v>12.9</v>
          </cell>
          <cell r="M1278">
            <v>39402</v>
          </cell>
          <cell r="N1278">
            <v>8</v>
          </cell>
          <cell r="P1278">
            <v>39442</v>
          </cell>
          <cell r="Q1278">
            <v>118.94</v>
          </cell>
        </row>
        <row r="1279">
          <cell r="D1279">
            <v>39440</v>
          </cell>
          <cell r="E1279">
            <v>15.71</v>
          </cell>
          <cell r="G1279">
            <v>39440</v>
          </cell>
          <cell r="H1279">
            <v>17.09</v>
          </cell>
          <cell r="J1279">
            <v>39436</v>
          </cell>
          <cell r="K1279">
            <v>13.13</v>
          </cell>
          <cell r="M1279">
            <v>39401</v>
          </cell>
          <cell r="N1279">
            <v>8</v>
          </cell>
          <cell r="P1279">
            <v>39440</v>
          </cell>
          <cell r="Q1279">
            <v>117.98</v>
          </cell>
        </row>
        <row r="1280">
          <cell r="D1280">
            <v>39437</v>
          </cell>
          <cell r="E1280">
            <v>15.84</v>
          </cell>
          <cell r="G1280">
            <v>39437</v>
          </cell>
          <cell r="H1280">
            <v>17.11</v>
          </cell>
          <cell r="J1280">
            <v>39435</v>
          </cell>
          <cell r="K1280">
            <v>13</v>
          </cell>
          <cell r="M1280">
            <v>39400</v>
          </cell>
          <cell r="N1280">
            <v>8.2200000000000006</v>
          </cell>
          <cell r="P1280">
            <v>39437</v>
          </cell>
          <cell r="Q1280">
            <v>118.63</v>
          </cell>
        </row>
        <row r="1281">
          <cell r="D1281">
            <v>39436</v>
          </cell>
          <cell r="E1281">
            <v>15.87</v>
          </cell>
          <cell r="G1281">
            <v>39436</v>
          </cell>
          <cell r="H1281">
            <v>16.920000000000002</v>
          </cell>
          <cell r="J1281">
            <v>39434</v>
          </cell>
          <cell r="K1281">
            <v>12.74</v>
          </cell>
          <cell r="M1281">
            <v>39399</v>
          </cell>
          <cell r="N1281">
            <v>7.78</v>
          </cell>
          <cell r="P1281">
            <v>39436</v>
          </cell>
          <cell r="Q1281">
            <v>106.99</v>
          </cell>
        </row>
        <row r="1282">
          <cell r="D1282">
            <v>39435</v>
          </cell>
          <cell r="E1282">
            <v>15.24</v>
          </cell>
          <cell r="G1282">
            <v>39435</v>
          </cell>
          <cell r="H1282">
            <v>16.39</v>
          </cell>
          <cell r="J1282">
            <v>39433</v>
          </cell>
          <cell r="K1282">
            <v>12.94</v>
          </cell>
          <cell r="M1282">
            <v>39398</v>
          </cell>
          <cell r="N1282">
            <v>7.71</v>
          </cell>
          <cell r="P1282">
            <v>39435</v>
          </cell>
          <cell r="Q1282">
            <v>102.13</v>
          </cell>
        </row>
        <row r="1283">
          <cell r="D1283">
            <v>39434</v>
          </cell>
          <cell r="E1283">
            <v>15.36</v>
          </cell>
          <cell r="G1283">
            <v>39434</v>
          </cell>
          <cell r="H1283">
            <v>16.38</v>
          </cell>
          <cell r="J1283">
            <v>39430</v>
          </cell>
          <cell r="K1283">
            <v>12.58</v>
          </cell>
          <cell r="M1283">
            <v>39395</v>
          </cell>
          <cell r="N1283">
            <v>7.82</v>
          </cell>
          <cell r="P1283">
            <v>39434</v>
          </cell>
          <cell r="Q1283">
            <v>100.69</v>
          </cell>
        </row>
        <row r="1284">
          <cell r="D1284">
            <v>39433</v>
          </cell>
          <cell r="E1284">
            <v>15.4</v>
          </cell>
          <cell r="G1284">
            <v>39433</v>
          </cell>
          <cell r="H1284">
            <v>16.27</v>
          </cell>
          <cell r="J1284">
            <v>39429</v>
          </cell>
          <cell r="K1284">
            <v>12.58</v>
          </cell>
          <cell r="M1284">
            <v>39394</v>
          </cell>
          <cell r="N1284">
            <v>7.93</v>
          </cell>
          <cell r="P1284">
            <v>39433</v>
          </cell>
          <cell r="Q1284">
            <v>100.26</v>
          </cell>
        </row>
        <row r="1285">
          <cell r="D1285">
            <v>39430</v>
          </cell>
          <cell r="E1285">
            <v>16.350000000000001</v>
          </cell>
          <cell r="G1285">
            <v>39430</v>
          </cell>
          <cell r="H1285">
            <v>16.93</v>
          </cell>
          <cell r="J1285">
            <v>39428</v>
          </cell>
          <cell r="K1285">
            <v>13.71</v>
          </cell>
          <cell r="M1285">
            <v>39393</v>
          </cell>
          <cell r="N1285">
            <v>8</v>
          </cell>
          <cell r="P1285">
            <v>39430</v>
          </cell>
          <cell r="Q1285">
            <v>105.98</v>
          </cell>
        </row>
        <row r="1286">
          <cell r="D1286">
            <v>39429</v>
          </cell>
          <cell r="E1286">
            <v>16.79</v>
          </cell>
          <cell r="G1286">
            <v>39429</v>
          </cell>
          <cell r="H1286">
            <v>17.010000000000002</v>
          </cell>
          <cell r="J1286">
            <v>39427</v>
          </cell>
          <cell r="K1286">
            <v>14.15</v>
          </cell>
          <cell r="M1286">
            <v>39392</v>
          </cell>
          <cell r="N1286">
            <v>8.36</v>
          </cell>
          <cell r="P1286">
            <v>39429</v>
          </cell>
          <cell r="Q1286">
            <v>104.3</v>
          </cell>
        </row>
        <row r="1287">
          <cell r="D1287">
            <v>39428</v>
          </cell>
          <cell r="E1287">
            <v>17.010000000000002</v>
          </cell>
          <cell r="G1287">
            <v>39428</v>
          </cell>
          <cell r="H1287">
            <v>17.03</v>
          </cell>
          <cell r="J1287">
            <v>39426</v>
          </cell>
          <cell r="K1287">
            <v>14.26</v>
          </cell>
          <cell r="M1287">
            <v>39391</v>
          </cell>
          <cell r="N1287">
            <v>8.34</v>
          </cell>
          <cell r="P1287">
            <v>39428</v>
          </cell>
          <cell r="Q1287">
            <v>100.21</v>
          </cell>
        </row>
        <row r="1288">
          <cell r="D1288">
            <v>39427</v>
          </cell>
          <cell r="E1288">
            <v>16.940100000000001</v>
          </cell>
          <cell r="G1288">
            <v>39427</v>
          </cell>
          <cell r="H1288">
            <v>16.87</v>
          </cell>
          <cell r="J1288">
            <v>39423</v>
          </cell>
          <cell r="K1288">
            <v>14.28</v>
          </cell>
          <cell r="M1288">
            <v>39388</v>
          </cell>
          <cell r="N1288">
            <v>8.4</v>
          </cell>
          <cell r="P1288">
            <v>39427</v>
          </cell>
          <cell r="Q1288">
            <v>97.890100000000004</v>
          </cell>
        </row>
        <row r="1289">
          <cell r="D1289">
            <v>39426</v>
          </cell>
          <cell r="E1289">
            <v>16.95</v>
          </cell>
          <cell r="G1289">
            <v>39426</v>
          </cell>
          <cell r="H1289">
            <v>17.190000000000001</v>
          </cell>
          <cell r="J1289">
            <v>39422</v>
          </cell>
          <cell r="K1289">
            <v>14.5</v>
          </cell>
          <cell r="M1289">
            <v>39387</v>
          </cell>
          <cell r="N1289">
            <v>8.7100000000000009</v>
          </cell>
          <cell r="P1289">
            <v>39426</v>
          </cell>
          <cell r="Q1289">
            <v>102.38</v>
          </cell>
        </row>
        <row r="1290">
          <cell r="D1290">
            <v>39423</v>
          </cell>
          <cell r="E1290">
            <v>16.68</v>
          </cell>
          <cell r="G1290">
            <v>39423</v>
          </cell>
          <cell r="H1290">
            <v>16.920000000000002</v>
          </cell>
          <cell r="J1290">
            <v>39421</v>
          </cell>
          <cell r="K1290">
            <v>13.91</v>
          </cell>
          <cell r="M1290">
            <v>39386</v>
          </cell>
          <cell r="N1290">
            <v>8.4600000000000009</v>
          </cell>
          <cell r="P1290">
            <v>39423</v>
          </cell>
          <cell r="Q1290">
            <v>103.65</v>
          </cell>
        </row>
        <row r="1291">
          <cell r="D1291">
            <v>39422</v>
          </cell>
          <cell r="E1291">
            <v>16.88</v>
          </cell>
          <cell r="G1291">
            <v>39422</v>
          </cell>
          <cell r="H1291">
            <v>16.692</v>
          </cell>
          <cell r="J1291">
            <v>39420</v>
          </cell>
          <cell r="K1291">
            <v>13.73</v>
          </cell>
          <cell r="M1291">
            <v>39385</v>
          </cell>
          <cell r="N1291">
            <v>8.3000000000000007</v>
          </cell>
          <cell r="P1291">
            <v>39422</v>
          </cell>
          <cell r="Q1291">
            <v>103.88</v>
          </cell>
        </row>
        <row r="1292">
          <cell r="D1292">
            <v>39421</v>
          </cell>
          <cell r="E1292">
            <v>16.77</v>
          </cell>
          <cell r="G1292">
            <v>39421</v>
          </cell>
          <cell r="H1292">
            <v>15.91</v>
          </cell>
          <cell r="J1292">
            <v>39419</v>
          </cell>
          <cell r="K1292">
            <v>12.8</v>
          </cell>
          <cell r="M1292">
            <v>39384</v>
          </cell>
          <cell r="N1292">
            <v>7.81</v>
          </cell>
          <cell r="P1292">
            <v>39421</v>
          </cell>
          <cell r="Q1292">
            <v>100.96</v>
          </cell>
        </row>
        <row r="1293">
          <cell r="D1293">
            <v>39420</v>
          </cell>
          <cell r="E1293">
            <v>15.51</v>
          </cell>
          <cell r="G1293">
            <v>39420</v>
          </cell>
          <cell r="H1293">
            <v>15.51</v>
          </cell>
          <cell r="J1293">
            <v>39416</v>
          </cell>
          <cell r="K1293">
            <v>13.14</v>
          </cell>
          <cell r="M1293">
            <v>39381</v>
          </cell>
          <cell r="N1293">
            <v>7.84</v>
          </cell>
          <cell r="P1293">
            <v>39420</v>
          </cell>
          <cell r="Q1293">
            <v>101.5</v>
          </cell>
        </row>
        <row r="1294">
          <cell r="D1294">
            <v>39419</v>
          </cell>
          <cell r="E1294">
            <v>15.75</v>
          </cell>
          <cell r="G1294">
            <v>39419</v>
          </cell>
          <cell r="H1294">
            <v>15.32</v>
          </cell>
          <cell r="J1294">
            <v>39415</v>
          </cell>
          <cell r="K1294">
            <v>13.05</v>
          </cell>
          <cell r="M1294">
            <v>39380</v>
          </cell>
          <cell r="N1294">
            <v>7.95</v>
          </cell>
          <cell r="P1294">
            <v>39419</v>
          </cell>
          <cell r="Q1294">
            <v>104.75</v>
          </cell>
        </row>
        <row r="1295">
          <cell r="D1295">
            <v>39416</v>
          </cell>
          <cell r="E1295">
            <v>16.09</v>
          </cell>
          <cell r="G1295">
            <v>39416</v>
          </cell>
          <cell r="H1295">
            <v>15.54</v>
          </cell>
          <cell r="J1295">
            <v>39414</v>
          </cell>
          <cell r="K1295">
            <v>12.61</v>
          </cell>
          <cell r="M1295">
            <v>39379</v>
          </cell>
          <cell r="N1295">
            <v>8</v>
          </cell>
          <cell r="P1295">
            <v>39416</v>
          </cell>
          <cell r="Q1295">
            <v>113.82</v>
          </cell>
        </row>
        <row r="1296">
          <cell r="D1296">
            <v>39415</v>
          </cell>
          <cell r="E1296">
            <v>16.16</v>
          </cell>
          <cell r="G1296">
            <v>39415</v>
          </cell>
          <cell r="H1296">
            <v>15.89</v>
          </cell>
          <cell r="J1296">
            <v>39413</v>
          </cell>
          <cell r="K1296">
            <v>13.03</v>
          </cell>
          <cell r="M1296">
            <v>39378</v>
          </cell>
          <cell r="N1296">
            <v>7.97</v>
          </cell>
          <cell r="P1296">
            <v>39415</v>
          </cell>
          <cell r="Q1296">
            <v>122.08</v>
          </cell>
        </row>
        <row r="1297">
          <cell r="D1297">
            <v>39414</v>
          </cell>
          <cell r="E1297">
            <v>16.71</v>
          </cell>
          <cell r="G1297">
            <v>39414</v>
          </cell>
          <cell r="H1297">
            <v>16.11</v>
          </cell>
          <cell r="J1297">
            <v>39412</v>
          </cell>
          <cell r="K1297">
            <v>12.12</v>
          </cell>
          <cell r="M1297">
            <v>39377</v>
          </cell>
          <cell r="N1297">
            <v>7.81</v>
          </cell>
          <cell r="P1297">
            <v>39414</v>
          </cell>
          <cell r="Q1297">
            <v>121.35</v>
          </cell>
        </row>
        <row r="1298">
          <cell r="D1298">
            <v>39413</v>
          </cell>
          <cell r="E1298">
            <v>16.3</v>
          </cell>
          <cell r="G1298">
            <v>39413</v>
          </cell>
          <cell r="H1298">
            <v>15.48</v>
          </cell>
          <cell r="J1298">
            <v>39409</v>
          </cell>
          <cell r="K1298">
            <v>12.8</v>
          </cell>
          <cell r="M1298">
            <v>39374</v>
          </cell>
          <cell r="N1298">
            <v>7.99</v>
          </cell>
          <cell r="P1298">
            <v>39413</v>
          </cell>
          <cell r="Q1298">
            <v>115.68</v>
          </cell>
        </row>
        <row r="1299">
          <cell r="D1299">
            <v>39412</v>
          </cell>
          <cell r="E1299">
            <v>15.66</v>
          </cell>
          <cell r="G1299">
            <v>39412</v>
          </cell>
          <cell r="H1299">
            <v>15.16</v>
          </cell>
          <cell r="J1299">
            <v>39407</v>
          </cell>
          <cell r="K1299">
            <v>12.39</v>
          </cell>
          <cell r="M1299">
            <v>39373</v>
          </cell>
          <cell r="N1299">
            <v>8.1</v>
          </cell>
          <cell r="P1299">
            <v>39412</v>
          </cell>
          <cell r="Q1299">
            <v>111.54</v>
          </cell>
        </row>
        <row r="1300">
          <cell r="D1300">
            <v>39409</v>
          </cell>
          <cell r="E1300">
            <v>16</v>
          </cell>
          <cell r="G1300">
            <v>39409</v>
          </cell>
          <cell r="H1300">
            <v>15.54</v>
          </cell>
          <cell r="J1300">
            <v>39406</v>
          </cell>
          <cell r="K1300">
            <v>13.52</v>
          </cell>
          <cell r="M1300">
            <v>39372</v>
          </cell>
          <cell r="N1300">
            <v>8.0299999999999994</v>
          </cell>
          <cell r="P1300">
            <v>39409</v>
          </cell>
          <cell r="Q1300">
            <v>113.85</v>
          </cell>
        </row>
        <row r="1301">
          <cell r="D1301">
            <v>39407</v>
          </cell>
          <cell r="E1301">
            <v>16.2</v>
          </cell>
          <cell r="G1301">
            <v>39407</v>
          </cell>
          <cell r="H1301">
            <v>15.7</v>
          </cell>
          <cell r="J1301">
            <v>39405</v>
          </cell>
          <cell r="K1301">
            <v>13.16</v>
          </cell>
          <cell r="M1301">
            <v>39371</v>
          </cell>
          <cell r="N1301">
            <v>7.835</v>
          </cell>
          <cell r="P1301">
            <v>39407</v>
          </cell>
          <cell r="Q1301">
            <v>111.02</v>
          </cell>
        </row>
        <row r="1302">
          <cell r="D1302">
            <v>39406</v>
          </cell>
          <cell r="E1302">
            <v>16.809999999999999</v>
          </cell>
          <cell r="G1302">
            <v>39406</v>
          </cell>
          <cell r="H1302">
            <v>16.440000000000001</v>
          </cell>
          <cell r="J1302">
            <v>39402</v>
          </cell>
          <cell r="K1302">
            <v>13.84</v>
          </cell>
          <cell r="M1302">
            <v>39370</v>
          </cell>
          <cell r="N1302">
            <v>8.0299999999999994</v>
          </cell>
          <cell r="P1302">
            <v>39406</v>
          </cell>
          <cell r="Q1302">
            <v>110</v>
          </cell>
        </row>
        <row r="1303">
          <cell r="D1303">
            <v>39405</v>
          </cell>
          <cell r="E1303">
            <v>17.61</v>
          </cell>
          <cell r="G1303">
            <v>39405</v>
          </cell>
          <cell r="H1303">
            <v>16.84</v>
          </cell>
          <cell r="J1303">
            <v>39401</v>
          </cell>
          <cell r="K1303">
            <v>14.05</v>
          </cell>
          <cell r="M1303">
            <v>39367</v>
          </cell>
          <cell r="N1303">
            <v>8.23</v>
          </cell>
          <cell r="P1303">
            <v>39405</v>
          </cell>
          <cell r="Q1303">
            <v>108.21</v>
          </cell>
        </row>
        <row r="1304">
          <cell r="D1304">
            <v>39402</v>
          </cell>
          <cell r="E1304">
            <v>18.52</v>
          </cell>
          <cell r="G1304">
            <v>39402</v>
          </cell>
          <cell r="H1304">
            <v>16.850000000000001</v>
          </cell>
          <cell r="J1304">
            <v>39400</v>
          </cell>
          <cell r="K1304">
            <v>13.62</v>
          </cell>
          <cell r="M1304">
            <v>39366</v>
          </cell>
          <cell r="N1304">
            <v>8.34</v>
          </cell>
          <cell r="P1304">
            <v>39402</v>
          </cell>
          <cell r="Q1304">
            <v>107.57</v>
          </cell>
        </row>
        <row r="1305">
          <cell r="D1305">
            <v>39401</v>
          </cell>
          <cell r="E1305">
            <v>18.53</v>
          </cell>
          <cell r="G1305">
            <v>39401</v>
          </cell>
          <cell r="H1305">
            <v>16.510000000000002</v>
          </cell>
          <cell r="J1305">
            <v>39399</v>
          </cell>
          <cell r="K1305">
            <v>13.79</v>
          </cell>
          <cell r="M1305">
            <v>39365</v>
          </cell>
          <cell r="N1305">
            <v>8.31</v>
          </cell>
          <cell r="P1305">
            <v>39401</v>
          </cell>
          <cell r="Q1305">
            <v>103.01</v>
          </cell>
        </row>
        <row r="1306">
          <cell r="D1306">
            <v>39400</v>
          </cell>
          <cell r="E1306">
            <v>20.420000000000002</v>
          </cell>
          <cell r="G1306">
            <v>39400</v>
          </cell>
          <cell r="H1306">
            <v>18.760000000000002</v>
          </cell>
          <cell r="J1306">
            <v>39398</v>
          </cell>
          <cell r="K1306">
            <v>13.13</v>
          </cell>
          <cell r="M1306">
            <v>39364</v>
          </cell>
          <cell r="N1306">
            <v>8.4499999999999993</v>
          </cell>
          <cell r="P1306">
            <v>39400</v>
          </cell>
          <cell r="Q1306">
            <v>109.95</v>
          </cell>
        </row>
        <row r="1307">
          <cell r="D1307">
            <v>39399</v>
          </cell>
          <cell r="E1307">
            <v>20.99</v>
          </cell>
          <cell r="G1307">
            <v>39399</v>
          </cell>
          <cell r="H1307">
            <v>20.29</v>
          </cell>
          <cell r="J1307">
            <v>39395</v>
          </cell>
          <cell r="K1307">
            <v>13.49</v>
          </cell>
          <cell r="M1307">
            <v>39363</v>
          </cell>
          <cell r="N1307">
            <v>8.43</v>
          </cell>
          <cell r="P1307">
            <v>39399</v>
          </cell>
          <cell r="Q1307">
            <v>112.55</v>
          </cell>
        </row>
        <row r="1308">
          <cell r="D1308">
            <v>39398</v>
          </cell>
          <cell r="E1308">
            <v>19.440000000000001</v>
          </cell>
          <cell r="G1308">
            <v>39398</v>
          </cell>
          <cell r="H1308">
            <v>19.510000000000002</v>
          </cell>
          <cell r="J1308">
            <v>39394</v>
          </cell>
          <cell r="K1308">
            <v>13.06</v>
          </cell>
          <cell r="M1308">
            <v>39360</v>
          </cell>
          <cell r="N1308">
            <v>8.18</v>
          </cell>
          <cell r="P1308">
            <v>39398</v>
          </cell>
          <cell r="Q1308">
            <v>102.6</v>
          </cell>
        </row>
        <row r="1309">
          <cell r="D1309">
            <v>39395</v>
          </cell>
          <cell r="E1309">
            <v>20.010000000000002</v>
          </cell>
          <cell r="G1309">
            <v>39395</v>
          </cell>
          <cell r="H1309">
            <v>20.99</v>
          </cell>
          <cell r="J1309">
            <v>39393</v>
          </cell>
          <cell r="K1309">
            <v>13.45</v>
          </cell>
          <cell r="M1309">
            <v>39359</v>
          </cell>
          <cell r="N1309">
            <v>7.74</v>
          </cell>
          <cell r="P1309">
            <v>39395</v>
          </cell>
          <cell r="Q1309">
            <v>113.22</v>
          </cell>
        </row>
        <row r="1310">
          <cell r="D1310">
            <v>39394</v>
          </cell>
          <cell r="E1310">
            <v>20.83</v>
          </cell>
          <cell r="G1310">
            <v>39394</v>
          </cell>
          <cell r="H1310">
            <v>21.32</v>
          </cell>
          <cell r="J1310">
            <v>39392</v>
          </cell>
          <cell r="K1310">
            <v>13.25</v>
          </cell>
          <cell r="M1310">
            <v>39358</v>
          </cell>
          <cell r="N1310">
            <v>8.07</v>
          </cell>
          <cell r="P1310">
            <v>39394</v>
          </cell>
          <cell r="Q1310">
            <v>124.48</v>
          </cell>
        </row>
        <row r="1311">
          <cell r="D1311">
            <v>39393</v>
          </cell>
          <cell r="E1311">
            <v>21.5</v>
          </cell>
          <cell r="G1311">
            <v>39393</v>
          </cell>
          <cell r="H1311">
            <v>22.05</v>
          </cell>
          <cell r="J1311">
            <v>39391</v>
          </cell>
          <cell r="K1311">
            <v>14.02</v>
          </cell>
          <cell r="M1311">
            <v>39357</v>
          </cell>
          <cell r="N1311">
            <v>8.44</v>
          </cell>
          <cell r="P1311">
            <v>39393</v>
          </cell>
          <cell r="Q1311">
            <v>133.0301</v>
          </cell>
        </row>
        <row r="1312">
          <cell r="D1312">
            <v>39392</v>
          </cell>
          <cell r="E1312">
            <v>22.63</v>
          </cell>
          <cell r="G1312">
            <v>39392</v>
          </cell>
          <cell r="H1312">
            <v>21.72</v>
          </cell>
          <cell r="J1312">
            <v>39388</v>
          </cell>
          <cell r="K1312">
            <v>13.7</v>
          </cell>
          <cell r="M1312">
            <v>39356</v>
          </cell>
          <cell r="N1312">
            <v>8.66</v>
          </cell>
          <cell r="P1312">
            <v>39392</v>
          </cell>
          <cell r="Q1312">
            <v>131.04</v>
          </cell>
        </row>
        <row r="1313">
          <cell r="D1313">
            <v>39391</v>
          </cell>
          <cell r="E1313">
            <v>23.84</v>
          </cell>
          <cell r="G1313">
            <v>39391</v>
          </cell>
          <cell r="H1313">
            <v>26.42</v>
          </cell>
          <cell r="J1313">
            <v>39387</v>
          </cell>
          <cell r="K1313">
            <v>13.13</v>
          </cell>
          <cell r="M1313">
            <v>39353</v>
          </cell>
          <cell r="N1313">
            <v>8.5</v>
          </cell>
          <cell r="P1313">
            <v>39391</v>
          </cell>
          <cell r="Q1313">
            <v>127.97</v>
          </cell>
        </row>
        <row r="1314">
          <cell r="D1314">
            <v>39388</v>
          </cell>
          <cell r="E1314">
            <v>23.69</v>
          </cell>
          <cell r="G1314">
            <v>39388</v>
          </cell>
          <cell r="H1314">
            <v>25</v>
          </cell>
          <cell r="J1314">
            <v>39386</v>
          </cell>
          <cell r="K1314">
            <v>12.42</v>
          </cell>
          <cell r="M1314">
            <v>39352</v>
          </cell>
          <cell r="N1314">
            <v>8.51</v>
          </cell>
          <cell r="P1314">
            <v>39388</v>
          </cell>
          <cell r="Q1314">
            <v>126.95</v>
          </cell>
        </row>
        <row r="1315">
          <cell r="D1315">
            <v>39387</v>
          </cell>
          <cell r="E1315">
            <v>23.64</v>
          </cell>
          <cell r="G1315">
            <v>39387</v>
          </cell>
          <cell r="H1315">
            <v>24.64</v>
          </cell>
          <cell r="J1315">
            <v>39385</v>
          </cell>
          <cell r="K1315">
            <v>12.5</v>
          </cell>
          <cell r="M1315">
            <v>39351</v>
          </cell>
          <cell r="N1315">
            <v>9.33</v>
          </cell>
          <cell r="P1315">
            <v>39387</v>
          </cell>
          <cell r="Q1315">
            <v>122.08</v>
          </cell>
        </row>
        <row r="1316">
          <cell r="D1316">
            <v>39386</v>
          </cell>
          <cell r="E1316">
            <v>23.67</v>
          </cell>
          <cell r="G1316">
            <v>39386</v>
          </cell>
          <cell r="H1316">
            <v>26</v>
          </cell>
          <cell r="J1316">
            <v>39384</v>
          </cell>
          <cell r="K1316">
            <v>12.4</v>
          </cell>
          <cell r="M1316">
            <v>39350</v>
          </cell>
          <cell r="N1316">
            <v>9.43</v>
          </cell>
          <cell r="P1316">
            <v>39386</v>
          </cell>
          <cell r="Q1316">
            <v>124.51</v>
          </cell>
        </row>
        <row r="1317">
          <cell r="D1317">
            <v>39385</v>
          </cell>
          <cell r="E1317">
            <v>23.51</v>
          </cell>
          <cell r="G1317">
            <v>39385</v>
          </cell>
          <cell r="H1317">
            <v>25.49</v>
          </cell>
          <cell r="J1317">
            <v>39381</v>
          </cell>
          <cell r="K1317">
            <v>12.28</v>
          </cell>
          <cell r="M1317">
            <v>39349</v>
          </cell>
          <cell r="N1317">
            <v>9.4</v>
          </cell>
          <cell r="P1317">
            <v>39385</v>
          </cell>
          <cell r="Q1317">
            <v>121.2</v>
          </cell>
        </row>
        <row r="1318">
          <cell r="D1318">
            <v>39384</v>
          </cell>
          <cell r="E1318">
            <v>24.05</v>
          </cell>
          <cell r="G1318">
            <v>39384</v>
          </cell>
          <cell r="H1318">
            <v>25.17</v>
          </cell>
          <cell r="J1318">
            <v>39380</v>
          </cell>
          <cell r="K1318">
            <v>12.17</v>
          </cell>
          <cell r="M1318">
            <v>39346</v>
          </cell>
          <cell r="N1318">
            <v>9.16</v>
          </cell>
          <cell r="P1318">
            <v>39384</v>
          </cell>
          <cell r="Q1318">
            <v>122.06</v>
          </cell>
        </row>
        <row r="1319">
          <cell r="D1319">
            <v>39381</v>
          </cell>
          <cell r="E1319">
            <v>21.69</v>
          </cell>
          <cell r="G1319">
            <v>39381</v>
          </cell>
          <cell r="H1319">
            <v>23.95</v>
          </cell>
          <cell r="J1319">
            <v>39379</v>
          </cell>
          <cell r="K1319">
            <v>12.27</v>
          </cell>
          <cell r="M1319">
            <v>39345</v>
          </cell>
          <cell r="N1319">
            <v>9.1999999999999993</v>
          </cell>
          <cell r="P1319">
            <v>39381</v>
          </cell>
          <cell r="Q1319">
            <v>119.81</v>
          </cell>
        </row>
        <row r="1320">
          <cell r="D1320">
            <v>39380</v>
          </cell>
          <cell r="E1320">
            <v>19.07</v>
          </cell>
          <cell r="G1320">
            <v>39380</v>
          </cell>
          <cell r="H1320">
            <v>22.47</v>
          </cell>
          <cell r="J1320">
            <v>39378</v>
          </cell>
          <cell r="K1320">
            <v>12.52</v>
          </cell>
          <cell r="M1320">
            <v>39344</v>
          </cell>
          <cell r="N1320">
            <v>9.0399999999999991</v>
          </cell>
          <cell r="P1320">
            <v>39380</v>
          </cell>
          <cell r="Q1320">
            <v>118.94</v>
          </cell>
        </row>
        <row r="1321">
          <cell r="D1321">
            <v>39379</v>
          </cell>
          <cell r="E1321">
            <v>19.190000000000001</v>
          </cell>
          <cell r="G1321">
            <v>39379</v>
          </cell>
          <cell r="H1321">
            <v>22.43</v>
          </cell>
          <cell r="J1321">
            <v>39377</v>
          </cell>
          <cell r="K1321">
            <v>12.48</v>
          </cell>
          <cell r="M1321">
            <v>39343</v>
          </cell>
          <cell r="N1321">
            <v>8.85</v>
          </cell>
          <cell r="P1321">
            <v>39379</v>
          </cell>
          <cell r="Q1321">
            <v>123.9</v>
          </cell>
        </row>
        <row r="1322">
          <cell r="D1322">
            <v>39378</v>
          </cell>
          <cell r="E1322">
            <v>21.02</v>
          </cell>
          <cell r="G1322">
            <v>39378</v>
          </cell>
          <cell r="H1322">
            <v>24.53</v>
          </cell>
          <cell r="J1322">
            <v>39374</v>
          </cell>
          <cell r="K1322">
            <v>12.85</v>
          </cell>
          <cell r="M1322">
            <v>39342</v>
          </cell>
          <cell r="N1322">
            <v>9.01</v>
          </cell>
          <cell r="P1322">
            <v>39378</v>
          </cell>
          <cell r="Q1322">
            <v>124.53</v>
          </cell>
        </row>
        <row r="1323">
          <cell r="D1323">
            <v>39377</v>
          </cell>
          <cell r="E1323">
            <v>20.53</v>
          </cell>
          <cell r="G1323">
            <v>39377</v>
          </cell>
          <cell r="H1323">
            <v>24.52</v>
          </cell>
          <cell r="J1323">
            <v>39373</v>
          </cell>
          <cell r="K1323">
            <v>13</v>
          </cell>
          <cell r="M1323">
            <v>39339</v>
          </cell>
          <cell r="N1323">
            <v>8.9</v>
          </cell>
          <cell r="P1323">
            <v>39377</v>
          </cell>
          <cell r="Q1323">
            <v>113.38</v>
          </cell>
        </row>
        <row r="1324">
          <cell r="D1324">
            <v>39374</v>
          </cell>
          <cell r="E1324">
            <v>19.47</v>
          </cell>
          <cell r="G1324">
            <v>39374</v>
          </cell>
          <cell r="H1324">
            <v>23.85</v>
          </cell>
          <cell r="J1324">
            <v>39372</v>
          </cell>
          <cell r="K1324">
            <v>12.99</v>
          </cell>
          <cell r="M1324">
            <v>39338</v>
          </cell>
          <cell r="N1324">
            <v>8.9700000000000006</v>
          </cell>
          <cell r="P1324">
            <v>39374</v>
          </cell>
          <cell r="Q1324">
            <v>114.97</v>
          </cell>
        </row>
        <row r="1325">
          <cell r="D1325">
            <v>39373</v>
          </cell>
          <cell r="E1325">
            <v>20.059999999999999</v>
          </cell>
          <cell r="G1325">
            <v>39373</v>
          </cell>
          <cell r="H1325">
            <v>24.88</v>
          </cell>
          <cell r="J1325">
            <v>39371</v>
          </cell>
          <cell r="K1325">
            <v>12.98</v>
          </cell>
          <cell r="M1325">
            <v>39337</v>
          </cell>
          <cell r="N1325">
            <v>8.73</v>
          </cell>
          <cell r="P1325">
            <v>39373</v>
          </cell>
          <cell r="Q1325">
            <v>117.11</v>
          </cell>
        </row>
        <row r="1326">
          <cell r="D1326">
            <v>39372</v>
          </cell>
          <cell r="E1326">
            <v>20.03</v>
          </cell>
          <cell r="G1326">
            <v>39372</v>
          </cell>
          <cell r="H1326">
            <v>24.79</v>
          </cell>
          <cell r="J1326">
            <v>39370</v>
          </cell>
          <cell r="K1326">
            <v>13.15</v>
          </cell>
          <cell r="M1326">
            <v>39336</v>
          </cell>
          <cell r="N1326">
            <v>7.87</v>
          </cell>
          <cell r="P1326">
            <v>39372</v>
          </cell>
          <cell r="Q1326">
            <v>114.23</v>
          </cell>
        </row>
        <row r="1327">
          <cell r="D1327">
            <v>39371</v>
          </cell>
          <cell r="E1327">
            <v>18.47</v>
          </cell>
          <cell r="G1327">
            <v>39371</v>
          </cell>
          <cell r="H1327">
            <v>24.88</v>
          </cell>
          <cell r="J1327">
            <v>39367</v>
          </cell>
          <cell r="K1327">
            <v>13.07</v>
          </cell>
          <cell r="M1327">
            <v>39335</v>
          </cell>
          <cell r="N1327">
            <v>7.7</v>
          </cell>
          <cell r="P1327">
            <v>39371</v>
          </cell>
          <cell r="Q1327">
            <v>110.09</v>
          </cell>
        </row>
        <row r="1328">
          <cell r="D1328">
            <v>39370</v>
          </cell>
          <cell r="E1328">
            <v>19.62</v>
          </cell>
          <cell r="G1328">
            <v>39370</v>
          </cell>
          <cell r="H1328">
            <v>25.8</v>
          </cell>
          <cell r="J1328">
            <v>39366</v>
          </cell>
          <cell r="K1328">
            <v>13.06</v>
          </cell>
          <cell r="M1328">
            <v>39332</v>
          </cell>
          <cell r="N1328">
            <v>7.75</v>
          </cell>
          <cell r="P1328">
            <v>39370</v>
          </cell>
          <cell r="Q1328">
            <v>109.71</v>
          </cell>
        </row>
        <row r="1329">
          <cell r="D1329">
            <v>39367</v>
          </cell>
          <cell r="E1329">
            <v>20.7</v>
          </cell>
          <cell r="G1329">
            <v>39367</v>
          </cell>
          <cell r="H1329">
            <v>26.42</v>
          </cell>
          <cell r="J1329">
            <v>39365</v>
          </cell>
          <cell r="K1329">
            <v>13.11</v>
          </cell>
          <cell r="M1329">
            <v>39331</v>
          </cell>
          <cell r="N1329">
            <v>7.98</v>
          </cell>
          <cell r="P1329">
            <v>39367</v>
          </cell>
          <cell r="Q1329">
            <v>113.9075</v>
          </cell>
        </row>
        <row r="1330">
          <cell r="D1330">
            <v>39366</v>
          </cell>
          <cell r="E1330">
            <v>20.37</v>
          </cell>
          <cell r="G1330">
            <v>39366</v>
          </cell>
          <cell r="H1330">
            <v>26.13</v>
          </cell>
          <cell r="J1330">
            <v>39364</v>
          </cell>
          <cell r="K1330">
            <v>13.15</v>
          </cell>
          <cell r="M1330">
            <v>39330</v>
          </cell>
          <cell r="N1330">
            <v>7.97</v>
          </cell>
          <cell r="P1330">
            <v>39366</v>
          </cell>
          <cell r="Q1330">
            <v>111</v>
          </cell>
        </row>
        <row r="1331">
          <cell r="D1331">
            <v>39365</v>
          </cell>
          <cell r="E1331">
            <v>20.86</v>
          </cell>
          <cell r="G1331">
            <v>39365</v>
          </cell>
          <cell r="H1331">
            <v>26.15</v>
          </cell>
          <cell r="J1331">
            <v>39363</v>
          </cell>
          <cell r="K1331">
            <v>13.5924</v>
          </cell>
          <cell r="M1331">
            <v>39329</v>
          </cell>
          <cell r="N1331">
            <v>8</v>
          </cell>
          <cell r="P1331">
            <v>39365</v>
          </cell>
          <cell r="Q1331">
            <v>116.88</v>
          </cell>
        </row>
        <row r="1332">
          <cell r="D1332">
            <v>39364</v>
          </cell>
          <cell r="E1332">
            <v>20.81</v>
          </cell>
          <cell r="G1332">
            <v>39364</v>
          </cell>
          <cell r="H1332">
            <v>26.72</v>
          </cell>
          <cell r="J1332">
            <v>39360</v>
          </cell>
          <cell r="K1332">
            <v>13.29</v>
          </cell>
          <cell r="M1332">
            <v>39325</v>
          </cell>
          <cell r="N1332">
            <v>8.15</v>
          </cell>
          <cell r="P1332">
            <v>39364</v>
          </cell>
          <cell r="Q1332">
            <v>115.52</v>
          </cell>
        </row>
        <row r="1333">
          <cell r="D1333">
            <v>39363</v>
          </cell>
          <cell r="E1333">
            <v>21.03</v>
          </cell>
          <cell r="G1333">
            <v>39363</v>
          </cell>
          <cell r="H1333">
            <v>26.69</v>
          </cell>
          <cell r="J1333">
            <v>39359</v>
          </cell>
          <cell r="K1333">
            <v>12.83</v>
          </cell>
          <cell r="M1333">
            <v>39324</v>
          </cell>
          <cell r="N1333">
            <v>8.2100000000000009</v>
          </cell>
          <cell r="P1333">
            <v>39363</v>
          </cell>
          <cell r="Q1333">
            <v>117.65009999999999</v>
          </cell>
        </row>
        <row r="1334">
          <cell r="D1334">
            <v>39360</v>
          </cell>
          <cell r="E1334">
            <v>21.36</v>
          </cell>
          <cell r="G1334">
            <v>39360</v>
          </cell>
          <cell r="H1334">
            <v>25.85</v>
          </cell>
          <cell r="J1334">
            <v>39358</v>
          </cell>
          <cell r="K1334">
            <v>12.47</v>
          </cell>
          <cell r="M1334">
            <v>39323</v>
          </cell>
          <cell r="N1334">
            <v>8.26</v>
          </cell>
          <cell r="P1334">
            <v>39360</v>
          </cell>
          <cell r="Q1334">
            <v>113.37</v>
          </cell>
        </row>
        <row r="1335">
          <cell r="D1335">
            <v>39359</v>
          </cell>
          <cell r="E1335">
            <v>21.27</v>
          </cell>
          <cell r="G1335">
            <v>39359</v>
          </cell>
          <cell r="H1335">
            <v>25.08</v>
          </cell>
          <cell r="J1335">
            <v>39357</v>
          </cell>
          <cell r="K1335">
            <v>12</v>
          </cell>
          <cell r="M1335">
            <v>39322</v>
          </cell>
          <cell r="N1335">
            <v>8.42</v>
          </cell>
          <cell r="P1335">
            <v>39359</v>
          </cell>
          <cell r="Q1335">
            <v>100.54</v>
          </cell>
        </row>
        <row r="1336">
          <cell r="D1336">
            <v>39358</v>
          </cell>
          <cell r="E1336">
            <v>21.55</v>
          </cell>
          <cell r="G1336">
            <v>39358</v>
          </cell>
          <cell r="H1336">
            <v>24.91</v>
          </cell>
          <cell r="J1336">
            <v>39356</v>
          </cell>
          <cell r="K1336">
            <v>12.24</v>
          </cell>
          <cell r="M1336">
            <v>39321</v>
          </cell>
          <cell r="N1336">
            <v>8.67</v>
          </cell>
          <cell r="P1336">
            <v>39358</v>
          </cell>
          <cell r="Q1336">
            <v>96.28</v>
          </cell>
        </row>
        <row r="1337">
          <cell r="D1337">
            <v>39357</v>
          </cell>
          <cell r="E1337">
            <v>21.34</v>
          </cell>
          <cell r="G1337">
            <v>39357</v>
          </cell>
          <cell r="H1337">
            <v>23.5</v>
          </cell>
          <cell r="J1337">
            <v>39353</v>
          </cell>
          <cell r="K1337">
            <v>12.24</v>
          </cell>
          <cell r="M1337">
            <v>39318</v>
          </cell>
          <cell r="N1337">
            <v>8.6280000000000001</v>
          </cell>
          <cell r="P1337">
            <v>39357</v>
          </cell>
          <cell r="Q1337">
            <v>96.26</v>
          </cell>
        </row>
        <row r="1338">
          <cell r="D1338">
            <v>39356</v>
          </cell>
          <cell r="E1338">
            <v>20.39</v>
          </cell>
          <cell r="G1338">
            <v>39356</v>
          </cell>
          <cell r="H1338">
            <v>23.41</v>
          </cell>
          <cell r="J1338">
            <v>39352</v>
          </cell>
          <cell r="K1338">
            <v>12.23</v>
          </cell>
          <cell r="M1338">
            <v>39317</v>
          </cell>
          <cell r="N1338">
            <v>8.74</v>
          </cell>
          <cell r="P1338">
            <v>39356</v>
          </cell>
          <cell r="Q1338">
            <v>98.661000000000001</v>
          </cell>
        </row>
        <row r="1339">
          <cell r="D1339">
            <v>39353</v>
          </cell>
          <cell r="E1339">
            <v>21.08</v>
          </cell>
          <cell r="G1339">
            <v>39353</v>
          </cell>
          <cell r="H1339">
            <v>22.65</v>
          </cell>
          <cell r="J1339">
            <v>39351</v>
          </cell>
          <cell r="K1339">
            <v>12.25</v>
          </cell>
          <cell r="M1339">
            <v>39316</v>
          </cell>
          <cell r="N1339">
            <v>8.61</v>
          </cell>
          <cell r="P1339">
            <v>39353</v>
          </cell>
          <cell r="Q1339">
            <v>98.55</v>
          </cell>
        </row>
        <row r="1340">
          <cell r="D1340">
            <v>39352</v>
          </cell>
          <cell r="E1340">
            <v>21.69</v>
          </cell>
          <cell r="G1340">
            <v>39352</v>
          </cell>
          <cell r="H1340">
            <v>23.48</v>
          </cell>
          <cell r="J1340">
            <v>39350</v>
          </cell>
          <cell r="K1340">
            <v>12.33</v>
          </cell>
          <cell r="M1340">
            <v>39315</v>
          </cell>
          <cell r="N1340">
            <v>8.33</v>
          </cell>
          <cell r="P1340">
            <v>39352</v>
          </cell>
          <cell r="Q1340">
            <v>99.86</v>
          </cell>
        </row>
        <row r="1341">
          <cell r="D1341">
            <v>39351</v>
          </cell>
          <cell r="E1341">
            <v>22.32</v>
          </cell>
          <cell r="G1341">
            <v>39351</v>
          </cell>
          <cell r="H1341">
            <v>24.3</v>
          </cell>
          <cell r="J1341">
            <v>39349</v>
          </cell>
          <cell r="K1341">
            <v>12.24</v>
          </cell>
          <cell r="M1341">
            <v>39314</v>
          </cell>
          <cell r="N1341">
            <v>8.7799999999999994</v>
          </cell>
          <cell r="P1341">
            <v>39351</v>
          </cell>
          <cell r="Q1341">
            <v>99</v>
          </cell>
        </row>
        <row r="1342">
          <cell r="D1342">
            <v>39350</v>
          </cell>
          <cell r="E1342">
            <v>22.01</v>
          </cell>
          <cell r="G1342">
            <v>39350</v>
          </cell>
          <cell r="H1342">
            <v>23.74</v>
          </cell>
          <cell r="J1342">
            <v>39346</v>
          </cell>
          <cell r="K1342">
            <v>12.13</v>
          </cell>
          <cell r="M1342">
            <v>39311</v>
          </cell>
          <cell r="N1342">
            <v>7.99</v>
          </cell>
          <cell r="P1342">
            <v>39350</v>
          </cell>
          <cell r="Q1342">
            <v>96.819900000000004</v>
          </cell>
        </row>
        <row r="1343">
          <cell r="D1343">
            <v>39349</v>
          </cell>
          <cell r="E1343">
            <v>22.13</v>
          </cell>
          <cell r="G1343">
            <v>39349</v>
          </cell>
          <cell r="H1343">
            <v>22.98</v>
          </cell>
          <cell r="J1343">
            <v>39345</v>
          </cell>
          <cell r="K1343">
            <v>11.78</v>
          </cell>
          <cell r="M1343">
            <v>39310</v>
          </cell>
          <cell r="N1343">
            <v>8.1</v>
          </cell>
          <cell r="P1343">
            <v>39349</v>
          </cell>
          <cell r="Q1343">
            <v>94.5</v>
          </cell>
        </row>
        <row r="1344">
          <cell r="D1344">
            <v>39346</v>
          </cell>
          <cell r="E1344">
            <v>22.530100000000001</v>
          </cell>
          <cell r="G1344">
            <v>39346</v>
          </cell>
          <cell r="H1344">
            <v>23.31</v>
          </cell>
          <cell r="J1344">
            <v>39344</v>
          </cell>
          <cell r="K1344">
            <v>12.1</v>
          </cell>
          <cell r="M1344">
            <v>39309</v>
          </cell>
          <cell r="N1344">
            <v>8.14</v>
          </cell>
          <cell r="P1344">
            <v>39346</v>
          </cell>
          <cell r="Q1344">
            <v>93.179900000000004</v>
          </cell>
        </row>
        <row r="1345">
          <cell r="D1345">
            <v>39345</v>
          </cell>
          <cell r="E1345">
            <v>22.65</v>
          </cell>
          <cell r="G1345">
            <v>39345</v>
          </cell>
          <cell r="H1345">
            <v>23.52</v>
          </cell>
          <cell r="J1345">
            <v>39343</v>
          </cell>
          <cell r="K1345">
            <v>12.14</v>
          </cell>
          <cell r="M1345">
            <v>39308</v>
          </cell>
          <cell r="N1345">
            <v>8.0399999999999991</v>
          </cell>
          <cell r="P1345">
            <v>39345</v>
          </cell>
          <cell r="Q1345">
            <v>90.23</v>
          </cell>
        </row>
        <row r="1346">
          <cell r="D1346">
            <v>39344</v>
          </cell>
          <cell r="E1346">
            <v>23.71</v>
          </cell>
          <cell r="G1346">
            <v>39344</v>
          </cell>
          <cell r="H1346">
            <v>24.24</v>
          </cell>
          <cell r="J1346">
            <v>39342</v>
          </cell>
          <cell r="K1346">
            <v>12.2</v>
          </cell>
          <cell r="M1346">
            <v>39307</v>
          </cell>
          <cell r="N1346">
            <v>8.84</v>
          </cell>
          <cell r="P1346">
            <v>39344</v>
          </cell>
          <cell r="Q1346">
            <v>91.8</v>
          </cell>
        </row>
        <row r="1347">
          <cell r="D1347">
            <v>39343</v>
          </cell>
          <cell r="E1347">
            <v>23.33</v>
          </cell>
          <cell r="G1347">
            <v>39343</v>
          </cell>
          <cell r="H1347">
            <v>24.79</v>
          </cell>
          <cell r="J1347">
            <v>39339</v>
          </cell>
          <cell r="K1347">
            <v>12.06</v>
          </cell>
          <cell r="M1347">
            <v>39304</v>
          </cell>
          <cell r="N1347">
            <v>8.06</v>
          </cell>
          <cell r="P1347">
            <v>39343</v>
          </cell>
          <cell r="Q1347">
            <v>90.35</v>
          </cell>
        </row>
        <row r="1348">
          <cell r="D1348">
            <v>39342</v>
          </cell>
          <cell r="E1348">
            <v>22.66</v>
          </cell>
          <cell r="G1348">
            <v>39342</v>
          </cell>
          <cell r="H1348">
            <v>22.96</v>
          </cell>
          <cell r="J1348">
            <v>39338</v>
          </cell>
          <cell r="K1348">
            <v>11.8</v>
          </cell>
          <cell r="M1348">
            <v>39303</v>
          </cell>
          <cell r="N1348">
            <v>8.02</v>
          </cell>
          <cell r="P1348">
            <v>39342</v>
          </cell>
          <cell r="Q1348">
            <v>86.27</v>
          </cell>
        </row>
        <row r="1349">
          <cell r="D1349">
            <v>39339</v>
          </cell>
          <cell r="E1349">
            <v>22.93</v>
          </cell>
          <cell r="G1349">
            <v>39339</v>
          </cell>
          <cell r="H1349">
            <v>23.23</v>
          </cell>
          <cell r="J1349">
            <v>39337</v>
          </cell>
          <cell r="K1349">
            <v>11.69</v>
          </cell>
          <cell r="M1349">
            <v>39302</v>
          </cell>
          <cell r="N1349">
            <v>8.1999999999999993</v>
          </cell>
          <cell r="P1349">
            <v>39339</v>
          </cell>
          <cell r="Q1349">
            <v>87.26</v>
          </cell>
        </row>
        <row r="1350">
          <cell r="D1350">
            <v>39338</v>
          </cell>
          <cell r="E1350">
            <v>23.19</v>
          </cell>
          <cell r="G1350">
            <v>39338</v>
          </cell>
          <cell r="H1350">
            <v>23.66</v>
          </cell>
          <cell r="J1350">
            <v>39336</v>
          </cell>
          <cell r="K1350">
            <v>11.63</v>
          </cell>
          <cell r="M1350">
            <v>39301</v>
          </cell>
          <cell r="N1350">
            <v>8.0500000000000007</v>
          </cell>
          <cell r="P1350">
            <v>39338</v>
          </cell>
          <cell r="Q1350">
            <v>85.74</v>
          </cell>
        </row>
        <row r="1351">
          <cell r="D1351">
            <v>39337</v>
          </cell>
          <cell r="E1351">
            <v>23.02</v>
          </cell>
          <cell r="G1351">
            <v>39337</v>
          </cell>
          <cell r="H1351">
            <v>24.36</v>
          </cell>
          <cell r="J1351">
            <v>39335</v>
          </cell>
          <cell r="K1351">
            <v>11.53</v>
          </cell>
          <cell r="M1351">
            <v>39300</v>
          </cell>
          <cell r="N1351">
            <v>8.61</v>
          </cell>
          <cell r="P1351">
            <v>39337</v>
          </cell>
          <cell r="Q1351">
            <v>85.45</v>
          </cell>
        </row>
        <row r="1352">
          <cell r="D1352">
            <v>39336</v>
          </cell>
          <cell r="E1352">
            <v>23.09</v>
          </cell>
          <cell r="G1352">
            <v>39336</v>
          </cell>
          <cell r="H1352">
            <v>24.15</v>
          </cell>
          <cell r="J1352">
            <v>39332</v>
          </cell>
          <cell r="K1352">
            <v>11.79</v>
          </cell>
          <cell r="M1352">
            <v>39297</v>
          </cell>
          <cell r="N1352">
            <v>9</v>
          </cell>
          <cell r="P1352">
            <v>39336</v>
          </cell>
          <cell r="Q1352">
            <v>83.02</v>
          </cell>
        </row>
        <row r="1353">
          <cell r="D1353">
            <v>39335</v>
          </cell>
          <cell r="E1353">
            <v>22.65</v>
          </cell>
          <cell r="G1353">
            <v>39335</v>
          </cell>
          <cell r="H1353">
            <v>23.3</v>
          </cell>
          <cell r="J1353">
            <v>39331</v>
          </cell>
          <cell r="K1353">
            <v>11.86</v>
          </cell>
          <cell r="M1353">
            <v>39296</v>
          </cell>
          <cell r="N1353">
            <v>9.9499999999999993</v>
          </cell>
          <cell r="P1353">
            <v>39335</v>
          </cell>
          <cell r="Q1353">
            <v>82.27</v>
          </cell>
        </row>
        <row r="1354">
          <cell r="D1354">
            <v>39332</v>
          </cell>
          <cell r="E1354">
            <v>22.92</v>
          </cell>
          <cell r="G1354">
            <v>39332</v>
          </cell>
          <cell r="H1354">
            <v>23.51</v>
          </cell>
          <cell r="J1354">
            <v>39330</v>
          </cell>
          <cell r="K1354">
            <v>11.79</v>
          </cell>
          <cell r="M1354">
            <v>39295</v>
          </cell>
          <cell r="N1354">
            <v>10.119999999999999</v>
          </cell>
          <cell r="P1354">
            <v>39332</v>
          </cell>
          <cell r="Q1354">
            <v>80.48</v>
          </cell>
        </row>
        <row r="1355">
          <cell r="D1355">
            <v>39331</v>
          </cell>
          <cell r="E1355">
            <v>23.57</v>
          </cell>
          <cell r="G1355">
            <v>39331</v>
          </cell>
          <cell r="H1355">
            <v>24.19</v>
          </cell>
          <cell r="J1355">
            <v>39329</v>
          </cell>
          <cell r="K1355">
            <v>11.47</v>
          </cell>
          <cell r="M1355">
            <v>39294</v>
          </cell>
          <cell r="N1355">
            <v>11.12</v>
          </cell>
          <cell r="P1355">
            <v>39331</v>
          </cell>
          <cell r="Q1355">
            <v>83.7</v>
          </cell>
        </row>
        <row r="1356">
          <cell r="D1356">
            <v>39330</v>
          </cell>
          <cell r="E1356">
            <v>22.77</v>
          </cell>
          <cell r="G1356">
            <v>39330</v>
          </cell>
          <cell r="H1356">
            <v>23.9</v>
          </cell>
          <cell r="J1356">
            <v>39325</v>
          </cell>
          <cell r="K1356">
            <v>11.71</v>
          </cell>
          <cell r="M1356">
            <v>39293</v>
          </cell>
          <cell r="N1356">
            <v>11.35</v>
          </cell>
          <cell r="P1356">
            <v>39330</v>
          </cell>
          <cell r="Q1356">
            <v>83.26</v>
          </cell>
        </row>
        <row r="1357">
          <cell r="D1357">
            <v>39329</v>
          </cell>
          <cell r="E1357">
            <v>22.84</v>
          </cell>
          <cell r="G1357">
            <v>39329</v>
          </cell>
          <cell r="H1357">
            <v>22.58</v>
          </cell>
          <cell r="J1357">
            <v>39324</v>
          </cell>
          <cell r="K1357">
            <v>11.72</v>
          </cell>
          <cell r="M1357">
            <v>39290</v>
          </cell>
          <cell r="N1357">
            <v>11.25</v>
          </cell>
          <cell r="P1357">
            <v>39329</v>
          </cell>
          <cell r="Q1357">
            <v>85.34</v>
          </cell>
        </row>
        <row r="1358">
          <cell r="D1358">
            <v>39325</v>
          </cell>
          <cell r="E1358">
            <v>22.87</v>
          </cell>
          <cell r="G1358">
            <v>39325</v>
          </cell>
          <cell r="H1358">
            <v>22.84</v>
          </cell>
          <cell r="J1358">
            <v>39323</v>
          </cell>
          <cell r="K1358">
            <v>11.61</v>
          </cell>
          <cell r="M1358">
            <v>39289</v>
          </cell>
          <cell r="N1358">
            <v>11.58</v>
          </cell>
          <cell r="P1358">
            <v>39325</v>
          </cell>
          <cell r="Q1358">
            <v>85.41</v>
          </cell>
        </row>
        <row r="1359">
          <cell r="D1359">
            <v>39324</v>
          </cell>
          <cell r="E1359">
            <v>22.18</v>
          </cell>
          <cell r="G1359">
            <v>39324</v>
          </cell>
          <cell r="H1359">
            <v>22.78</v>
          </cell>
          <cell r="J1359">
            <v>39322</v>
          </cell>
          <cell r="K1359">
            <v>11.81</v>
          </cell>
          <cell r="M1359">
            <v>39288</v>
          </cell>
          <cell r="N1359">
            <v>11.21</v>
          </cell>
          <cell r="P1359">
            <v>39324</v>
          </cell>
          <cell r="Q1359">
            <v>82.87</v>
          </cell>
        </row>
        <row r="1360">
          <cell r="D1360">
            <v>39323</v>
          </cell>
          <cell r="E1360">
            <v>21.78</v>
          </cell>
          <cell r="G1360">
            <v>39323</v>
          </cell>
          <cell r="H1360">
            <v>23.25</v>
          </cell>
          <cell r="J1360">
            <v>39321</v>
          </cell>
          <cell r="K1360">
            <v>11.89</v>
          </cell>
          <cell r="M1360">
            <v>39287</v>
          </cell>
          <cell r="N1360">
            <v>11.22</v>
          </cell>
          <cell r="P1360">
            <v>39323</v>
          </cell>
          <cell r="Q1360">
            <v>81.819999999999993</v>
          </cell>
        </row>
        <row r="1361">
          <cell r="D1361">
            <v>39322</v>
          </cell>
          <cell r="E1361">
            <v>21.41</v>
          </cell>
          <cell r="G1361">
            <v>39322</v>
          </cell>
          <cell r="H1361">
            <v>22.44</v>
          </cell>
          <cell r="J1361">
            <v>39318</v>
          </cell>
          <cell r="K1361">
            <v>10.16</v>
          </cell>
          <cell r="M1361">
            <v>39286</v>
          </cell>
          <cell r="N1361">
            <v>11.34</v>
          </cell>
          <cell r="P1361">
            <v>39322</v>
          </cell>
          <cell r="Q1361">
            <v>77.2</v>
          </cell>
        </row>
        <row r="1362">
          <cell r="D1362">
            <v>39321</v>
          </cell>
          <cell r="E1362">
            <v>22.16</v>
          </cell>
          <cell r="G1362">
            <v>39321</v>
          </cell>
          <cell r="H1362">
            <v>23.09</v>
          </cell>
          <cell r="J1362">
            <v>39317</v>
          </cell>
          <cell r="K1362">
            <v>10.39</v>
          </cell>
          <cell r="M1362">
            <v>39283</v>
          </cell>
          <cell r="N1362">
            <v>11.49</v>
          </cell>
          <cell r="P1362">
            <v>39321</v>
          </cell>
          <cell r="Q1362">
            <v>81.11</v>
          </cell>
        </row>
        <row r="1363">
          <cell r="D1363">
            <v>39318</v>
          </cell>
          <cell r="E1363">
            <v>22.32</v>
          </cell>
          <cell r="G1363">
            <v>39318</v>
          </cell>
          <cell r="H1363">
            <v>23.478000000000002</v>
          </cell>
          <cell r="J1363">
            <v>39316</v>
          </cell>
          <cell r="K1363">
            <v>10.44</v>
          </cell>
          <cell r="M1363">
            <v>39282</v>
          </cell>
          <cell r="N1363">
            <v>11.63</v>
          </cell>
          <cell r="P1363">
            <v>39318</v>
          </cell>
          <cell r="Q1363">
            <v>81.86</v>
          </cell>
        </row>
        <row r="1364">
          <cell r="D1364">
            <v>39317</v>
          </cell>
          <cell r="E1364">
            <v>21.88</v>
          </cell>
          <cell r="G1364">
            <v>39317</v>
          </cell>
          <cell r="H1364">
            <v>23.24</v>
          </cell>
          <cell r="J1364">
            <v>39315</v>
          </cell>
          <cell r="K1364">
            <v>10</v>
          </cell>
          <cell r="M1364">
            <v>39281</v>
          </cell>
          <cell r="N1364">
            <v>11.47</v>
          </cell>
          <cell r="P1364">
            <v>39317</v>
          </cell>
          <cell r="Q1364">
            <v>80.459999999999994</v>
          </cell>
        </row>
        <row r="1365">
          <cell r="D1365">
            <v>39316</v>
          </cell>
          <cell r="E1365">
            <v>22.32</v>
          </cell>
          <cell r="G1365">
            <v>39316</v>
          </cell>
          <cell r="H1365">
            <v>22.46</v>
          </cell>
          <cell r="J1365">
            <v>39314</v>
          </cell>
          <cell r="K1365">
            <v>10</v>
          </cell>
          <cell r="M1365">
            <v>39280</v>
          </cell>
          <cell r="N1365">
            <v>11.33</v>
          </cell>
          <cell r="P1365">
            <v>39316</v>
          </cell>
          <cell r="Q1365">
            <v>81.81</v>
          </cell>
        </row>
        <row r="1366">
          <cell r="D1366">
            <v>39315</v>
          </cell>
          <cell r="E1366">
            <v>21.74</v>
          </cell>
          <cell r="G1366">
            <v>39315</v>
          </cell>
          <cell r="H1366">
            <v>20.89</v>
          </cell>
          <cell r="J1366">
            <v>39311</v>
          </cell>
          <cell r="K1366">
            <v>9.9700000000000006</v>
          </cell>
          <cell r="M1366">
            <v>39279</v>
          </cell>
          <cell r="N1366">
            <v>11.25</v>
          </cell>
          <cell r="P1366">
            <v>39315</v>
          </cell>
          <cell r="Q1366">
            <v>81.92</v>
          </cell>
        </row>
        <row r="1367">
          <cell r="D1367">
            <v>39314</v>
          </cell>
          <cell r="E1367">
            <v>21.17</v>
          </cell>
          <cell r="G1367">
            <v>39314</v>
          </cell>
          <cell r="H1367">
            <v>21.33</v>
          </cell>
          <cell r="J1367">
            <v>39310</v>
          </cell>
          <cell r="K1367">
            <v>9.82</v>
          </cell>
          <cell r="M1367">
            <v>39276</v>
          </cell>
          <cell r="N1367">
            <v>11.2</v>
          </cell>
          <cell r="P1367">
            <v>39314</v>
          </cell>
          <cell r="Q1367">
            <v>78.663330000000002</v>
          </cell>
        </row>
        <row r="1368">
          <cell r="D1368">
            <v>39311</v>
          </cell>
          <cell r="E1368">
            <v>20.91</v>
          </cell>
          <cell r="G1368">
            <v>39311</v>
          </cell>
          <cell r="H1368">
            <v>21.22</v>
          </cell>
          <cell r="J1368">
            <v>39309</v>
          </cell>
          <cell r="K1368">
            <v>9.7799999999999994</v>
          </cell>
          <cell r="M1368">
            <v>39275</v>
          </cell>
          <cell r="N1368">
            <v>10.994</v>
          </cell>
          <cell r="P1368">
            <v>39311</v>
          </cell>
          <cell r="Q1368">
            <v>73.50667</v>
          </cell>
        </row>
        <row r="1369">
          <cell r="D1369">
            <v>39310</v>
          </cell>
          <cell r="E1369">
            <v>19.09</v>
          </cell>
          <cell r="G1369">
            <v>39310</v>
          </cell>
          <cell r="H1369">
            <v>20.89</v>
          </cell>
          <cell r="J1369">
            <v>39308</v>
          </cell>
          <cell r="K1369">
            <v>9.9</v>
          </cell>
          <cell r="M1369">
            <v>39273</v>
          </cell>
          <cell r="N1369">
            <v>11.04</v>
          </cell>
          <cell r="P1369">
            <v>39310</v>
          </cell>
          <cell r="Q1369">
            <v>66.00667</v>
          </cell>
        </row>
        <row r="1370">
          <cell r="D1370">
            <v>39309</v>
          </cell>
          <cell r="E1370">
            <v>19.05</v>
          </cell>
          <cell r="G1370">
            <v>39309</v>
          </cell>
          <cell r="H1370">
            <v>21.15</v>
          </cell>
          <cell r="J1370">
            <v>39307</v>
          </cell>
          <cell r="K1370">
            <v>10.43</v>
          </cell>
          <cell r="M1370">
            <v>39272</v>
          </cell>
          <cell r="N1370">
            <v>11</v>
          </cell>
          <cell r="P1370">
            <v>39309</v>
          </cell>
          <cell r="Q1370">
            <v>65.916669999999996</v>
          </cell>
        </row>
        <row r="1371">
          <cell r="D1371">
            <v>39308</v>
          </cell>
          <cell r="E1371">
            <v>20</v>
          </cell>
          <cell r="G1371">
            <v>39308</v>
          </cell>
          <cell r="H1371">
            <v>21.59</v>
          </cell>
          <cell r="J1371">
            <v>39304</v>
          </cell>
          <cell r="K1371">
            <v>10.88</v>
          </cell>
          <cell r="M1371">
            <v>39269</v>
          </cell>
          <cell r="N1371">
            <v>11.11</v>
          </cell>
          <cell r="P1371">
            <v>39308</v>
          </cell>
          <cell r="Q1371">
            <v>68.666669999999996</v>
          </cell>
        </row>
        <row r="1372">
          <cell r="D1372">
            <v>39307</v>
          </cell>
          <cell r="E1372">
            <v>20.9</v>
          </cell>
          <cell r="G1372">
            <v>39307</v>
          </cell>
          <cell r="H1372">
            <v>22.26</v>
          </cell>
          <cell r="J1372">
            <v>39303</v>
          </cell>
          <cell r="K1372">
            <v>12.03</v>
          </cell>
          <cell r="M1372">
            <v>39268</v>
          </cell>
          <cell r="N1372">
            <v>11</v>
          </cell>
          <cell r="P1372">
            <v>39307</v>
          </cell>
          <cell r="Q1372">
            <v>70.60333</v>
          </cell>
        </row>
        <row r="1373">
          <cell r="D1373">
            <v>39304</v>
          </cell>
          <cell r="E1373">
            <v>20.440000000000001</v>
          </cell>
          <cell r="G1373">
            <v>39304</v>
          </cell>
          <cell r="H1373">
            <v>22.37</v>
          </cell>
          <cell r="J1373">
            <v>39302</v>
          </cell>
          <cell r="K1373">
            <v>11.63</v>
          </cell>
          <cell r="M1373">
            <v>39266</v>
          </cell>
          <cell r="N1373">
            <v>11</v>
          </cell>
          <cell r="P1373">
            <v>39304</v>
          </cell>
          <cell r="Q1373">
            <v>69</v>
          </cell>
        </row>
        <row r="1374">
          <cell r="D1374">
            <v>39303</v>
          </cell>
          <cell r="E1374">
            <v>20.420000000000002</v>
          </cell>
          <cell r="G1374">
            <v>39303</v>
          </cell>
          <cell r="H1374">
            <v>21.08</v>
          </cell>
          <cell r="J1374">
            <v>39301</v>
          </cell>
          <cell r="K1374">
            <v>9.6999999999999993</v>
          </cell>
          <cell r="M1374">
            <v>39265</v>
          </cell>
          <cell r="N1374">
            <v>11.23</v>
          </cell>
          <cell r="P1374">
            <v>39303</v>
          </cell>
          <cell r="Q1374">
            <v>72</v>
          </cell>
        </row>
        <row r="1375">
          <cell r="D1375">
            <v>39302</v>
          </cell>
          <cell r="E1375">
            <v>21.22</v>
          </cell>
          <cell r="G1375">
            <v>39302</v>
          </cell>
          <cell r="H1375">
            <v>22.06</v>
          </cell>
          <cell r="J1375">
            <v>39300</v>
          </cell>
          <cell r="K1375">
            <v>9.4499999999999993</v>
          </cell>
          <cell r="M1375">
            <v>39262</v>
          </cell>
          <cell r="N1375">
            <v>11.42</v>
          </cell>
          <cell r="P1375">
            <v>39302</v>
          </cell>
          <cell r="Q1375">
            <v>75.336669999999998</v>
          </cell>
        </row>
        <row r="1376">
          <cell r="D1376">
            <v>39301</v>
          </cell>
          <cell r="E1376">
            <v>21.809899999999999</v>
          </cell>
          <cell r="G1376">
            <v>39301</v>
          </cell>
          <cell r="H1376">
            <v>22.69</v>
          </cell>
          <cell r="J1376">
            <v>39297</v>
          </cell>
          <cell r="K1376">
            <v>10.050000000000001</v>
          </cell>
          <cell r="M1376">
            <v>39261</v>
          </cell>
          <cell r="N1376">
            <v>10.99</v>
          </cell>
          <cell r="P1376">
            <v>39301</v>
          </cell>
          <cell r="Q1376">
            <v>74.073329999999999</v>
          </cell>
        </row>
        <row r="1377">
          <cell r="D1377">
            <v>39300</v>
          </cell>
          <cell r="E1377">
            <v>20.239999999999998</v>
          </cell>
          <cell r="G1377">
            <v>39300</v>
          </cell>
          <cell r="H1377">
            <v>21.36</v>
          </cell>
          <cell r="J1377">
            <v>39296</v>
          </cell>
          <cell r="K1377">
            <v>10.210000000000001</v>
          </cell>
          <cell r="M1377">
            <v>39260</v>
          </cell>
          <cell r="N1377">
            <v>11.03</v>
          </cell>
          <cell r="P1377">
            <v>39300</v>
          </cell>
          <cell r="Q1377">
            <v>72.77</v>
          </cell>
        </row>
        <row r="1378">
          <cell r="D1378">
            <v>39297</v>
          </cell>
          <cell r="E1378">
            <v>21.040099999999999</v>
          </cell>
          <cell r="G1378">
            <v>39297</v>
          </cell>
          <cell r="H1378">
            <v>21.65</v>
          </cell>
          <cell r="J1378">
            <v>39295</v>
          </cell>
          <cell r="K1378">
            <v>10.25</v>
          </cell>
          <cell r="M1378">
            <v>39259</v>
          </cell>
          <cell r="N1378">
            <v>11.05</v>
          </cell>
          <cell r="P1378">
            <v>39297</v>
          </cell>
          <cell r="Q1378">
            <v>72.833330000000004</v>
          </cell>
        </row>
        <row r="1379">
          <cell r="D1379">
            <v>39296</v>
          </cell>
          <cell r="E1379">
            <v>21.9</v>
          </cell>
          <cell r="G1379">
            <v>39296</v>
          </cell>
          <cell r="H1379">
            <v>22.06</v>
          </cell>
          <cell r="J1379">
            <v>39294</v>
          </cell>
          <cell r="K1379">
            <v>10.54</v>
          </cell>
          <cell r="M1379">
            <v>39258</v>
          </cell>
          <cell r="N1379">
            <v>11</v>
          </cell>
          <cell r="P1379">
            <v>39296</v>
          </cell>
          <cell r="Q1379">
            <v>74.69</v>
          </cell>
        </row>
        <row r="1380">
          <cell r="D1380">
            <v>39295</v>
          </cell>
          <cell r="E1380">
            <v>20.49</v>
          </cell>
          <cell r="G1380">
            <v>39295</v>
          </cell>
          <cell r="H1380">
            <v>20.83</v>
          </cell>
          <cell r="J1380">
            <v>39293</v>
          </cell>
          <cell r="K1380">
            <v>10.55</v>
          </cell>
          <cell r="M1380">
            <v>39255</v>
          </cell>
          <cell r="N1380">
            <v>11.63</v>
          </cell>
          <cell r="P1380">
            <v>39295</v>
          </cell>
          <cell r="Q1380">
            <v>71.803330000000003</v>
          </cell>
        </row>
        <row r="1381">
          <cell r="D1381">
            <v>39294</v>
          </cell>
          <cell r="E1381">
            <v>22.65</v>
          </cell>
          <cell r="G1381">
            <v>39294</v>
          </cell>
          <cell r="H1381">
            <v>21.53</v>
          </cell>
          <cell r="J1381">
            <v>39290</v>
          </cell>
          <cell r="K1381">
            <v>10.95</v>
          </cell>
          <cell r="M1381">
            <v>39254</v>
          </cell>
          <cell r="N1381">
            <v>11.55</v>
          </cell>
          <cell r="P1381">
            <v>39294</v>
          </cell>
          <cell r="Q1381">
            <v>71.333330000000004</v>
          </cell>
        </row>
        <row r="1382">
          <cell r="D1382">
            <v>39293</v>
          </cell>
          <cell r="E1382">
            <v>23.3</v>
          </cell>
          <cell r="G1382">
            <v>39293</v>
          </cell>
          <cell r="H1382">
            <v>23.3</v>
          </cell>
          <cell r="J1382">
            <v>39289</v>
          </cell>
          <cell r="K1382">
            <v>10.86</v>
          </cell>
          <cell r="M1382">
            <v>39253</v>
          </cell>
          <cell r="N1382">
            <v>11.5</v>
          </cell>
          <cell r="P1382">
            <v>39293</v>
          </cell>
          <cell r="Q1382">
            <v>73.37</v>
          </cell>
        </row>
        <row r="1383">
          <cell r="D1383">
            <v>39290</v>
          </cell>
          <cell r="E1383">
            <v>23.19</v>
          </cell>
          <cell r="G1383">
            <v>39290</v>
          </cell>
          <cell r="H1383">
            <v>22.919899999999998</v>
          </cell>
          <cell r="J1383">
            <v>39288</v>
          </cell>
          <cell r="K1383">
            <v>10.65</v>
          </cell>
          <cell r="M1383">
            <v>39252</v>
          </cell>
          <cell r="N1383">
            <v>11.38</v>
          </cell>
          <cell r="P1383">
            <v>39290</v>
          </cell>
          <cell r="Q1383">
            <v>71.889970000000005</v>
          </cell>
        </row>
        <row r="1384">
          <cell r="D1384">
            <v>39289</v>
          </cell>
          <cell r="E1384">
            <v>26.42</v>
          </cell>
          <cell r="G1384">
            <v>39289</v>
          </cell>
          <cell r="H1384">
            <v>25.43</v>
          </cell>
          <cell r="J1384">
            <v>39287</v>
          </cell>
          <cell r="K1384">
            <v>10.78</v>
          </cell>
          <cell r="M1384">
            <v>39251</v>
          </cell>
          <cell r="N1384">
            <v>11.02</v>
          </cell>
          <cell r="P1384">
            <v>39289</v>
          </cell>
          <cell r="Q1384">
            <v>74.546670000000006</v>
          </cell>
        </row>
        <row r="1385">
          <cell r="D1385">
            <v>39288</v>
          </cell>
          <cell r="E1385">
            <v>25.97</v>
          </cell>
          <cell r="G1385">
            <v>39288</v>
          </cell>
          <cell r="H1385">
            <v>26.65</v>
          </cell>
          <cell r="J1385">
            <v>39286</v>
          </cell>
          <cell r="K1385">
            <v>11.46</v>
          </cell>
          <cell r="M1385">
            <v>39248</v>
          </cell>
          <cell r="N1385">
            <v>11.06</v>
          </cell>
          <cell r="P1385">
            <v>39288</v>
          </cell>
          <cell r="Q1385">
            <v>75.12</v>
          </cell>
        </row>
        <row r="1386">
          <cell r="D1386">
            <v>39287</v>
          </cell>
          <cell r="E1386">
            <v>26.67</v>
          </cell>
          <cell r="G1386">
            <v>39287</v>
          </cell>
          <cell r="H1386">
            <v>26.521000000000001</v>
          </cell>
          <cell r="J1386">
            <v>39283</v>
          </cell>
          <cell r="K1386">
            <v>11.18</v>
          </cell>
          <cell r="M1386">
            <v>39247</v>
          </cell>
          <cell r="N1386">
            <v>11.1</v>
          </cell>
          <cell r="P1386">
            <v>39287</v>
          </cell>
          <cell r="Q1386">
            <v>73.666669999999996</v>
          </cell>
        </row>
        <row r="1387">
          <cell r="D1387">
            <v>39286</v>
          </cell>
          <cell r="E1387">
            <v>27.76</v>
          </cell>
          <cell r="G1387">
            <v>39286</v>
          </cell>
          <cell r="H1387">
            <v>26.99</v>
          </cell>
          <cell r="J1387">
            <v>39282</v>
          </cell>
          <cell r="K1387">
            <v>11.52</v>
          </cell>
          <cell r="M1387">
            <v>39246</v>
          </cell>
          <cell r="N1387">
            <v>11</v>
          </cell>
          <cell r="P1387">
            <v>39286</v>
          </cell>
          <cell r="Q1387">
            <v>76.576669999999993</v>
          </cell>
        </row>
        <row r="1388">
          <cell r="D1388">
            <v>39283</v>
          </cell>
          <cell r="E1388">
            <v>27.74</v>
          </cell>
          <cell r="G1388">
            <v>39283</v>
          </cell>
          <cell r="H1388">
            <v>27.05</v>
          </cell>
          <cell r="J1388">
            <v>39281</v>
          </cell>
          <cell r="K1388">
            <v>11.81</v>
          </cell>
          <cell r="M1388">
            <v>39245</v>
          </cell>
          <cell r="N1388">
            <v>11.02</v>
          </cell>
          <cell r="P1388">
            <v>39283</v>
          </cell>
          <cell r="Q1388">
            <v>76.84</v>
          </cell>
        </row>
        <row r="1389">
          <cell r="D1389">
            <v>39282</v>
          </cell>
          <cell r="E1389">
            <v>27.86</v>
          </cell>
          <cell r="G1389">
            <v>39282</v>
          </cell>
          <cell r="H1389">
            <v>28.37</v>
          </cell>
          <cell r="J1389">
            <v>39280</v>
          </cell>
          <cell r="K1389">
            <v>11.9</v>
          </cell>
          <cell r="M1389">
            <v>39244</v>
          </cell>
          <cell r="N1389">
            <v>11.1</v>
          </cell>
          <cell r="P1389">
            <v>39282</v>
          </cell>
          <cell r="Q1389">
            <v>78.116669999999999</v>
          </cell>
        </row>
        <row r="1390">
          <cell r="D1390">
            <v>39281</v>
          </cell>
          <cell r="E1390">
            <v>27.31</v>
          </cell>
          <cell r="G1390">
            <v>39281</v>
          </cell>
          <cell r="H1390">
            <v>27.88</v>
          </cell>
          <cell r="J1390">
            <v>39279</v>
          </cell>
          <cell r="K1390">
            <v>11.75</v>
          </cell>
          <cell r="M1390">
            <v>39241</v>
          </cell>
          <cell r="N1390">
            <v>11.07</v>
          </cell>
          <cell r="P1390">
            <v>39281</v>
          </cell>
          <cell r="Q1390">
            <v>76.81</v>
          </cell>
        </row>
        <row r="1391">
          <cell r="D1391">
            <v>39280</v>
          </cell>
          <cell r="E1391">
            <v>27.51</v>
          </cell>
          <cell r="G1391">
            <v>39280</v>
          </cell>
          <cell r="H1391">
            <v>28.75</v>
          </cell>
          <cell r="J1391">
            <v>39276</v>
          </cell>
          <cell r="K1391">
            <v>12.09</v>
          </cell>
          <cell r="M1391">
            <v>39240</v>
          </cell>
          <cell r="N1391">
            <v>11.15</v>
          </cell>
          <cell r="P1391">
            <v>39280</v>
          </cell>
          <cell r="Q1391">
            <v>76.69</v>
          </cell>
        </row>
        <row r="1392">
          <cell r="D1392">
            <v>39279</v>
          </cell>
          <cell r="E1392">
            <v>27.07</v>
          </cell>
          <cell r="G1392">
            <v>39279</v>
          </cell>
          <cell r="H1392">
            <v>27.59</v>
          </cell>
          <cell r="J1392">
            <v>39275</v>
          </cell>
          <cell r="K1392">
            <v>11.98</v>
          </cell>
          <cell r="M1392">
            <v>39239</v>
          </cell>
          <cell r="N1392">
            <v>11.14</v>
          </cell>
          <cell r="P1392">
            <v>39279</v>
          </cell>
          <cell r="Q1392">
            <v>75.513329999999996</v>
          </cell>
        </row>
        <row r="1393">
          <cell r="D1393">
            <v>39276</v>
          </cell>
          <cell r="E1393">
            <v>27.44</v>
          </cell>
          <cell r="G1393">
            <v>39276</v>
          </cell>
          <cell r="H1393">
            <v>27.75</v>
          </cell>
          <cell r="J1393">
            <v>39274</v>
          </cell>
          <cell r="K1393">
            <v>12.62</v>
          </cell>
          <cell r="M1393">
            <v>39238</v>
          </cell>
          <cell r="N1393">
            <v>10.83</v>
          </cell>
          <cell r="P1393">
            <v>39276</v>
          </cell>
          <cell r="Q1393">
            <v>75.84</v>
          </cell>
        </row>
        <row r="1394">
          <cell r="D1394">
            <v>39275</v>
          </cell>
          <cell r="E1394">
            <v>27.35</v>
          </cell>
          <cell r="G1394">
            <v>39275</v>
          </cell>
          <cell r="H1394">
            <v>27.19</v>
          </cell>
          <cell r="J1394">
            <v>39273</v>
          </cell>
          <cell r="K1394">
            <v>12.25</v>
          </cell>
          <cell r="M1394">
            <v>39237</v>
          </cell>
          <cell r="N1394">
            <v>10.64</v>
          </cell>
          <cell r="P1394">
            <v>39275</v>
          </cell>
          <cell r="Q1394">
            <v>71.823300000000003</v>
          </cell>
        </row>
        <row r="1395">
          <cell r="D1395">
            <v>39274</v>
          </cell>
          <cell r="E1395">
            <v>26.46</v>
          </cell>
          <cell r="G1395">
            <v>39274</v>
          </cell>
          <cell r="H1395">
            <v>25.45</v>
          </cell>
          <cell r="J1395">
            <v>39272</v>
          </cell>
          <cell r="K1395">
            <v>12.5</v>
          </cell>
          <cell r="M1395">
            <v>39234</v>
          </cell>
          <cell r="N1395">
            <v>10.59</v>
          </cell>
          <cell r="P1395">
            <v>39274</v>
          </cell>
          <cell r="Q1395">
            <v>70.356669999999994</v>
          </cell>
        </row>
        <row r="1396">
          <cell r="D1396">
            <v>39273</v>
          </cell>
          <cell r="E1396">
            <v>25.54</v>
          </cell>
          <cell r="G1396">
            <v>39273</v>
          </cell>
          <cell r="H1396">
            <v>25.16</v>
          </cell>
          <cell r="J1396">
            <v>39269</v>
          </cell>
          <cell r="K1396">
            <v>12.93</v>
          </cell>
          <cell r="M1396">
            <v>39233</v>
          </cell>
          <cell r="N1396">
            <v>10.45</v>
          </cell>
          <cell r="P1396">
            <v>39273</v>
          </cell>
          <cell r="Q1396">
            <v>69.75</v>
          </cell>
        </row>
        <row r="1397">
          <cell r="D1397">
            <v>39272</v>
          </cell>
          <cell r="E1397">
            <v>25.54</v>
          </cell>
          <cell r="G1397">
            <v>39272</v>
          </cell>
          <cell r="H1397">
            <v>24.79</v>
          </cell>
          <cell r="J1397">
            <v>39268</v>
          </cell>
          <cell r="K1397">
            <v>12.88</v>
          </cell>
          <cell r="M1397">
            <v>39232</v>
          </cell>
          <cell r="N1397">
            <v>10.09</v>
          </cell>
          <cell r="P1397">
            <v>39272</v>
          </cell>
          <cell r="Q1397">
            <v>71.466629999999995</v>
          </cell>
        </row>
        <row r="1398">
          <cell r="D1398">
            <v>39269</v>
          </cell>
          <cell r="E1398">
            <v>25.29</v>
          </cell>
          <cell r="G1398">
            <v>39269</v>
          </cell>
          <cell r="H1398">
            <v>24.75</v>
          </cell>
          <cell r="J1398">
            <v>39266</v>
          </cell>
          <cell r="K1398">
            <v>12.82</v>
          </cell>
          <cell r="M1398">
            <v>39231</v>
          </cell>
          <cell r="N1398">
            <v>9.98</v>
          </cell>
          <cell r="P1398">
            <v>39269</v>
          </cell>
          <cell r="Q1398">
            <v>71.783330000000007</v>
          </cell>
        </row>
        <row r="1399">
          <cell r="D1399">
            <v>39268</v>
          </cell>
          <cell r="E1399">
            <v>24.94</v>
          </cell>
          <cell r="G1399">
            <v>39268</v>
          </cell>
          <cell r="H1399">
            <v>24.38</v>
          </cell>
          <cell r="J1399">
            <v>39265</v>
          </cell>
          <cell r="K1399">
            <v>12.8599</v>
          </cell>
          <cell r="M1399">
            <v>39227</v>
          </cell>
          <cell r="N1399">
            <v>9.9700000000000006</v>
          </cell>
          <cell r="P1399">
            <v>39268</v>
          </cell>
          <cell r="Q1399">
            <v>72.063329999999993</v>
          </cell>
        </row>
        <row r="1400">
          <cell r="D1400">
            <v>39266</v>
          </cell>
          <cell r="E1400">
            <v>25.7</v>
          </cell>
          <cell r="G1400">
            <v>39266</v>
          </cell>
          <cell r="H1400">
            <v>25.76</v>
          </cell>
          <cell r="J1400">
            <v>39262</v>
          </cell>
          <cell r="K1400">
            <v>12.87</v>
          </cell>
          <cell r="M1400">
            <v>39226</v>
          </cell>
          <cell r="N1400">
            <v>9.85</v>
          </cell>
          <cell r="P1400">
            <v>39266</v>
          </cell>
          <cell r="Q1400">
            <v>69.313329999999993</v>
          </cell>
        </row>
        <row r="1401">
          <cell r="D1401">
            <v>39265</v>
          </cell>
          <cell r="E1401">
            <v>25.63</v>
          </cell>
          <cell r="G1401">
            <v>39265</v>
          </cell>
          <cell r="H1401">
            <v>25.79</v>
          </cell>
          <cell r="J1401">
            <v>39261</v>
          </cell>
          <cell r="K1401">
            <v>12.89</v>
          </cell>
          <cell r="M1401">
            <v>39225</v>
          </cell>
          <cell r="N1401">
            <v>10.039999999999999</v>
          </cell>
          <cell r="P1401">
            <v>39265</v>
          </cell>
          <cell r="Q1401">
            <v>71.42</v>
          </cell>
        </row>
        <row r="1402">
          <cell r="D1402">
            <v>39262</v>
          </cell>
          <cell r="E1402">
            <v>24.89</v>
          </cell>
          <cell r="G1402">
            <v>39262</v>
          </cell>
          <cell r="H1402">
            <v>26.02</v>
          </cell>
          <cell r="J1402">
            <v>39260</v>
          </cell>
          <cell r="K1402">
            <v>14.03</v>
          </cell>
          <cell r="M1402">
            <v>39224</v>
          </cell>
          <cell r="N1402">
            <v>10.32</v>
          </cell>
          <cell r="P1402">
            <v>39262</v>
          </cell>
          <cell r="Q1402">
            <v>66.663330000000002</v>
          </cell>
        </row>
        <row r="1403">
          <cell r="D1403">
            <v>39261</v>
          </cell>
          <cell r="E1403">
            <v>24.76</v>
          </cell>
          <cell r="G1403">
            <v>39261</v>
          </cell>
          <cell r="H1403">
            <v>26.01</v>
          </cell>
          <cell r="J1403">
            <v>39259</v>
          </cell>
          <cell r="K1403">
            <v>14.27</v>
          </cell>
          <cell r="M1403">
            <v>39223</v>
          </cell>
          <cell r="N1403">
            <v>10.33</v>
          </cell>
          <cell r="P1403">
            <v>39261</v>
          </cell>
          <cell r="Q1403">
            <v>55.196669999999997</v>
          </cell>
        </row>
        <row r="1404">
          <cell r="D1404">
            <v>39260</v>
          </cell>
          <cell r="E1404">
            <v>24.75</v>
          </cell>
          <cell r="G1404">
            <v>39260</v>
          </cell>
          <cell r="H1404">
            <v>25.72</v>
          </cell>
          <cell r="J1404">
            <v>39258</v>
          </cell>
          <cell r="K1404">
            <v>14.37</v>
          </cell>
          <cell r="M1404">
            <v>39220</v>
          </cell>
          <cell r="N1404">
            <v>10.26</v>
          </cell>
          <cell r="P1404">
            <v>39260</v>
          </cell>
          <cell r="Q1404">
            <v>54.483330000000002</v>
          </cell>
        </row>
        <row r="1405">
          <cell r="D1405">
            <v>39259</v>
          </cell>
          <cell r="E1405">
            <v>23.9</v>
          </cell>
          <cell r="G1405">
            <v>39259</v>
          </cell>
          <cell r="H1405">
            <v>24.71</v>
          </cell>
          <cell r="J1405">
            <v>39255</v>
          </cell>
          <cell r="K1405">
            <v>14.45</v>
          </cell>
          <cell r="M1405">
            <v>39219</v>
          </cell>
          <cell r="N1405">
            <v>10.25</v>
          </cell>
          <cell r="P1405">
            <v>39259</v>
          </cell>
          <cell r="Q1405">
            <v>54.426670000000001</v>
          </cell>
        </row>
        <row r="1406">
          <cell r="D1406">
            <v>39258</v>
          </cell>
          <cell r="E1406">
            <v>25.22</v>
          </cell>
          <cell r="G1406">
            <v>39258</v>
          </cell>
          <cell r="H1406">
            <v>25.22</v>
          </cell>
          <cell r="J1406">
            <v>39254</v>
          </cell>
          <cell r="K1406">
            <v>14.1</v>
          </cell>
          <cell r="M1406">
            <v>39218</v>
          </cell>
          <cell r="N1406">
            <v>10.293900000000001</v>
          </cell>
          <cell r="P1406">
            <v>39258</v>
          </cell>
          <cell r="Q1406">
            <v>55.25667</v>
          </cell>
        </row>
        <row r="1407">
          <cell r="D1407">
            <v>39255</v>
          </cell>
          <cell r="E1407">
            <v>25.83</v>
          </cell>
          <cell r="G1407">
            <v>39255</v>
          </cell>
          <cell r="H1407">
            <v>24.71</v>
          </cell>
          <cell r="J1407">
            <v>39253</v>
          </cell>
          <cell r="K1407">
            <v>13.99</v>
          </cell>
          <cell r="M1407">
            <v>39217</v>
          </cell>
          <cell r="N1407">
            <v>10.17</v>
          </cell>
          <cell r="P1407">
            <v>39255</v>
          </cell>
          <cell r="Q1407">
            <v>56.883330000000001</v>
          </cell>
        </row>
        <row r="1408">
          <cell r="D1408">
            <v>39254</v>
          </cell>
          <cell r="E1408">
            <v>26.16</v>
          </cell>
          <cell r="G1408">
            <v>39254</v>
          </cell>
          <cell r="H1408">
            <v>25.2</v>
          </cell>
          <cell r="J1408">
            <v>39252</v>
          </cell>
          <cell r="K1408">
            <v>14.23</v>
          </cell>
          <cell r="M1408">
            <v>39216</v>
          </cell>
          <cell r="N1408">
            <v>10.45</v>
          </cell>
          <cell r="P1408">
            <v>39254</v>
          </cell>
          <cell r="Q1408">
            <v>56.986669999999997</v>
          </cell>
        </row>
        <row r="1409">
          <cell r="D1409">
            <v>39253</v>
          </cell>
          <cell r="E1409">
            <v>25.33</v>
          </cell>
          <cell r="G1409">
            <v>39253</v>
          </cell>
          <cell r="H1409">
            <v>24.7</v>
          </cell>
          <cell r="J1409">
            <v>39251</v>
          </cell>
          <cell r="K1409">
            <v>13.84</v>
          </cell>
          <cell r="M1409">
            <v>39213</v>
          </cell>
          <cell r="N1409">
            <v>10.49</v>
          </cell>
          <cell r="P1409">
            <v>39253</v>
          </cell>
          <cell r="Q1409">
            <v>56.196669999999997</v>
          </cell>
        </row>
        <row r="1410">
          <cell r="D1410">
            <v>39252</v>
          </cell>
          <cell r="E1410">
            <v>25.66</v>
          </cell>
          <cell r="G1410">
            <v>39252</v>
          </cell>
          <cell r="H1410">
            <v>24.86</v>
          </cell>
          <cell r="J1410">
            <v>39248</v>
          </cell>
          <cell r="K1410">
            <v>14.11</v>
          </cell>
          <cell r="M1410">
            <v>39212</v>
          </cell>
          <cell r="N1410">
            <v>10.55</v>
          </cell>
          <cell r="P1410">
            <v>39252</v>
          </cell>
          <cell r="Q1410">
            <v>57.213329999999999</v>
          </cell>
        </row>
        <row r="1411">
          <cell r="D1411">
            <v>39251</v>
          </cell>
          <cell r="E1411">
            <v>25.82</v>
          </cell>
          <cell r="G1411">
            <v>39251</v>
          </cell>
          <cell r="H1411">
            <v>24.73</v>
          </cell>
          <cell r="J1411">
            <v>39247</v>
          </cell>
          <cell r="K1411">
            <v>14.07</v>
          </cell>
          <cell r="M1411">
            <v>39211</v>
          </cell>
          <cell r="N1411">
            <v>10.67</v>
          </cell>
          <cell r="P1411">
            <v>39251</v>
          </cell>
          <cell r="Q1411">
            <v>58.683329999999998</v>
          </cell>
        </row>
        <row r="1412">
          <cell r="D1412">
            <v>39248</v>
          </cell>
          <cell r="E1412">
            <v>25.53</v>
          </cell>
          <cell r="G1412">
            <v>39248</v>
          </cell>
          <cell r="H1412">
            <v>24.98</v>
          </cell>
          <cell r="J1412">
            <v>39246</v>
          </cell>
          <cell r="K1412">
            <v>13.99</v>
          </cell>
          <cell r="M1412">
            <v>39210</v>
          </cell>
          <cell r="N1412">
            <v>10.5</v>
          </cell>
          <cell r="P1412">
            <v>39248</v>
          </cell>
          <cell r="Q1412">
            <v>57.916670000000003</v>
          </cell>
        </row>
        <row r="1413">
          <cell r="D1413">
            <v>39247</v>
          </cell>
          <cell r="E1413">
            <v>25.31</v>
          </cell>
          <cell r="G1413">
            <v>39247</v>
          </cell>
          <cell r="H1413">
            <v>24.78</v>
          </cell>
          <cell r="J1413">
            <v>39245</v>
          </cell>
          <cell r="K1413">
            <v>14.05</v>
          </cell>
          <cell r="M1413">
            <v>39209</v>
          </cell>
          <cell r="N1413">
            <v>10.52</v>
          </cell>
          <cell r="P1413">
            <v>39247</v>
          </cell>
          <cell r="Q1413">
            <v>57.056669999999997</v>
          </cell>
        </row>
        <row r="1414">
          <cell r="D1414">
            <v>39246</v>
          </cell>
          <cell r="E1414">
            <v>25.13</v>
          </cell>
          <cell r="G1414">
            <v>39246</v>
          </cell>
          <cell r="H1414">
            <v>24.59</v>
          </cell>
          <cell r="J1414">
            <v>39244</v>
          </cell>
          <cell r="K1414">
            <v>14.12</v>
          </cell>
          <cell r="M1414">
            <v>39206</v>
          </cell>
          <cell r="N1414">
            <v>10.66</v>
          </cell>
          <cell r="P1414">
            <v>39246</v>
          </cell>
          <cell r="Q1414">
            <v>56.933329999999998</v>
          </cell>
        </row>
        <row r="1415">
          <cell r="D1415">
            <v>39245</v>
          </cell>
          <cell r="E1415">
            <v>24.65</v>
          </cell>
          <cell r="G1415">
            <v>39245</v>
          </cell>
          <cell r="H1415">
            <v>23.69</v>
          </cell>
          <cell r="J1415">
            <v>39241</v>
          </cell>
          <cell r="K1415">
            <v>14.15</v>
          </cell>
          <cell r="M1415">
            <v>39205</v>
          </cell>
          <cell r="N1415">
            <v>10.66</v>
          </cell>
          <cell r="P1415">
            <v>39245</v>
          </cell>
          <cell r="Q1415">
            <v>55.713329999999999</v>
          </cell>
        </row>
        <row r="1416">
          <cell r="D1416">
            <v>39244</v>
          </cell>
          <cell r="E1416">
            <v>25.01</v>
          </cell>
          <cell r="G1416">
            <v>39244</v>
          </cell>
          <cell r="H1416">
            <v>24.17</v>
          </cell>
          <cell r="J1416">
            <v>39240</v>
          </cell>
          <cell r="K1416">
            <v>13.74</v>
          </cell>
          <cell r="M1416">
            <v>39204</v>
          </cell>
          <cell r="N1416">
            <v>10.76</v>
          </cell>
          <cell r="P1416">
            <v>39244</v>
          </cell>
          <cell r="Q1416">
            <v>55.96</v>
          </cell>
        </row>
        <row r="1417">
          <cell r="D1417">
            <v>39241</v>
          </cell>
          <cell r="E1417">
            <v>24.35</v>
          </cell>
          <cell r="G1417">
            <v>39241</v>
          </cell>
          <cell r="H1417">
            <v>24.05</v>
          </cell>
          <cell r="J1417">
            <v>39239</v>
          </cell>
          <cell r="K1417">
            <v>13.67</v>
          </cell>
          <cell r="M1417">
            <v>39203</v>
          </cell>
          <cell r="N1417">
            <v>10.73</v>
          </cell>
          <cell r="P1417">
            <v>39241</v>
          </cell>
          <cell r="Q1417">
            <v>55.223329999999997</v>
          </cell>
        </row>
        <row r="1418">
          <cell r="D1418">
            <v>39240</v>
          </cell>
          <cell r="E1418">
            <v>23.74</v>
          </cell>
          <cell r="G1418">
            <v>39240</v>
          </cell>
          <cell r="H1418">
            <v>24.47</v>
          </cell>
          <cell r="J1418">
            <v>39238</v>
          </cell>
          <cell r="K1418">
            <v>13.65</v>
          </cell>
          <cell r="M1418">
            <v>39202</v>
          </cell>
          <cell r="N1418">
            <v>11.25</v>
          </cell>
          <cell r="P1418">
            <v>39240</v>
          </cell>
          <cell r="Q1418">
            <v>54.676670000000001</v>
          </cell>
        </row>
        <row r="1419">
          <cell r="D1419">
            <v>39239</v>
          </cell>
          <cell r="E1419">
            <v>23.65</v>
          </cell>
          <cell r="G1419">
            <v>39239</v>
          </cell>
          <cell r="H1419">
            <v>24.43</v>
          </cell>
          <cell r="J1419">
            <v>39237</v>
          </cell>
          <cell r="K1419">
            <v>13.65</v>
          </cell>
          <cell r="M1419">
            <v>39199</v>
          </cell>
          <cell r="N1419">
            <v>10.8</v>
          </cell>
          <cell r="P1419">
            <v>39239</v>
          </cell>
          <cell r="Q1419">
            <v>54.926670000000001</v>
          </cell>
        </row>
        <row r="1420">
          <cell r="D1420">
            <v>39238</v>
          </cell>
          <cell r="E1420">
            <v>24.55</v>
          </cell>
          <cell r="G1420">
            <v>39238</v>
          </cell>
          <cell r="H1420">
            <v>25.04</v>
          </cell>
          <cell r="J1420">
            <v>39234</v>
          </cell>
          <cell r="K1420">
            <v>13.75</v>
          </cell>
          <cell r="M1420">
            <v>39198</v>
          </cell>
          <cell r="N1420">
            <v>11.28</v>
          </cell>
          <cell r="P1420">
            <v>39238</v>
          </cell>
          <cell r="Q1420">
            <v>56.090829999999997</v>
          </cell>
        </row>
        <row r="1421">
          <cell r="D1421">
            <v>39237</v>
          </cell>
          <cell r="E1421">
            <v>21.97</v>
          </cell>
          <cell r="G1421">
            <v>39237</v>
          </cell>
          <cell r="H1421">
            <v>23.66</v>
          </cell>
          <cell r="J1421">
            <v>39233</v>
          </cell>
          <cell r="K1421">
            <v>13.54</v>
          </cell>
          <cell r="M1421">
            <v>39197</v>
          </cell>
          <cell r="N1421">
            <v>11.29</v>
          </cell>
          <cell r="P1421">
            <v>39237</v>
          </cell>
          <cell r="Q1421">
            <v>55.94</v>
          </cell>
        </row>
        <row r="1422">
          <cell r="D1422">
            <v>39234</v>
          </cell>
          <cell r="E1422">
            <v>22.08</v>
          </cell>
          <cell r="G1422">
            <v>39234</v>
          </cell>
          <cell r="H1422">
            <v>23.52</v>
          </cell>
          <cell r="J1422">
            <v>39232</v>
          </cell>
          <cell r="K1422">
            <v>13.41</v>
          </cell>
          <cell r="M1422">
            <v>39196</v>
          </cell>
          <cell r="N1422">
            <v>11.01</v>
          </cell>
          <cell r="P1422">
            <v>39234</v>
          </cell>
          <cell r="Q1422">
            <v>55.023330000000001</v>
          </cell>
        </row>
        <row r="1423">
          <cell r="D1423">
            <v>39233</v>
          </cell>
          <cell r="E1423">
            <v>21.69</v>
          </cell>
          <cell r="G1423">
            <v>39233</v>
          </cell>
          <cell r="H1423">
            <v>23.23</v>
          </cell>
          <cell r="J1423">
            <v>39231</v>
          </cell>
          <cell r="K1423">
            <v>13.18</v>
          </cell>
          <cell r="M1423">
            <v>39195</v>
          </cell>
          <cell r="N1423">
            <v>11</v>
          </cell>
          <cell r="P1423">
            <v>39233</v>
          </cell>
          <cell r="Q1423">
            <v>55.36</v>
          </cell>
        </row>
        <row r="1424">
          <cell r="D1424">
            <v>39232</v>
          </cell>
          <cell r="E1424">
            <v>21.33</v>
          </cell>
          <cell r="G1424">
            <v>39232</v>
          </cell>
          <cell r="H1424">
            <v>22.91</v>
          </cell>
          <cell r="J1424">
            <v>39227</v>
          </cell>
          <cell r="K1424">
            <v>12.96</v>
          </cell>
          <cell r="M1424">
            <v>39192</v>
          </cell>
          <cell r="N1424">
            <v>10.98</v>
          </cell>
          <cell r="P1424">
            <v>39232</v>
          </cell>
          <cell r="Q1424">
            <v>54.886670000000002</v>
          </cell>
        </row>
        <row r="1425">
          <cell r="D1425">
            <v>39231</v>
          </cell>
          <cell r="E1425">
            <v>21.04</v>
          </cell>
          <cell r="G1425">
            <v>39231</v>
          </cell>
          <cell r="H1425">
            <v>22.04</v>
          </cell>
          <cell r="J1425">
            <v>39226</v>
          </cell>
          <cell r="K1425">
            <v>13.06</v>
          </cell>
          <cell r="M1425">
            <v>39191</v>
          </cell>
          <cell r="N1425">
            <v>10.87</v>
          </cell>
          <cell r="P1425">
            <v>39231</v>
          </cell>
          <cell r="Q1425">
            <v>55.11</v>
          </cell>
        </row>
        <row r="1426">
          <cell r="D1426">
            <v>39227</v>
          </cell>
          <cell r="E1426">
            <v>20.25</v>
          </cell>
          <cell r="G1426">
            <v>39227</v>
          </cell>
          <cell r="H1426">
            <v>22.18</v>
          </cell>
          <cell r="J1426">
            <v>39225</v>
          </cell>
          <cell r="K1426">
            <v>13.6</v>
          </cell>
          <cell r="M1426">
            <v>39190</v>
          </cell>
          <cell r="N1426">
            <v>10.71</v>
          </cell>
          <cell r="P1426">
            <v>39227</v>
          </cell>
          <cell r="Q1426">
            <v>55.446669999999997</v>
          </cell>
        </row>
        <row r="1427">
          <cell r="D1427">
            <v>39226</v>
          </cell>
          <cell r="E1427">
            <v>19.86</v>
          </cell>
          <cell r="G1427">
            <v>39226</v>
          </cell>
          <cell r="H1427">
            <v>21.37</v>
          </cell>
          <cell r="J1427">
            <v>39224</v>
          </cell>
          <cell r="K1427">
            <v>13.77</v>
          </cell>
          <cell r="M1427">
            <v>39189</v>
          </cell>
          <cell r="N1427">
            <v>10.65</v>
          </cell>
          <cell r="P1427">
            <v>39226</v>
          </cell>
          <cell r="Q1427">
            <v>53.296669999999999</v>
          </cell>
        </row>
        <row r="1428">
          <cell r="D1428">
            <v>39225</v>
          </cell>
          <cell r="E1428">
            <v>20.37</v>
          </cell>
          <cell r="G1428">
            <v>39225</v>
          </cell>
          <cell r="H1428">
            <v>21.44</v>
          </cell>
          <cell r="J1428">
            <v>39223</v>
          </cell>
          <cell r="K1428">
            <v>13.78</v>
          </cell>
          <cell r="M1428">
            <v>39188</v>
          </cell>
          <cell r="N1428">
            <v>10.81</v>
          </cell>
          <cell r="P1428">
            <v>39225</v>
          </cell>
          <cell r="Q1428">
            <v>51.866669999999999</v>
          </cell>
        </row>
        <row r="1429">
          <cell r="D1429">
            <v>39224</v>
          </cell>
          <cell r="E1429">
            <v>20.34</v>
          </cell>
          <cell r="G1429">
            <v>39224</v>
          </cell>
          <cell r="H1429">
            <v>21.49</v>
          </cell>
          <cell r="J1429">
            <v>39220</v>
          </cell>
          <cell r="K1429">
            <v>13.41</v>
          </cell>
          <cell r="M1429">
            <v>39185</v>
          </cell>
          <cell r="N1429">
            <v>10.69</v>
          </cell>
          <cell r="P1429">
            <v>39224</v>
          </cell>
          <cell r="Q1429">
            <v>53.02</v>
          </cell>
        </row>
        <row r="1430">
          <cell r="D1430">
            <v>39223</v>
          </cell>
          <cell r="E1430">
            <v>20.16</v>
          </cell>
          <cell r="G1430">
            <v>39223</v>
          </cell>
          <cell r="H1430">
            <v>21.85</v>
          </cell>
          <cell r="J1430">
            <v>39219</v>
          </cell>
          <cell r="K1430">
            <v>13.36</v>
          </cell>
          <cell r="M1430">
            <v>39184</v>
          </cell>
          <cell r="N1430">
            <v>10.8</v>
          </cell>
          <cell r="P1430">
            <v>39223</v>
          </cell>
          <cell r="Q1430">
            <v>50.666670000000003</v>
          </cell>
        </row>
        <row r="1431">
          <cell r="D1431">
            <v>39220</v>
          </cell>
          <cell r="E1431">
            <v>20</v>
          </cell>
          <cell r="G1431">
            <v>39220</v>
          </cell>
          <cell r="H1431">
            <v>21.11</v>
          </cell>
          <cell r="J1431">
            <v>39218</v>
          </cell>
          <cell r="K1431">
            <v>13.24</v>
          </cell>
          <cell r="M1431">
            <v>39183</v>
          </cell>
          <cell r="N1431">
            <v>10.95</v>
          </cell>
          <cell r="P1431">
            <v>39220</v>
          </cell>
          <cell r="Q1431">
            <v>50.516669999999998</v>
          </cell>
        </row>
        <row r="1432">
          <cell r="D1432">
            <v>39219</v>
          </cell>
          <cell r="E1432">
            <v>19.850000000000001</v>
          </cell>
          <cell r="G1432">
            <v>39219</v>
          </cell>
          <cell r="H1432">
            <v>21.53</v>
          </cell>
          <cell r="J1432">
            <v>39217</v>
          </cell>
          <cell r="K1432">
            <v>13.39</v>
          </cell>
          <cell r="M1432">
            <v>39182</v>
          </cell>
          <cell r="N1432">
            <v>10.79</v>
          </cell>
          <cell r="P1432">
            <v>39219</v>
          </cell>
          <cell r="Q1432">
            <v>50.62</v>
          </cell>
        </row>
        <row r="1433">
          <cell r="D1433">
            <v>39218</v>
          </cell>
          <cell r="E1433">
            <v>19.39</v>
          </cell>
          <cell r="G1433">
            <v>39218</v>
          </cell>
          <cell r="H1433">
            <v>19.43</v>
          </cell>
          <cell r="J1433">
            <v>39216</v>
          </cell>
          <cell r="K1433">
            <v>13.62</v>
          </cell>
          <cell r="M1433">
            <v>39181</v>
          </cell>
          <cell r="N1433">
            <v>10.8</v>
          </cell>
          <cell r="P1433">
            <v>39218</v>
          </cell>
          <cell r="Q1433">
            <v>50.68</v>
          </cell>
        </row>
        <row r="1434">
          <cell r="D1434">
            <v>39217</v>
          </cell>
          <cell r="E1434">
            <v>19.37</v>
          </cell>
          <cell r="G1434">
            <v>39217</v>
          </cell>
          <cell r="H1434">
            <v>19.239999999999998</v>
          </cell>
          <cell r="J1434">
            <v>39213</v>
          </cell>
          <cell r="K1434">
            <v>13.85</v>
          </cell>
          <cell r="M1434">
            <v>39177</v>
          </cell>
          <cell r="N1434">
            <v>10.73</v>
          </cell>
          <cell r="P1434">
            <v>39217</v>
          </cell>
          <cell r="Q1434">
            <v>49.39667</v>
          </cell>
        </row>
        <row r="1435">
          <cell r="D1435">
            <v>39216</v>
          </cell>
          <cell r="E1435">
            <v>18.97</v>
          </cell>
          <cell r="G1435">
            <v>39216</v>
          </cell>
          <cell r="H1435">
            <v>19.54</v>
          </cell>
          <cell r="J1435">
            <v>39212</v>
          </cell>
          <cell r="K1435">
            <v>13.82</v>
          </cell>
          <cell r="M1435">
            <v>39176</v>
          </cell>
          <cell r="N1435">
            <v>10.55</v>
          </cell>
          <cell r="P1435">
            <v>39216</v>
          </cell>
          <cell r="Q1435">
            <v>49.52</v>
          </cell>
        </row>
        <row r="1436">
          <cell r="D1436">
            <v>39213</v>
          </cell>
          <cell r="E1436">
            <v>19</v>
          </cell>
          <cell r="G1436">
            <v>39213</v>
          </cell>
          <cell r="H1436">
            <v>20</v>
          </cell>
          <cell r="J1436">
            <v>39211</v>
          </cell>
          <cell r="K1436">
            <v>14.41</v>
          </cell>
          <cell r="M1436">
            <v>39175</v>
          </cell>
          <cell r="N1436">
            <v>10.4</v>
          </cell>
          <cell r="P1436">
            <v>39213</v>
          </cell>
          <cell r="Q1436">
            <v>50.796669999999999</v>
          </cell>
        </row>
        <row r="1437">
          <cell r="D1437">
            <v>39212</v>
          </cell>
          <cell r="E1437">
            <v>18.420000000000002</v>
          </cell>
          <cell r="G1437">
            <v>39212</v>
          </cell>
          <cell r="H1437">
            <v>19.5</v>
          </cell>
          <cell r="J1437">
            <v>39210</v>
          </cell>
          <cell r="K1437">
            <v>14.31</v>
          </cell>
          <cell r="M1437">
            <v>39174</v>
          </cell>
          <cell r="N1437">
            <v>10.27</v>
          </cell>
          <cell r="P1437">
            <v>39212</v>
          </cell>
          <cell r="Q1437">
            <v>50.543329999999997</v>
          </cell>
        </row>
        <row r="1438">
          <cell r="D1438">
            <v>39211</v>
          </cell>
          <cell r="E1438">
            <v>18.809999999999999</v>
          </cell>
          <cell r="G1438">
            <v>39211</v>
          </cell>
          <cell r="H1438">
            <v>19.920000000000002</v>
          </cell>
          <cell r="J1438">
            <v>39209</v>
          </cell>
          <cell r="K1438">
            <v>14.36</v>
          </cell>
          <cell r="M1438">
            <v>39171</v>
          </cell>
          <cell r="N1438">
            <v>10.16</v>
          </cell>
          <cell r="P1438">
            <v>39211</v>
          </cell>
          <cell r="Q1438">
            <v>51.61</v>
          </cell>
        </row>
        <row r="1439">
          <cell r="D1439">
            <v>39210</v>
          </cell>
          <cell r="E1439">
            <v>18.82</v>
          </cell>
          <cell r="G1439">
            <v>39210</v>
          </cell>
          <cell r="H1439">
            <v>19.95</v>
          </cell>
          <cell r="J1439">
            <v>39206</v>
          </cell>
          <cell r="K1439">
            <v>13.6</v>
          </cell>
          <cell r="M1439">
            <v>39170</v>
          </cell>
          <cell r="N1439">
            <v>10.250999999999999</v>
          </cell>
          <cell r="P1439">
            <v>39210</v>
          </cell>
          <cell r="Q1439">
            <v>48.92</v>
          </cell>
        </row>
        <row r="1440">
          <cell r="D1440">
            <v>39209</v>
          </cell>
          <cell r="E1440">
            <v>18.850000000000001</v>
          </cell>
          <cell r="G1440">
            <v>39209</v>
          </cell>
          <cell r="H1440">
            <v>20.14</v>
          </cell>
          <cell r="J1440">
            <v>39205</v>
          </cell>
          <cell r="K1440">
            <v>12.39</v>
          </cell>
          <cell r="M1440">
            <v>39169</v>
          </cell>
          <cell r="N1440">
            <v>10.34</v>
          </cell>
          <cell r="P1440">
            <v>39209</v>
          </cell>
          <cell r="Q1440">
            <v>46.61</v>
          </cell>
        </row>
        <row r="1441">
          <cell r="D1441">
            <v>39206</v>
          </cell>
          <cell r="E1441">
            <v>18.71</v>
          </cell>
          <cell r="G1441">
            <v>39206</v>
          </cell>
          <cell r="H1441">
            <v>19.98</v>
          </cell>
          <cell r="J1441">
            <v>39204</v>
          </cell>
          <cell r="K1441">
            <v>12.28</v>
          </cell>
          <cell r="M1441">
            <v>39168</v>
          </cell>
          <cell r="N1441">
            <v>10.52</v>
          </cell>
          <cell r="P1441">
            <v>39206</v>
          </cell>
          <cell r="Q1441">
            <v>46.00667</v>
          </cell>
        </row>
        <row r="1442">
          <cell r="D1442">
            <v>39205</v>
          </cell>
          <cell r="E1442">
            <v>18.329999999999998</v>
          </cell>
          <cell r="G1442">
            <v>39205</v>
          </cell>
          <cell r="H1442">
            <v>19.75</v>
          </cell>
          <cell r="J1442">
            <v>39203</v>
          </cell>
          <cell r="K1442">
            <v>11.99</v>
          </cell>
          <cell r="M1442">
            <v>39167</v>
          </cell>
          <cell r="N1442">
            <v>10.44</v>
          </cell>
          <cell r="P1442">
            <v>39205</v>
          </cell>
          <cell r="Q1442">
            <v>45.166670000000003</v>
          </cell>
        </row>
        <row r="1443">
          <cell r="D1443">
            <v>39204</v>
          </cell>
          <cell r="E1443">
            <v>17.809999999999999</v>
          </cell>
          <cell r="G1443">
            <v>39204</v>
          </cell>
          <cell r="H1443">
            <v>19.940000000000001</v>
          </cell>
          <cell r="J1443">
            <v>39202</v>
          </cell>
          <cell r="K1443">
            <v>12.5</v>
          </cell>
          <cell r="M1443">
            <v>39164</v>
          </cell>
          <cell r="N1443">
            <v>10.7</v>
          </cell>
          <cell r="P1443">
            <v>39204</v>
          </cell>
          <cell r="Q1443">
            <v>44.276670000000003</v>
          </cell>
        </row>
        <row r="1444">
          <cell r="D1444">
            <v>39203</v>
          </cell>
          <cell r="E1444">
            <v>17.41</v>
          </cell>
          <cell r="G1444">
            <v>39203</v>
          </cell>
          <cell r="H1444">
            <v>18.71</v>
          </cell>
          <cell r="J1444">
            <v>39199</v>
          </cell>
          <cell r="K1444">
            <v>12.46</v>
          </cell>
          <cell r="M1444">
            <v>39163</v>
          </cell>
          <cell r="N1444">
            <v>10.65</v>
          </cell>
          <cell r="P1444">
            <v>39203</v>
          </cell>
          <cell r="Q1444">
            <v>44.226669999999999</v>
          </cell>
        </row>
        <row r="1445">
          <cell r="D1445">
            <v>39202</v>
          </cell>
          <cell r="E1445">
            <v>18.07</v>
          </cell>
          <cell r="G1445">
            <v>39202</v>
          </cell>
          <cell r="H1445">
            <v>18.190000000000001</v>
          </cell>
          <cell r="J1445">
            <v>39198</v>
          </cell>
          <cell r="K1445">
            <v>12.78</v>
          </cell>
          <cell r="M1445">
            <v>39162</v>
          </cell>
          <cell r="N1445">
            <v>10.65</v>
          </cell>
          <cell r="P1445">
            <v>39202</v>
          </cell>
          <cell r="Q1445">
            <v>43.86</v>
          </cell>
        </row>
        <row r="1446">
          <cell r="D1446">
            <v>39199</v>
          </cell>
          <cell r="E1446">
            <v>18.04</v>
          </cell>
          <cell r="G1446">
            <v>39199</v>
          </cell>
          <cell r="H1446">
            <v>18.36</v>
          </cell>
          <cell r="J1446">
            <v>39197</v>
          </cell>
          <cell r="K1446">
            <v>12.71</v>
          </cell>
          <cell r="M1446">
            <v>39161</v>
          </cell>
          <cell r="N1446">
            <v>10.62</v>
          </cell>
          <cell r="P1446">
            <v>39199</v>
          </cell>
          <cell r="Q1446">
            <v>44.916670000000003</v>
          </cell>
        </row>
        <row r="1447">
          <cell r="D1447">
            <v>39198</v>
          </cell>
          <cell r="E1447">
            <v>16.77</v>
          </cell>
          <cell r="G1447">
            <v>39198</v>
          </cell>
          <cell r="H1447">
            <v>17.05</v>
          </cell>
          <cell r="J1447">
            <v>39196</v>
          </cell>
          <cell r="K1447">
            <v>12.8</v>
          </cell>
          <cell r="M1447">
            <v>39160</v>
          </cell>
          <cell r="N1447">
            <v>10.47</v>
          </cell>
          <cell r="P1447">
            <v>39198</v>
          </cell>
          <cell r="Q1447">
            <v>45.086669999999998</v>
          </cell>
        </row>
        <row r="1448">
          <cell r="D1448">
            <v>39197</v>
          </cell>
          <cell r="E1448">
            <v>17.559999999999999</v>
          </cell>
          <cell r="G1448">
            <v>39197</v>
          </cell>
          <cell r="H1448">
            <v>16.649999999999999</v>
          </cell>
          <cell r="J1448">
            <v>39195</v>
          </cell>
          <cell r="K1448">
            <v>12.43</v>
          </cell>
          <cell r="M1448">
            <v>39157</v>
          </cell>
          <cell r="N1448">
            <v>10.28</v>
          </cell>
          <cell r="P1448">
            <v>39197</v>
          </cell>
          <cell r="Q1448">
            <v>45.176670000000001</v>
          </cell>
        </row>
        <row r="1449">
          <cell r="D1449">
            <v>39196</v>
          </cell>
          <cell r="E1449">
            <v>17.079999999999998</v>
          </cell>
          <cell r="G1449">
            <v>39196</v>
          </cell>
          <cell r="H1449">
            <v>17.510000000000002</v>
          </cell>
          <cell r="J1449">
            <v>39192</v>
          </cell>
          <cell r="K1449">
            <v>12.38</v>
          </cell>
          <cell r="M1449">
            <v>39156</v>
          </cell>
          <cell r="N1449">
            <v>10.11</v>
          </cell>
          <cell r="P1449">
            <v>39196</v>
          </cell>
          <cell r="Q1449">
            <v>44.01</v>
          </cell>
        </row>
        <row r="1450">
          <cell r="D1450">
            <v>39195</v>
          </cell>
          <cell r="E1450">
            <v>16.739999999999998</v>
          </cell>
          <cell r="G1450">
            <v>39195</v>
          </cell>
          <cell r="H1450">
            <v>17.22</v>
          </cell>
          <cell r="J1450">
            <v>39191</v>
          </cell>
          <cell r="K1450">
            <v>12.11</v>
          </cell>
          <cell r="M1450">
            <v>39155</v>
          </cell>
          <cell r="N1450">
            <v>10.3</v>
          </cell>
          <cell r="P1450">
            <v>39195</v>
          </cell>
          <cell r="Q1450">
            <v>44.33</v>
          </cell>
        </row>
        <row r="1451">
          <cell r="D1451">
            <v>39192</v>
          </cell>
          <cell r="E1451">
            <v>16.57</v>
          </cell>
          <cell r="G1451">
            <v>39192</v>
          </cell>
          <cell r="H1451">
            <v>16.809999999999999</v>
          </cell>
          <cell r="J1451">
            <v>39190</v>
          </cell>
          <cell r="K1451">
            <v>12.4</v>
          </cell>
          <cell r="M1451">
            <v>39154</v>
          </cell>
          <cell r="N1451">
            <v>10.19</v>
          </cell>
          <cell r="P1451">
            <v>39192</v>
          </cell>
          <cell r="Q1451">
            <v>44.196669999999997</v>
          </cell>
        </row>
        <row r="1452">
          <cell r="D1452">
            <v>39191</v>
          </cell>
          <cell r="E1452">
            <v>16.37</v>
          </cell>
          <cell r="G1452">
            <v>39191</v>
          </cell>
          <cell r="H1452">
            <v>16.8</v>
          </cell>
          <cell r="J1452">
            <v>39189</v>
          </cell>
          <cell r="K1452">
            <v>12.68</v>
          </cell>
          <cell r="M1452">
            <v>39153</v>
          </cell>
          <cell r="N1452">
            <v>10.16</v>
          </cell>
          <cell r="P1452">
            <v>39191</v>
          </cell>
          <cell r="Q1452">
            <v>44.163330000000002</v>
          </cell>
        </row>
        <row r="1453">
          <cell r="D1453">
            <v>39190</v>
          </cell>
          <cell r="E1453">
            <v>16.600000000000001</v>
          </cell>
          <cell r="G1453">
            <v>39190</v>
          </cell>
          <cell r="H1453">
            <v>17.190000000000001</v>
          </cell>
          <cell r="J1453">
            <v>39188</v>
          </cell>
          <cell r="K1453">
            <v>13.03</v>
          </cell>
          <cell r="M1453">
            <v>39150</v>
          </cell>
          <cell r="N1453">
            <v>9.4</v>
          </cell>
          <cell r="P1453">
            <v>39190</v>
          </cell>
          <cell r="Q1453">
            <v>44.79</v>
          </cell>
        </row>
        <row r="1454">
          <cell r="D1454">
            <v>39189</v>
          </cell>
          <cell r="E1454">
            <v>16.77</v>
          </cell>
          <cell r="G1454">
            <v>39189</v>
          </cell>
          <cell r="H1454">
            <v>17.38</v>
          </cell>
          <cell r="J1454">
            <v>39185</v>
          </cell>
          <cell r="K1454">
            <v>13.5</v>
          </cell>
          <cell r="M1454">
            <v>39149</v>
          </cell>
          <cell r="N1454">
            <v>9.2899999999999991</v>
          </cell>
          <cell r="P1454">
            <v>39189</v>
          </cell>
          <cell r="Q1454">
            <v>43.75667</v>
          </cell>
        </row>
        <row r="1455">
          <cell r="D1455">
            <v>39188</v>
          </cell>
          <cell r="E1455">
            <v>16.73</v>
          </cell>
          <cell r="G1455">
            <v>39188</v>
          </cell>
          <cell r="H1455">
            <v>17.41</v>
          </cell>
          <cell r="J1455">
            <v>39184</v>
          </cell>
          <cell r="K1455">
            <v>12.32</v>
          </cell>
          <cell r="M1455">
            <v>39148</v>
          </cell>
          <cell r="N1455">
            <v>9.4499999999999993</v>
          </cell>
          <cell r="P1455">
            <v>39188</v>
          </cell>
          <cell r="Q1455">
            <v>44.183329999999998</v>
          </cell>
        </row>
        <row r="1456">
          <cell r="D1456">
            <v>39185</v>
          </cell>
          <cell r="E1456">
            <v>16.649999999999999</v>
          </cell>
          <cell r="G1456">
            <v>39185</v>
          </cell>
          <cell r="H1456">
            <v>17.43</v>
          </cell>
          <cell r="J1456">
            <v>39183</v>
          </cell>
          <cell r="K1456">
            <v>11.78</v>
          </cell>
          <cell r="M1456">
            <v>39147</v>
          </cell>
          <cell r="N1456">
            <v>9.4</v>
          </cell>
          <cell r="P1456">
            <v>39185</v>
          </cell>
          <cell r="Q1456">
            <v>44.246670000000002</v>
          </cell>
        </row>
        <row r="1457">
          <cell r="D1457">
            <v>39184</v>
          </cell>
          <cell r="E1457">
            <v>16.440000000000001</v>
          </cell>
          <cell r="G1457">
            <v>39184</v>
          </cell>
          <cell r="H1457">
            <v>17.03</v>
          </cell>
          <cell r="J1457">
            <v>39182</v>
          </cell>
          <cell r="K1457">
            <v>11.75</v>
          </cell>
          <cell r="M1457">
            <v>39146</v>
          </cell>
          <cell r="N1457">
            <v>9.3414000000000001</v>
          </cell>
          <cell r="P1457">
            <v>39184</v>
          </cell>
          <cell r="Q1457">
            <v>44.7</v>
          </cell>
        </row>
        <row r="1458">
          <cell r="D1458">
            <v>39183</v>
          </cell>
          <cell r="E1458">
            <v>16.23</v>
          </cell>
          <cell r="G1458">
            <v>39183</v>
          </cell>
          <cell r="H1458">
            <v>16.96</v>
          </cell>
          <cell r="J1458">
            <v>39181</v>
          </cell>
          <cell r="K1458">
            <v>11.81</v>
          </cell>
          <cell r="M1458">
            <v>39143</v>
          </cell>
          <cell r="N1458">
            <v>9.65</v>
          </cell>
          <cell r="P1458">
            <v>39183</v>
          </cell>
          <cell r="Q1458">
            <v>48.67333</v>
          </cell>
        </row>
        <row r="1459">
          <cell r="D1459">
            <v>39182</v>
          </cell>
          <cell r="E1459">
            <v>16.41</v>
          </cell>
          <cell r="G1459">
            <v>39182</v>
          </cell>
          <cell r="H1459">
            <v>16.87</v>
          </cell>
          <cell r="J1459">
            <v>39177</v>
          </cell>
          <cell r="K1459">
            <v>11.59</v>
          </cell>
          <cell r="M1459">
            <v>39142</v>
          </cell>
          <cell r="N1459">
            <v>9.48</v>
          </cell>
          <cell r="P1459">
            <v>39182</v>
          </cell>
          <cell r="Q1459">
            <v>49.436669999999999</v>
          </cell>
        </row>
        <row r="1460">
          <cell r="D1460">
            <v>39181</v>
          </cell>
          <cell r="E1460">
            <v>16.440000000000001</v>
          </cell>
          <cell r="G1460">
            <v>39181</v>
          </cell>
          <cell r="H1460">
            <v>16.82</v>
          </cell>
          <cell r="J1460">
            <v>39176</v>
          </cell>
          <cell r="K1460">
            <v>11.57</v>
          </cell>
          <cell r="M1460">
            <v>39141</v>
          </cell>
          <cell r="N1460">
            <v>9.8498999999999999</v>
          </cell>
          <cell r="P1460">
            <v>39181</v>
          </cell>
          <cell r="Q1460">
            <v>48.753329999999998</v>
          </cell>
        </row>
        <row r="1461">
          <cell r="D1461">
            <v>39177</v>
          </cell>
          <cell r="E1461">
            <v>16.54</v>
          </cell>
          <cell r="G1461">
            <v>39177</v>
          </cell>
          <cell r="H1461">
            <v>16.78</v>
          </cell>
          <cell r="J1461">
            <v>39175</v>
          </cell>
          <cell r="K1461">
            <v>11.69</v>
          </cell>
          <cell r="M1461">
            <v>39140</v>
          </cell>
          <cell r="N1461">
            <v>9.73</v>
          </cell>
          <cell r="P1461">
            <v>39177</v>
          </cell>
          <cell r="Q1461">
            <v>48.59</v>
          </cell>
        </row>
        <row r="1462">
          <cell r="D1462">
            <v>39176</v>
          </cell>
          <cell r="E1462">
            <v>16.79</v>
          </cell>
          <cell r="G1462">
            <v>39176</v>
          </cell>
          <cell r="H1462">
            <v>16.649999999999999</v>
          </cell>
          <cell r="J1462">
            <v>39174</v>
          </cell>
          <cell r="K1462">
            <v>11.61</v>
          </cell>
          <cell r="M1462">
            <v>39139</v>
          </cell>
          <cell r="N1462">
            <v>10.7</v>
          </cell>
          <cell r="P1462">
            <v>39176</v>
          </cell>
          <cell r="Q1462">
            <v>47.51</v>
          </cell>
        </row>
        <row r="1463">
          <cell r="D1463">
            <v>39175</v>
          </cell>
          <cell r="E1463">
            <v>15.98</v>
          </cell>
          <cell r="G1463">
            <v>39175</v>
          </cell>
          <cell r="H1463">
            <v>16.86</v>
          </cell>
          <cell r="J1463">
            <v>39171</v>
          </cell>
          <cell r="K1463">
            <v>12.03</v>
          </cell>
          <cell r="M1463">
            <v>39136</v>
          </cell>
          <cell r="N1463">
            <v>10.66</v>
          </cell>
          <cell r="P1463">
            <v>39175</v>
          </cell>
          <cell r="Q1463">
            <v>46.943330000000003</v>
          </cell>
        </row>
        <row r="1464">
          <cell r="D1464">
            <v>39174</v>
          </cell>
          <cell r="E1464">
            <v>15.75</v>
          </cell>
          <cell r="G1464">
            <v>39174</v>
          </cell>
          <cell r="H1464">
            <v>15.99</v>
          </cell>
          <cell r="J1464">
            <v>39170</v>
          </cell>
          <cell r="K1464">
            <v>12.31</v>
          </cell>
          <cell r="M1464">
            <v>39135</v>
          </cell>
          <cell r="N1464">
            <v>10.71</v>
          </cell>
          <cell r="P1464">
            <v>39174</v>
          </cell>
          <cell r="Q1464">
            <v>45.74333</v>
          </cell>
        </row>
        <row r="1465">
          <cell r="D1465">
            <v>39171</v>
          </cell>
          <cell r="E1465">
            <v>15.69</v>
          </cell>
          <cell r="G1465">
            <v>39171</v>
          </cell>
          <cell r="H1465">
            <v>16.04</v>
          </cell>
          <cell r="J1465">
            <v>39169</v>
          </cell>
          <cell r="K1465">
            <v>12.49</v>
          </cell>
          <cell r="M1465">
            <v>39134</v>
          </cell>
          <cell r="N1465">
            <v>10.5</v>
          </cell>
          <cell r="P1465">
            <v>39171</v>
          </cell>
          <cell r="Q1465">
            <v>45.496670000000002</v>
          </cell>
        </row>
        <row r="1466">
          <cell r="D1466">
            <v>39170</v>
          </cell>
          <cell r="E1466">
            <v>15.53</v>
          </cell>
          <cell r="G1466">
            <v>39170</v>
          </cell>
          <cell r="H1466">
            <v>16.13</v>
          </cell>
          <cell r="J1466">
            <v>39168</v>
          </cell>
          <cell r="K1466">
            <v>12.6</v>
          </cell>
          <cell r="M1466">
            <v>39133</v>
          </cell>
          <cell r="N1466">
            <v>10.83</v>
          </cell>
          <cell r="P1466">
            <v>39170</v>
          </cell>
          <cell r="Q1466">
            <v>45.283329999999999</v>
          </cell>
        </row>
        <row r="1467">
          <cell r="D1467">
            <v>39169</v>
          </cell>
          <cell r="E1467">
            <v>15.55</v>
          </cell>
          <cell r="G1467">
            <v>39169</v>
          </cell>
          <cell r="H1467">
            <v>16.53</v>
          </cell>
          <cell r="J1467">
            <v>39167</v>
          </cell>
          <cell r="K1467">
            <v>12.75</v>
          </cell>
          <cell r="M1467">
            <v>39129</v>
          </cell>
          <cell r="N1467">
            <v>10.83</v>
          </cell>
          <cell r="P1467">
            <v>39169</v>
          </cell>
          <cell r="Q1467">
            <v>45.303330000000003</v>
          </cell>
        </row>
        <row r="1468">
          <cell r="D1468">
            <v>39168</v>
          </cell>
          <cell r="E1468">
            <v>15.46</v>
          </cell>
          <cell r="G1468">
            <v>39168</v>
          </cell>
          <cell r="H1468">
            <v>17.04</v>
          </cell>
          <cell r="J1468">
            <v>39164</v>
          </cell>
          <cell r="K1468">
            <v>12.69</v>
          </cell>
          <cell r="M1468">
            <v>39128</v>
          </cell>
          <cell r="N1468">
            <v>10.64</v>
          </cell>
          <cell r="P1468">
            <v>39168</v>
          </cell>
          <cell r="Q1468">
            <v>45.886670000000002</v>
          </cell>
        </row>
        <row r="1469">
          <cell r="D1469">
            <v>39167</v>
          </cell>
          <cell r="E1469">
            <v>15.44</v>
          </cell>
          <cell r="G1469">
            <v>39167</v>
          </cell>
          <cell r="H1469">
            <v>17.03</v>
          </cell>
          <cell r="J1469">
            <v>39163</v>
          </cell>
          <cell r="K1469">
            <v>12.62</v>
          </cell>
          <cell r="M1469">
            <v>39127</v>
          </cell>
          <cell r="N1469">
            <v>10.866</v>
          </cell>
          <cell r="P1469">
            <v>39167</v>
          </cell>
          <cell r="Q1469">
            <v>46.32667</v>
          </cell>
        </row>
        <row r="1470">
          <cell r="D1470">
            <v>39164</v>
          </cell>
          <cell r="E1470">
            <v>14.69</v>
          </cell>
          <cell r="G1470">
            <v>39164</v>
          </cell>
          <cell r="H1470">
            <v>15.18</v>
          </cell>
          <cell r="J1470">
            <v>39162</v>
          </cell>
          <cell r="K1470">
            <v>12.53</v>
          </cell>
          <cell r="M1470">
            <v>39126</v>
          </cell>
          <cell r="N1470">
            <v>10.9</v>
          </cell>
          <cell r="P1470">
            <v>39164</v>
          </cell>
          <cell r="Q1470">
            <v>45.75667</v>
          </cell>
        </row>
        <row r="1471">
          <cell r="D1471">
            <v>39163</v>
          </cell>
          <cell r="E1471">
            <v>14.18</v>
          </cell>
          <cell r="G1471">
            <v>39163</v>
          </cell>
          <cell r="H1471">
            <v>15.24</v>
          </cell>
          <cell r="J1471">
            <v>39161</v>
          </cell>
          <cell r="K1471">
            <v>12.08</v>
          </cell>
          <cell r="M1471">
            <v>39125</v>
          </cell>
          <cell r="N1471">
            <v>10.95</v>
          </cell>
          <cell r="P1471">
            <v>39163</v>
          </cell>
          <cell r="Q1471">
            <v>45.513330000000003</v>
          </cell>
        </row>
        <row r="1472">
          <cell r="D1472">
            <v>39162</v>
          </cell>
          <cell r="E1472">
            <v>13.97</v>
          </cell>
          <cell r="G1472">
            <v>39162</v>
          </cell>
          <cell r="H1472">
            <v>14.96</v>
          </cell>
          <cell r="J1472">
            <v>39160</v>
          </cell>
          <cell r="K1472">
            <v>12.04</v>
          </cell>
          <cell r="M1472">
            <v>39122</v>
          </cell>
          <cell r="N1472">
            <v>11.059900000000001</v>
          </cell>
          <cell r="P1472">
            <v>39162</v>
          </cell>
          <cell r="Q1472">
            <v>44.966670000000001</v>
          </cell>
        </row>
        <row r="1473">
          <cell r="D1473">
            <v>39161</v>
          </cell>
          <cell r="E1473">
            <v>13.77</v>
          </cell>
          <cell r="G1473">
            <v>39161</v>
          </cell>
          <cell r="H1473">
            <v>14.99</v>
          </cell>
          <cell r="J1473">
            <v>39157</v>
          </cell>
          <cell r="K1473">
            <v>12.03</v>
          </cell>
          <cell r="M1473">
            <v>39121</v>
          </cell>
          <cell r="N1473">
            <v>11</v>
          </cell>
          <cell r="P1473">
            <v>39161</v>
          </cell>
          <cell r="Q1473">
            <v>43.876669999999997</v>
          </cell>
        </row>
        <row r="1474">
          <cell r="D1474">
            <v>39160</v>
          </cell>
          <cell r="E1474">
            <v>13.81</v>
          </cell>
          <cell r="G1474">
            <v>39160</v>
          </cell>
          <cell r="H1474">
            <v>14.61</v>
          </cell>
          <cell r="J1474">
            <v>39156</v>
          </cell>
          <cell r="K1474">
            <v>12</v>
          </cell>
          <cell r="M1474">
            <v>39120</v>
          </cell>
          <cell r="N1474">
            <v>10.95</v>
          </cell>
          <cell r="P1474">
            <v>39160</v>
          </cell>
          <cell r="Q1474">
            <v>44.4</v>
          </cell>
        </row>
        <row r="1475">
          <cell r="D1475">
            <v>39157</v>
          </cell>
          <cell r="E1475">
            <v>13.64</v>
          </cell>
          <cell r="G1475">
            <v>39157</v>
          </cell>
          <cell r="H1475">
            <v>14.74</v>
          </cell>
          <cell r="J1475">
            <v>39155</v>
          </cell>
          <cell r="K1475">
            <v>12.13</v>
          </cell>
          <cell r="M1475">
            <v>39119</v>
          </cell>
          <cell r="N1475">
            <v>10.91</v>
          </cell>
          <cell r="P1475">
            <v>39157</v>
          </cell>
          <cell r="Q1475">
            <v>44.83</v>
          </cell>
        </row>
        <row r="1476">
          <cell r="D1476">
            <v>39156</v>
          </cell>
          <cell r="E1476">
            <v>13.86</v>
          </cell>
          <cell r="G1476">
            <v>39156</v>
          </cell>
          <cell r="H1476">
            <v>14.58</v>
          </cell>
          <cell r="J1476">
            <v>39154</v>
          </cell>
          <cell r="K1476">
            <v>12.25</v>
          </cell>
          <cell r="M1476">
            <v>39118</v>
          </cell>
          <cell r="N1476">
            <v>10.91</v>
          </cell>
          <cell r="P1476">
            <v>39156</v>
          </cell>
          <cell r="Q1476">
            <v>45.00667</v>
          </cell>
        </row>
        <row r="1477">
          <cell r="D1477">
            <v>39155</v>
          </cell>
          <cell r="E1477">
            <v>13.7</v>
          </cell>
          <cell r="G1477">
            <v>39155</v>
          </cell>
          <cell r="H1477">
            <v>14.57</v>
          </cell>
          <cell r="J1477">
            <v>39153</v>
          </cell>
          <cell r="K1477">
            <v>12.82</v>
          </cell>
          <cell r="M1477">
            <v>39115</v>
          </cell>
          <cell r="N1477">
            <v>11</v>
          </cell>
          <cell r="P1477">
            <v>39155</v>
          </cell>
          <cell r="Q1477">
            <v>45.246670000000002</v>
          </cell>
        </row>
        <row r="1478">
          <cell r="D1478">
            <v>39154</v>
          </cell>
          <cell r="E1478">
            <v>13.36</v>
          </cell>
          <cell r="G1478">
            <v>39154</v>
          </cell>
          <cell r="H1478">
            <v>14.09</v>
          </cell>
          <cell r="J1478">
            <v>39150</v>
          </cell>
          <cell r="K1478">
            <v>13.05</v>
          </cell>
          <cell r="M1478">
            <v>39114</v>
          </cell>
          <cell r="N1478">
            <v>11.08</v>
          </cell>
          <cell r="P1478">
            <v>39154</v>
          </cell>
          <cell r="Q1478">
            <v>44.426670000000001</v>
          </cell>
        </row>
        <row r="1479">
          <cell r="D1479">
            <v>39153</v>
          </cell>
          <cell r="E1479">
            <v>13.64</v>
          </cell>
          <cell r="G1479">
            <v>39153</v>
          </cell>
          <cell r="H1479">
            <v>14.12</v>
          </cell>
          <cell r="J1479">
            <v>39149</v>
          </cell>
          <cell r="K1479">
            <v>13.27</v>
          </cell>
          <cell r="M1479">
            <v>39113</v>
          </cell>
          <cell r="N1479">
            <v>11.64</v>
          </cell>
          <cell r="P1479">
            <v>39153</v>
          </cell>
          <cell r="Q1479">
            <v>45.623330000000003</v>
          </cell>
        </row>
        <row r="1480">
          <cell r="D1480">
            <v>39150</v>
          </cell>
          <cell r="E1480">
            <v>13.92</v>
          </cell>
          <cell r="G1480">
            <v>39150</v>
          </cell>
          <cell r="H1480">
            <v>14.08</v>
          </cell>
          <cell r="J1480">
            <v>39148</v>
          </cell>
          <cell r="K1480">
            <v>13.45</v>
          </cell>
          <cell r="M1480">
            <v>39112</v>
          </cell>
          <cell r="N1480">
            <v>11.38</v>
          </cell>
          <cell r="P1480">
            <v>39150</v>
          </cell>
          <cell r="Q1480">
            <v>44.843330000000002</v>
          </cell>
        </row>
        <row r="1481">
          <cell r="D1481">
            <v>39149</v>
          </cell>
          <cell r="E1481">
            <v>13.76</v>
          </cell>
          <cell r="G1481">
            <v>39149</v>
          </cell>
          <cell r="H1481">
            <v>14.19</v>
          </cell>
          <cell r="J1481">
            <v>39147</v>
          </cell>
          <cell r="K1481">
            <v>13.9</v>
          </cell>
          <cell r="M1481">
            <v>39111</v>
          </cell>
          <cell r="N1481">
            <v>11.38</v>
          </cell>
          <cell r="P1481">
            <v>39149</v>
          </cell>
          <cell r="Q1481">
            <v>45.523330000000001</v>
          </cell>
        </row>
        <row r="1482">
          <cell r="D1482">
            <v>39148</v>
          </cell>
          <cell r="E1482">
            <v>13.91</v>
          </cell>
          <cell r="G1482">
            <v>39148</v>
          </cell>
          <cell r="H1482">
            <v>13.97</v>
          </cell>
          <cell r="J1482">
            <v>39146</v>
          </cell>
          <cell r="K1482">
            <v>13.85</v>
          </cell>
          <cell r="M1482">
            <v>39108</v>
          </cell>
          <cell r="N1482">
            <v>10.56</v>
          </cell>
          <cell r="P1482">
            <v>39148</v>
          </cell>
          <cell r="Q1482">
            <v>45.046669999999999</v>
          </cell>
        </row>
        <row r="1483">
          <cell r="D1483">
            <v>39147</v>
          </cell>
          <cell r="E1483">
            <v>13.445</v>
          </cell>
          <cell r="G1483">
            <v>39147</v>
          </cell>
          <cell r="H1483">
            <v>13.97</v>
          </cell>
          <cell r="J1483">
            <v>39143</v>
          </cell>
          <cell r="K1483">
            <v>14.52</v>
          </cell>
          <cell r="M1483">
            <v>39107</v>
          </cell>
          <cell r="N1483">
            <v>10.79</v>
          </cell>
          <cell r="P1483">
            <v>39147</v>
          </cell>
          <cell r="Q1483">
            <v>45.2</v>
          </cell>
        </row>
        <row r="1484">
          <cell r="D1484">
            <v>39146</v>
          </cell>
          <cell r="E1484">
            <v>12.9</v>
          </cell>
          <cell r="G1484">
            <v>39146</v>
          </cell>
          <cell r="H1484">
            <v>13.33</v>
          </cell>
          <cell r="J1484">
            <v>39142</v>
          </cell>
          <cell r="K1484">
            <v>14.8</v>
          </cell>
          <cell r="M1484">
            <v>39106</v>
          </cell>
          <cell r="N1484">
            <v>10.77</v>
          </cell>
          <cell r="P1484">
            <v>39146</v>
          </cell>
          <cell r="Q1484">
            <v>44.841329999999999</v>
          </cell>
        </row>
        <row r="1485">
          <cell r="D1485">
            <v>39143</v>
          </cell>
          <cell r="E1485">
            <v>13.15</v>
          </cell>
          <cell r="G1485">
            <v>39143</v>
          </cell>
          <cell r="H1485">
            <v>13.33</v>
          </cell>
          <cell r="J1485">
            <v>39141</v>
          </cell>
          <cell r="K1485">
            <v>15.14</v>
          </cell>
          <cell r="M1485">
            <v>39105</v>
          </cell>
          <cell r="N1485">
            <v>10.7</v>
          </cell>
          <cell r="P1485">
            <v>39143</v>
          </cell>
          <cell r="Q1485">
            <v>45.323329999999999</v>
          </cell>
        </row>
        <row r="1486">
          <cell r="D1486">
            <v>39142</v>
          </cell>
          <cell r="E1486">
            <v>13.26</v>
          </cell>
          <cell r="G1486">
            <v>39142</v>
          </cell>
          <cell r="H1486">
            <v>13.18</v>
          </cell>
          <cell r="J1486">
            <v>39140</v>
          </cell>
          <cell r="K1486">
            <v>15.43</v>
          </cell>
          <cell r="M1486">
            <v>39104</v>
          </cell>
          <cell r="N1486">
            <v>10.59</v>
          </cell>
          <cell r="P1486">
            <v>39142</v>
          </cell>
          <cell r="Q1486">
            <v>46.97</v>
          </cell>
        </row>
        <row r="1487">
          <cell r="D1487">
            <v>39141</v>
          </cell>
          <cell r="E1487">
            <v>13.59</v>
          </cell>
          <cell r="G1487">
            <v>39141</v>
          </cell>
          <cell r="H1487">
            <v>13.21</v>
          </cell>
          <cell r="J1487">
            <v>39139</v>
          </cell>
          <cell r="K1487">
            <v>16.260000000000002</v>
          </cell>
          <cell r="M1487">
            <v>39101</v>
          </cell>
          <cell r="N1487">
            <v>10.62</v>
          </cell>
          <cell r="P1487">
            <v>39141</v>
          </cell>
          <cell r="Q1487">
            <v>46.87</v>
          </cell>
        </row>
        <row r="1488">
          <cell r="D1488">
            <v>39140</v>
          </cell>
          <cell r="E1488">
            <v>13.56</v>
          </cell>
          <cell r="G1488">
            <v>39140</v>
          </cell>
          <cell r="H1488">
            <v>12.76</v>
          </cell>
          <cell r="J1488">
            <v>39136</v>
          </cell>
          <cell r="K1488">
            <v>16.22</v>
          </cell>
          <cell r="M1488">
            <v>39100</v>
          </cell>
          <cell r="N1488">
            <v>10.49</v>
          </cell>
          <cell r="P1488">
            <v>39140</v>
          </cell>
          <cell r="Q1488">
            <v>46.233330000000002</v>
          </cell>
        </row>
        <row r="1489">
          <cell r="D1489">
            <v>39139</v>
          </cell>
          <cell r="E1489">
            <v>14.27</v>
          </cell>
          <cell r="G1489">
            <v>39139</v>
          </cell>
          <cell r="H1489">
            <v>12.99</v>
          </cell>
          <cell r="J1489">
            <v>39135</v>
          </cell>
          <cell r="K1489">
            <v>16.350000000000001</v>
          </cell>
          <cell r="M1489">
            <v>39099</v>
          </cell>
          <cell r="N1489">
            <v>10.95</v>
          </cell>
          <cell r="P1489">
            <v>39139</v>
          </cell>
          <cell r="Q1489">
            <v>48.92333</v>
          </cell>
        </row>
        <row r="1490">
          <cell r="D1490">
            <v>39136</v>
          </cell>
          <cell r="E1490">
            <v>14.32</v>
          </cell>
          <cell r="G1490">
            <v>39136</v>
          </cell>
          <cell r="H1490">
            <v>12.96</v>
          </cell>
          <cell r="J1490">
            <v>39134</v>
          </cell>
          <cell r="K1490">
            <v>16.579999999999998</v>
          </cell>
          <cell r="M1490">
            <v>39098</v>
          </cell>
          <cell r="N1490">
            <v>10.99</v>
          </cell>
          <cell r="P1490">
            <v>39136</v>
          </cell>
          <cell r="Q1490">
            <v>46.666670000000003</v>
          </cell>
        </row>
        <row r="1491">
          <cell r="D1491">
            <v>39135</v>
          </cell>
          <cell r="E1491">
            <v>14.49</v>
          </cell>
          <cell r="G1491">
            <v>39135</v>
          </cell>
          <cell r="H1491">
            <v>12.75</v>
          </cell>
          <cell r="J1491">
            <v>39133</v>
          </cell>
          <cell r="K1491">
            <v>16</v>
          </cell>
          <cell r="M1491">
            <v>39094</v>
          </cell>
          <cell r="N1491">
            <v>10.49</v>
          </cell>
          <cell r="P1491">
            <v>39135</v>
          </cell>
          <cell r="Q1491">
            <v>46.766669999999998</v>
          </cell>
        </row>
        <row r="1492">
          <cell r="D1492">
            <v>39134</v>
          </cell>
          <cell r="E1492">
            <v>14.6</v>
          </cell>
          <cell r="G1492">
            <v>39134</v>
          </cell>
          <cell r="H1492">
            <v>12.56</v>
          </cell>
          <cell r="J1492">
            <v>39129</v>
          </cell>
          <cell r="K1492">
            <v>16.23</v>
          </cell>
          <cell r="M1492">
            <v>39093</v>
          </cell>
          <cell r="N1492">
            <v>9.9</v>
          </cell>
          <cell r="P1492">
            <v>39134</v>
          </cell>
          <cell r="Q1492">
            <v>47.32667</v>
          </cell>
        </row>
        <row r="1493">
          <cell r="D1493">
            <v>39133</v>
          </cell>
          <cell r="E1493">
            <v>14.64</v>
          </cell>
          <cell r="G1493">
            <v>39133</v>
          </cell>
          <cell r="H1493">
            <v>12.6</v>
          </cell>
          <cell r="J1493">
            <v>39128</v>
          </cell>
          <cell r="K1493">
            <v>15.69</v>
          </cell>
          <cell r="M1493">
            <v>39092</v>
          </cell>
          <cell r="N1493">
            <v>9.7799999999999994</v>
          </cell>
          <cell r="P1493">
            <v>39133</v>
          </cell>
          <cell r="Q1493">
            <v>47.206670000000003</v>
          </cell>
        </row>
        <row r="1494">
          <cell r="D1494">
            <v>39129</v>
          </cell>
          <cell r="E1494">
            <v>15.01</v>
          </cell>
          <cell r="G1494">
            <v>39129</v>
          </cell>
          <cell r="H1494">
            <v>12.64</v>
          </cell>
          <cell r="J1494">
            <v>39127</v>
          </cell>
          <cell r="K1494">
            <v>15.46</v>
          </cell>
          <cell r="M1494">
            <v>39091</v>
          </cell>
          <cell r="N1494">
            <v>9.65</v>
          </cell>
          <cell r="P1494">
            <v>39129</v>
          </cell>
          <cell r="Q1494">
            <v>46.273330000000001</v>
          </cell>
        </row>
        <row r="1495">
          <cell r="D1495">
            <v>39128</v>
          </cell>
          <cell r="E1495">
            <v>14.96</v>
          </cell>
          <cell r="G1495">
            <v>39128</v>
          </cell>
          <cell r="H1495">
            <v>12.29</v>
          </cell>
          <cell r="J1495">
            <v>39126</v>
          </cell>
          <cell r="K1495">
            <v>16.239999999999998</v>
          </cell>
          <cell r="M1495">
            <v>39090</v>
          </cell>
          <cell r="N1495">
            <v>9.4</v>
          </cell>
          <cell r="P1495">
            <v>39128</v>
          </cell>
          <cell r="Q1495">
            <v>45.046669999999999</v>
          </cell>
        </row>
        <row r="1496">
          <cell r="D1496">
            <v>39127</v>
          </cell>
          <cell r="E1496">
            <v>14.8</v>
          </cell>
          <cell r="G1496">
            <v>39127</v>
          </cell>
          <cell r="H1496">
            <v>12.4</v>
          </cell>
          <cell r="J1496">
            <v>39125</v>
          </cell>
          <cell r="K1496">
            <v>16.350000000000001</v>
          </cell>
          <cell r="M1496">
            <v>39087</v>
          </cell>
          <cell r="N1496">
            <v>9.27</v>
          </cell>
          <cell r="P1496">
            <v>39127</v>
          </cell>
          <cell r="Q1496">
            <v>45.863329999999998</v>
          </cell>
        </row>
        <row r="1497">
          <cell r="D1497">
            <v>39126</v>
          </cell>
          <cell r="E1497">
            <v>13.83</v>
          </cell>
          <cell r="G1497">
            <v>39126</v>
          </cell>
          <cell r="H1497">
            <v>11.76</v>
          </cell>
          <cell r="J1497">
            <v>39122</v>
          </cell>
          <cell r="K1497">
            <v>15.96</v>
          </cell>
          <cell r="M1497">
            <v>39086</v>
          </cell>
          <cell r="N1497">
            <v>9.41</v>
          </cell>
          <cell r="P1497">
            <v>39126</v>
          </cell>
          <cell r="Q1497">
            <v>44.64667</v>
          </cell>
        </row>
        <row r="1498">
          <cell r="D1498">
            <v>39125</v>
          </cell>
          <cell r="E1498">
            <v>14.06</v>
          </cell>
          <cell r="G1498">
            <v>39125</v>
          </cell>
          <cell r="H1498">
            <v>11.77</v>
          </cell>
          <cell r="J1498">
            <v>39121</v>
          </cell>
          <cell r="K1498">
            <v>16.48</v>
          </cell>
          <cell r="M1498">
            <v>39085</v>
          </cell>
          <cell r="N1498">
            <v>9.59</v>
          </cell>
          <cell r="P1498">
            <v>39125</v>
          </cell>
          <cell r="Q1498">
            <v>44.643329999999999</v>
          </cell>
        </row>
        <row r="1499">
          <cell r="D1499">
            <v>39122</v>
          </cell>
          <cell r="E1499">
            <v>14.33</v>
          </cell>
          <cell r="G1499">
            <v>39122</v>
          </cell>
          <cell r="H1499">
            <v>12.04</v>
          </cell>
          <cell r="J1499">
            <v>39120</v>
          </cell>
          <cell r="K1499">
            <v>16.25</v>
          </cell>
          <cell r="M1499">
            <v>39080</v>
          </cell>
          <cell r="N1499">
            <v>9.42</v>
          </cell>
          <cell r="P1499">
            <v>39122</v>
          </cell>
          <cell r="Q1499">
            <v>44.736669999999997</v>
          </cell>
        </row>
        <row r="1500">
          <cell r="D1500">
            <v>39121</v>
          </cell>
          <cell r="E1500">
            <v>14.33</v>
          </cell>
          <cell r="G1500">
            <v>39121</v>
          </cell>
          <cell r="H1500">
            <v>12.09</v>
          </cell>
          <cell r="J1500">
            <v>39119</v>
          </cell>
          <cell r="K1500">
            <v>15.72</v>
          </cell>
          <cell r="M1500">
            <v>39079</v>
          </cell>
          <cell r="N1500">
            <v>9.2550000000000008</v>
          </cell>
          <cell r="P1500">
            <v>39121</v>
          </cell>
          <cell r="Q1500">
            <v>46.133330000000001</v>
          </cell>
        </row>
        <row r="1501">
          <cell r="D1501">
            <v>39120</v>
          </cell>
          <cell r="E1501">
            <v>14.45</v>
          </cell>
          <cell r="G1501">
            <v>39120</v>
          </cell>
          <cell r="H1501">
            <v>12.1</v>
          </cell>
          <cell r="J1501">
            <v>39118</v>
          </cell>
          <cell r="K1501">
            <v>15.44</v>
          </cell>
          <cell r="M1501">
            <v>39078</v>
          </cell>
          <cell r="N1501">
            <v>9.4600000000000009</v>
          </cell>
          <cell r="P1501">
            <v>39120</v>
          </cell>
          <cell r="Q1501">
            <v>45.563330000000001</v>
          </cell>
        </row>
        <row r="1502">
          <cell r="D1502">
            <v>39119</v>
          </cell>
          <cell r="E1502">
            <v>14.605</v>
          </cell>
          <cell r="G1502">
            <v>39119</v>
          </cell>
          <cell r="H1502">
            <v>12.03</v>
          </cell>
          <cell r="J1502">
            <v>39115</v>
          </cell>
          <cell r="K1502">
            <v>15.53</v>
          </cell>
          <cell r="M1502">
            <v>39077</v>
          </cell>
          <cell r="N1502">
            <v>9.18</v>
          </cell>
          <cell r="P1502">
            <v>39119</v>
          </cell>
          <cell r="Q1502">
            <v>45.866669999999999</v>
          </cell>
        </row>
        <row r="1503">
          <cell r="D1503">
            <v>39118</v>
          </cell>
          <cell r="E1503">
            <v>14.35</v>
          </cell>
          <cell r="G1503">
            <v>39118</v>
          </cell>
          <cell r="H1503">
            <v>12.52</v>
          </cell>
          <cell r="J1503">
            <v>39114</v>
          </cell>
          <cell r="K1503">
            <v>15.64</v>
          </cell>
          <cell r="M1503">
            <v>39072</v>
          </cell>
          <cell r="N1503">
            <v>9.41</v>
          </cell>
          <cell r="P1503">
            <v>39118</v>
          </cell>
          <cell r="Q1503">
            <v>45.60333</v>
          </cell>
        </row>
        <row r="1504">
          <cell r="D1504">
            <v>39115</v>
          </cell>
          <cell r="E1504">
            <v>14.4</v>
          </cell>
          <cell r="G1504">
            <v>39115</v>
          </cell>
          <cell r="H1504">
            <v>11.25</v>
          </cell>
          <cell r="J1504">
            <v>39113</v>
          </cell>
          <cell r="K1504">
            <v>15.35</v>
          </cell>
          <cell r="M1504">
            <v>39071</v>
          </cell>
          <cell r="N1504">
            <v>9.49</v>
          </cell>
          <cell r="P1504">
            <v>39115</v>
          </cell>
          <cell r="Q1504">
            <v>44.273330000000001</v>
          </cell>
        </row>
        <row r="1505">
          <cell r="D1505">
            <v>39114</v>
          </cell>
          <cell r="E1505">
            <v>14.72</v>
          </cell>
          <cell r="G1505">
            <v>39114</v>
          </cell>
          <cell r="H1505">
            <v>11.54</v>
          </cell>
          <cell r="J1505">
            <v>39112</v>
          </cell>
          <cell r="K1505">
            <v>15.73</v>
          </cell>
          <cell r="M1505">
            <v>39070</v>
          </cell>
          <cell r="N1505">
            <v>9.42</v>
          </cell>
          <cell r="P1505">
            <v>39114</v>
          </cell>
          <cell r="Q1505">
            <v>42.46</v>
          </cell>
        </row>
        <row r="1506">
          <cell r="D1506">
            <v>39113</v>
          </cell>
          <cell r="E1506">
            <v>14.44</v>
          </cell>
          <cell r="G1506">
            <v>39113</v>
          </cell>
          <cell r="H1506">
            <v>11.29</v>
          </cell>
          <cell r="J1506">
            <v>39111</v>
          </cell>
          <cell r="K1506">
            <v>15.65</v>
          </cell>
          <cell r="M1506">
            <v>39069</v>
          </cell>
          <cell r="N1506">
            <v>9.5399999999999991</v>
          </cell>
          <cell r="P1506">
            <v>39113</v>
          </cell>
          <cell r="Q1506">
            <v>42.593330000000002</v>
          </cell>
        </row>
        <row r="1507">
          <cell r="D1507">
            <v>39112</v>
          </cell>
          <cell r="E1507">
            <v>14.6</v>
          </cell>
          <cell r="G1507">
            <v>39112</v>
          </cell>
          <cell r="H1507">
            <v>11.42</v>
          </cell>
          <cell r="J1507">
            <v>39108</v>
          </cell>
          <cell r="K1507">
            <v>15.56</v>
          </cell>
          <cell r="M1507">
            <v>39066</v>
          </cell>
          <cell r="N1507">
            <v>9.6</v>
          </cell>
          <cell r="P1507">
            <v>39112</v>
          </cell>
          <cell r="Q1507">
            <v>41.163330000000002</v>
          </cell>
        </row>
        <row r="1508">
          <cell r="D1508">
            <v>39111</v>
          </cell>
          <cell r="E1508">
            <v>15.02</v>
          </cell>
          <cell r="G1508">
            <v>39111</v>
          </cell>
          <cell r="H1508">
            <v>11.32</v>
          </cell>
          <cell r="J1508">
            <v>39107</v>
          </cell>
          <cell r="K1508">
            <v>15.38</v>
          </cell>
          <cell r="M1508">
            <v>39065</v>
          </cell>
          <cell r="N1508">
            <v>9.35</v>
          </cell>
          <cell r="P1508">
            <v>39111</v>
          </cell>
          <cell r="Q1508">
            <v>41.543329999999997</v>
          </cell>
        </row>
        <row r="1509">
          <cell r="D1509">
            <v>39108</v>
          </cell>
          <cell r="E1509">
            <v>14.68</v>
          </cell>
          <cell r="G1509">
            <v>39108</v>
          </cell>
          <cell r="H1509">
            <v>11</v>
          </cell>
          <cell r="J1509">
            <v>39106</v>
          </cell>
          <cell r="K1509">
            <v>16.059999999999999</v>
          </cell>
          <cell r="M1509">
            <v>39064</v>
          </cell>
          <cell r="N1509">
            <v>9.3800000000000008</v>
          </cell>
          <cell r="P1509">
            <v>39108</v>
          </cell>
          <cell r="Q1509">
            <v>41.786670000000001</v>
          </cell>
        </row>
        <row r="1510">
          <cell r="D1510">
            <v>39107</v>
          </cell>
          <cell r="E1510">
            <v>14.94</v>
          </cell>
          <cell r="G1510">
            <v>39107</v>
          </cell>
          <cell r="H1510">
            <v>10.94</v>
          </cell>
          <cell r="J1510">
            <v>39105</v>
          </cell>
          <cell r="K1510">
            <v>16.12</v>
          </cell>
          <cell r="M1510">
            <v>39063</v>
          </cell>
          <cell r="N1510">
            <v>9.43</v>
          </cell>
          <cell r="P1510">
            <v>39107</v>
          </cell>
          <cell r="Q1510">
            <v>42.346670000000003</v>
          </cell>
        </row>
        <row r="1511">
          <cell r="D1511">
            <v>39106</v>
          </cell>
          <cell r="E1511">
            <v>15.05</v>
          </cell>
          <cell r="G1511">
            <v>39106</v>
          </cell>
          <cell r="H1511">
            <v>11.29</v>
          </cell>
          <cell r="J1511">
            <v>39104</v>
          </cell>
          <cell r="K1511">
            <v>15.68</v>
          </cell>
          <cell r="M1511">
            <v>39062</v>
          </cell>
          <cell r="N1511">
            <v>9.3679000000000006</v>
          </cell>
          <cell r="P1511">
            <v>39106</v>
          </cell>
          <cell r="Q1511">
            <v>42.57667</v>
          </cell>
        </row>
        <row r="1512">
          <cell r="D1512">
            <v>39105</v>
          </cell>
          <cell r="E1512">
            <v>14.9</v>
          </cell>
          <cell r="G1512">
            <v>39105</v>
          </cell>
          <cell r="H1512">
            <v>11.13</v>
          </cell>
          <cell r="J1512">
            <v>39101</v>
          </cell>
          <cell r="K1512">
            <v>15.49</v>
          </cell>
          <cell r="M1512">
            <v>39059</v>
          </cell>
          <cell r="N1512">
            <v>9.25</v>
          </cell>
          <cell r="P1512">
            <v>39105</v>
          </cell>
          <cell r="Q1512">
            <v>42.25</v>
          </cell>
        </row>
        <row r="1513">
          <cell r="D1513">
            <v>39104</v>
          </cell>
          <cell r="E1513">
            <v>14.64</v>
          </cell>
          <cell r="G1513">
            <v>39104</v>
          </cell>
          <cell r="H1513">
            <v>10.76</v>
          </cell>
          <cell r="J1513">
            <v>39100</v>
          </cell>
          <cell r="K1513">
            <v>15.18</v>
          </cell>
          <cell r="M1513">
            <v>39058</v>
          </cell>
          <cell r="N1513">
            <v>9.25</v>
          </cell>
          <cell r="P1513">
            <v>39104</v>
          </cell>
          <cell r="Q1513">
            <v>40.4</v>
          </cell>
        </row>
        <row r="1514">
          <cell r="D1514">
            <v>39101</v>
          </cell>
          <cell r="E1514">
            <v>14.22</v>
          </cell>
          <cell r="G1514">
            <v>39101</v>
          </cell>
          <cell r="H1514">
            <v>10.84</v>
          </cell>
          <cell r="J1514">
            <v>39099</v>
          </cell>
          <cell r="K1514">
            <v>15.71</v>
          </cell>
          <cell r="M1514">
            <v>39057</v>
          </cell>
          <cell r="N1514">
            <v>9.02</v>
          </cell>
          <cell r="P1514">
            <v>39101</v>
          </cell>
          <cell r="Q1514">
            <v>41.45</v>
          </cell>
        </row>
        <row r="1515">
          <cell r="D1515">
            <v>39100</v>
          </cell>
          <cell r="E1515">
            <v>13.87</v>
          </cell>
          <cell r="G1515">
            <v>39100</v>
          </cell>
          <cell r="H1515">
            <v>10.63</v>
          </cell>
          <cell r="J1515">
            <v>39098</v>
          </cell>
          <cell r="K1515">
            <v>15.83</v>
          </cell>
          <cell r="M1515">
            <v>39056</v>
          </cell>
          <cell r="N1515">
            <v>9.02</v>
          </cell>
          <cell r="P1515">
            <v>39100</v>
          </cell>
          <cell r="Q1515">
            <v>40.58</v>
          </cell>
        </row>
        <row r="1516">
          <cell r="D1516">
            <v>39099</v>
          </cell>
          <cell r="E1516">
            <v>14.34</v>
          </cell>
          <cell r="G1516">
            <v>39099</v>
          </cell>
          <cell r="H1516">
            <v>10.8</v>
          </cell>
          <cell r="J1516">
            <v>39094</v>
          </cell>
          <cell r="K1516">
            <v>15.99</v>
          </cell>
          <cell r="M1516">
            <v>39055</v>
          </cell>
          <cell r="N1516">
            <v>9.02</v>
          </cell>
          <cell r="P1516">
            <v>39099</v>
          </cell>
          <cell r="Q1516">
            <v>42.706670000000003</v>
          </cell>
        </row>
        <row r="1517">
          <cell r="D1517">
            <v>39098</v>
          </cell>
          <cell r="E1517">
            <v>14.45</v>
          </cell>
          <cell r="G1517">
            <v>39098</v>
          </cell>
          <cell r="H1517">
            <v>10.73</v>
          </cell>
          <cell r="J1517">
            <v>39093</v>
          </cell>
          <cell r="K1517">
            <v>16.899999999999999</v>
          </cell>
          <cell r="M1517">
            <v>39052</v>
          </cell>
          <cell r="N1517">
            <v>9.08</v>
          </cell>
          <cell r="P1517">
            <v>39098</v>
          </cell>
          <cell r="Q1517">
            <v>42.57</v>
          </cell>
        </row>
        <row r="1518">
          <cell r="D1518">
            <v>39094</v>
          </cell>
          <cell r="E1518">
            <v>14.55</v>
          </cell>
          <cell r="G1518">
            <v>39094</v>
          </cell>
          <cell r="H1518">
            <v>10.82</v>
          </cell>
          <cell r="J1518">
            <v>39092</v>
          </cell>
          <cell r="K1518">
            <v>16.84</v>
          </cell>
          <cell r="M1518">
            <v>39051</v>
          </cell>
          <cell r="N1518">
            <v>9.1</v>
          </cell>
          <cell r="P1518">
            <v>39094</v>
          </cell>
          <cell r="Q1518">
            <v>44.306669999999997</v>
          </cell>
        </row>
        <row r="1519">
          <cell r="D1519">
            <v>39093</v>
          </cell>
          <cell r="E1519">
            <v>14.18</v>
          </cell>
          <cell r="G1519">
            <v>39093</v>
          </cell>
          <cell r="H1519">
            <v>10.81</v>
          </cell>
          <cell r="J1519">
            <v>39091</v>
          </cell>
          <cell r="K1519">
            <v>17.170000000000002</v>
          </cell>
          <cell r="M1519">
            <v>39050</v>
          </cell>
          <cell r="N1519">
            <v>9.1199999999999992</v>
          </cell>
          <cell r="P1519">
            <v>39093</v>
          </cell>
          <cell r="Q1519">
            <v>44.65</v>
          </cell>
        </row>
        <row r="1520">
          <cell r="D1520">
            <v>39092</v>
          </cell>
          <cell r="E1520">
            <v>13.37</v>
          </cell>
          <cell r="G1520">
            <v>39092</v>
          </cell>
          <cell r="H1520">
            <v>10.76</v>
          </cell>
          <cell r="J1520">
            <v>39090</v>
          </cell>
          <cell r="K1520">
            <v>17.28</v>
          </cell>
          <cell r="M1520">
            <v>39049</v>
          </cell>
          <cell r="N1520">
            <v>9.2200000000000006</v>
          </cell>
          <cell r="P1520">
            <v>39092</v>
          </cell>
          <cell r="Q1520">
            <v>45.033329999999999</v>
          </cell>
        </row>
        <row r="1521">
          <cell r="D1521">
            <v>39091</v>
          </cell>
          <cell r="E1521">
            <v>13.52</v>
          </cell>
          <cell r="G1521">
            <v>39091</v>
          </cell>
          <cell r="H1521">
            <v>10.73</v>
          </cell>
          <cell r="J1521">
            <v>39087</v>
          </cell>
          <cell r="K1521">
            <v>17.82</v>
          </cell>
          <cell r="M1521">
            <v>39048</v>
          </cell>
          <cell r="N1521">
            <v>9.06</v>
          </cell>
          <cell r="P1521">
            <v>39091</v>
          </cell>
          <cell r="Q1521">
            <v>43.666670000000003</v>
          </cell>
        </row>
        <row r="1522">
          <cell r="D1522">
            <v>39090</v>
          </cell>
          <cell r="E1522">
            <v>13.4</v>
          </cell>
          <cell r="G1522">
            <v>39090</v>
          </cell>
          <cell r="H1522">
            <v>10.52</v>
          </cell>
          <cell r="J1522">
            <v>39086</v>
          </cell>
          <cell r="K1522">
            <v>18.149999999999999</v>
          </cell>
          <cell r="M1522">
            <v>39045</v>
          </cell>
          <cell r="N1522">
            <v>9.11</v>
          </cell>
          <cell r="P1522">
            <v>39090</v>
          </cell>
          <cell r="Q1522">
            <v>47.386670000000002</v>
          </cell>
        </row>
        <row r="1523">
          <cell r="D1523">
            <v>39087</v>
          </cell>
          <cell r="E1523">
            <v>13.19</v>
          </cell>
          <cell r="G1523">
            <v>39087</v>
          </cell>
          <cell r="H1523">
            <v>10.4</v>
          </cell>
          <cell r="J1523">
            <v>39085</v>
          </cell>
          <cell r="K1523">
            <v>18.28</v>
          </cell>
          <cell r="M1523">
            <v>39043</v>
          </cell>
          <cell r="N1523">
            <v>9.15</v>
          </cell>
          <cell r="P1523">
            <v>39087</v>
          </cell>
          <cell r="Q1523">
            <v>47.1</v>
          </cell>
        </row>
        <row r="1524">
          <cell r="D1524">
            <v>39086</v>
          </cell>
          <cell r="E1524">
            <v>13.36</v>
          </cell>
          <cell r="G1524">
            <v>39086</v>
          </cell>
          <cell r="H1524">
            <v>10.15</v>
          </cell>
          <cell r="J1524">
            <v>39080</v>
          </cell>
          <cell r="K1524">
            <v>18.82</v>
          </cell>
          <cell r="M1524">
            <v>39042</v>
          </cell>
          <cell r="N1524">
            <v>9.15</v>
          </cell>
          <cell r="P1524">
            <v>39086</v>
          </cell>
          <cell r="Q1524">
            <v>46.19</v>
          </cell>
        </row>
        <row r="1525">
          <cell r="D1525">
            <v>39085</v>
          </cell>
          <cell r="E1525">
            <v>13.63</v>
          </cell>
          <cell r="G1525">
            <v>39085</v>
          </cell>
          <cell r="H1525">
            <v>9.75</v>
          </cell>
          <cell r="J1525">
            <v>39079</v>
          </cell>
          <cell r="K1525">
            <v>18.7</v>
          </cell>
          <cell r="M1525">
            <v>39041</v>
          </cell>
          <cell r="N1525">
            <v>9.2620000000000005</v>
          </cell>
          <cell r="P1525">
            <v>39085</v>
          </cell>
          <cell r="Q1525">
            <v>42.85</v>
          </cell>
        </row>
        <row r="1526">
          <cell r="D1526">
            <v>39080</v>
          </cell>
          <cell r="E1526">
            <v>14.06</v>
          </cell>
          <cell r="G1526">
            <v>39080</v>
          </cell>
          <cell r="H1526">
            <v>9.67</v>
          </cell>
          <cell r="J1526">
            <v>39078</v>
          </cell>
          <cell r="K1526">
            <v>19.13</v>
          </cell>
          <cell r="M1526">
            <v>39038</v>
          </cell>
          <cell r="N1526">
            <v>9.2655999999999992</v>
          </cell>
          <cell r="P1526">
            <v>39080</v>
          </cell>
          <cell r="Q1526">
            <v>42.593330000000002</v>
          </cell>
        </row>
        <row r="1527">
          <cell r="D1527">
            <v>39079</v>
          </cell>
          <cell r="E1527">
            <v>14.05</v>
          </cell>
          <cell r="G1527">
            <v>39079</v>
          </cell>
          <cell r="H1527">
            <v>9.64</v>
          </cell>
          <cell r="J1527">
            <v>39077</v>
          </cell>
          <cell r="K1527">
            <v>18.57</v>
          </cell>
          <cell r="M1527">
            <v>39037</v>
          </cell>
          <cell r="N1527">
            <v>9.31</v>
          </cell>
          <cell r="P1527">
            <v>39079</v>
          </cell>
          <cell r="Q1527">
            <v>43.2</v>
          </cell>
        </row>
        <row r="1528">
          <cell r="D1528">
            <v>39078</v>
          </cell>
          <cell r="E1528">
            <v>13.82</v>
          </cell>
          <cell r="G1528">
            <v>39078</v>
          </cell>
          <cell r="H1528">
            <v>9.64</v>
          </cell>
          <cell r="J1528">
            <v>39073</v>
          </cell>
          <cell r="K1528">
            <v>18.989999999999998</v>
          </cell>
          <cell r="M1528">
            <v>39036</v>
          </cell>
          <cell r="N1528">
            <v>9.6199999999999992</v>
          </cell>
          <cell r="P1528">
            <v>39078</v>
          </cell>
          <cell r="Q1528">
            <v>43.136670000000002</v>
          </cell>
        </row>
        <row r="1529">
          <cell r="D1529">
            <v>39077</v>
          </cell>
          <cell r="E1529">
            <v>13.66</v>
          </cell>
          <cell r="G1529">
            <v>39077</v>
          </cell>
          <cell r="H1529">
            <v>9.6</v>
          </cell>
          <cell r="J1529">
            <v>39072</v>
          </cell>
          <cell r="K1529">
            <v>18.68</v>
          </cell>
          <cell r="M1529">
            <v>39035</v>
          </cell>
          <cell r="N1529">
            <v>9.65</v>
          </cell>
          <cell r="P1529">
            <v>39077</v>
          </cell>
          <cell r="Q1529">
            <v>42.54</v>
          </cell>
        </row>
        <row r="1530">
          <cell r="D1530">
            <v>39073</v>
          </cell>
          <cell r="E1530">
            <v>13.8</v>
          </cell>
          <cell r="G1530">
            <v>39073</v>
          </cell>
          <cell r="H1530">
            <v>9.4700000000000006</v>
          </cell>
          <cell r="J1530">
            <v>39071</v>
          </cell>
          <cell r="K1530">
            <v>18.84</v>
          </cell>
          <cell r="M1530">
            <v>39034</v>
          </cell>
          <cell r="N1530">
            <v>9.6</v>
          </cell>
          <cell r="P1530">
            <v>39073</v>
          </cell>
          <cell r="Q1530">
            <v>43.333329999999997</v>
          </cell>
        </row>
        <row r="1531">
          <cell r="D1531">
            <v>39072</v>
          </cell>
          <cell r="E1531">
            <v>13.49</v>
          </cell>
          <cell r="G1531">
            <v>39072</v>
          </cell>
          <cell r="H1531">
            <v>9.2799999999999994</v>
          </cell>
          <cell r="J1531">
            <v>39070</v>
          </cell>
          <cell r="K1531">
            <v>18.440000000000001</v>
          </cell>
          <cell r="M1531">
            <v>39031</v>
          </cell>
          <cell r="N1531">
            <v>9.27</v>
          </cell>
          <cell r="P1531">
            <v>39072</v>
          </cell>
          <cell r="Q1531">
            <v>44.566670000000002</v>
          </cell>
        </row>
        <row r="1532">
          <cell r="D1532">
            <v>39071</v>
          </cell>
          <cell r="E1532">
            <v>13.2</v>
          </cell>
          <cell r="G1532">
            <v>39071</v>
          </cell>
          <cell r="H1532">
            <v>9.3000000000000007</v>
          </cell>
          <cell r="J1532">
            <v>39069</v>
          </cell>
          <cell r="K1532">
            <v>18.71</v>
          </cell>
          <cell r="M1532">
            <v>39030</v>
          </cell>
          <cell r="N1532">
            <v>9.44</v>
          </cell>
          <cell r="P1532">
            <v>39071</v>
          </cell>
          <cell r="Q1532">
            <v>44.916670000000003</v>
          </cell>
        </row>
        <row r="1533">
          <cell r="D1533">
            <v>39070</v>
          </cell>
          <cell r="E1533">
            <v>13.25</v>
          </cell>
          <cell r="G1533">
            <v>39070</v>
          </cell>
          <cell r="H1533">
            <v>9.08</v>
          </cell>
          <cell r="J1533">
            <v>39066</v>
          </cell>
          <cell r="K1533">
            <v>18.510000000000002</v>
          </cell>
          <cell r="M1533">
            <v>39029</v>
          </cell>
          <cell r="N1533">
            <v>9.66</v>
          </cell>
          <cell r="P1533">
            <v>39070</v>
          </cell>
          <cell r="Q1533">
            <v>44.08</v>
          </cell>
        </row>
        <row r="1534">
          <cell r="D1534">
            <v>39069</v>
          </cell>
          <cell r="E1534">
            <v>13.46</v>
          </cell>
          <cell r="G1534">
            <v>39069</v>
          </cell>
          <cell r="H1534">
            <v>9.18</v>
          </cell>
          <cell r="J1534">
            <v>39065</v>
          </cell>
          <cell r="K1534">
            <v>19.05</v>
          </cell>
          <cell r="M1534">
            <v>39028</v>
          </cell>
          <cell r="N1534">
            <v>9.5399999999999991</v>
          </cell>
          <cell r="P1534">
            <v>39069</v>
          </cell>
          <cell r="Q1534">
            <v>45.17</v>
          </cell>
        </row>
        <row r="1535">
          <cell r="D1535">
            <v>39066</v>
          </cell>
          <cell r="E1535">
            <v>12.32</v>
          </cell>
          <cell r="G1535">
            <v>39066</v>
          </cell>
          <cell r="H1535">
            <v>9.25</v>
          </cell>
          <cell r="J1535">
            <v>39064</v>
          </cell>
          <cell r="K1535">
            <v>18.54</v>
          </cell>
          <cell r="M1535">
            <v>39027</v>
          </cell>
          <cell r="N1535">
            <v>9.56</v>
          </cell>
          <cell r="P1535">
            <v>39066</v>
          </cell>
          <cell r="Q1535">
            <v>45</v>
          </cell>
        </row>
        <row r="1536">
          <cell r="D1536">
            <v>39065</v>
          </cell>
          <cell r="E1536">
            <v>12.21</v>
          </cell>
          <cell r="G1536">
            <v>39065</v>
          </cell>
          <cell r="H1536">
            <v>9.42</v>
          </cell>
          <cell r="J1536">
            <v>39063</v>
          </cell>
          <cell r="K1536">
            <v>18.79</v>
          </cell>
          <cell r="M1536">
            <v>39024</v>
          </cell>
          <cell r="N1536">
            <v>9.65</v>
          </cell>
          <cell r="P1536">
            <v>39065</v>
          </cell>
          <cell r="Q1536">
            <v>44.67</v>
          </cell>
        </row>
        <row r="1537">
          <cell r="D1537">
            <v>39064</v>
          </cell>
          <cell r="E1537">
            <v>12.1</v>
          </cell>
          <cell r="G1537">
            <v>39064</v>
          </cell>
          <cell r="H1537">
            <v>9.2899999999999991</v>
          </cell>
          <cell r="J1537">
            <v>39062</v>
          </cell>
          <cell r="K1537">
            <v>19.96</v>
          </cell>
          <cell r="M1537">
            <v>39023</v>
          </cell>
          <cell r="N1537">
            <v>9.51</v>
          </cell>
          <cell r="P1537">
            <v>39064</v>
          </cell>
          <cell r="Q1537">
            <v>42.49333</v>
          </cell>
        </row>
        <row r="1538">
          <cell r="D1538">
            <v>39063</v>
          </cell>
          <cell r="E1538">
            <v>12.1</v>
          </cell>
          <cell r="G1538">
            <v>39063</v>
          </cell>
          <cell r="H1538">
            <v>9.32</v>
          </cell>
          <cell r="J1538">
            <v>39059</v>
          </cell>
          <cell r="K1538">
            <v>20</v>
          </cell>
          <cell r="M1538">
            <v>39022</v>
          </cell>
          <cell r="N1538">
            <v>9.5399999999999991</v>
          </cell>
          <cell r="P1538">
            <v>39063</v>
          </cell>
          <cell r="Q1538">
            <v>41.546669999999999</v>
          </cell>
        </row>
        <row r="1539">
          <cell r="D1539">
            <v>39062</v>
          </cell>
          <cell r="E1539">
            <v>12.2</v>
          </cell>
          <cell r="G1539">
            <v>39062</v>
          </cell>
          <cell r="H1539">
            <v>9.43</v>
          </cell>
          <cell r="J1539">
            <v>39058</v>
          </cell>
          <cell r="K1539">
            <v>19.91</v>
          </cell>
          <cell r="M1539">
            <v>39021</v>
          </cell>
          <cell r="N1539">
            <v>9.7799999999999994</v>
          </cell>
          <cell r="P1539">
            <v>39062</v>
          </cell>
          <cell r="Q1539">
            <v>42.39667</v>
          </cell>
        </row>
        <row r="1540">
          <cell r="D1540">
            <v>39059</v>
          </cell>
          <cell r="E1540">
            <v>12.08</v>
          </cell>
          <cell r="G1540">
            <v>39059</v>
          </cell>
          <cell r="H1540">
            <v>9.6300000000000008</v>
          </cell>
          <cell r="J1540">
            <v>39057</v>
          </cell>
          <cell r="K1540">
            <v>20.53</v>
          </cell>
          <cell r="M1540">
            <v>39020</v>
          </cell>
          <cell r="N1540">
            <v>9.61</v>
          </cell>
          <cell r="P1540">
            <v>39059</v>
          </cell>
          <cell r="Q1540">
            <v>42.563330000000001</v>
          </cell>
        </row>
        <row r="1541">
          <cell r="D1541">
            <v>39058</v>
          </cell>
          <cell r="E1541">
            <v>12.06</v>
          </cell>
          <cell r="G1541">
            <v>39058</v>
          </cell>
          <cell r="H1541">
            <v>9.58</v>
          </cell>
          <cell r="J1541">
            <v>39056</v>
          </cell>
          <cell r="K1541">
            <v>21.25</v>
          </cell>
          <cell r="M1541">
            <v>39017</v>
          </cell>
          <cell r="N1541">
            <v>9.5500000000000007</v>
          </cell>
          <cell r="P1541">
            <v>39058</v>
          </cell>
          <cell r="Q1541">
            <v>42.916670000000003</v>
          </cell>
        </row>
        <row r="1542">
          <cell r="D1542">
            <v>39057</v>
          </cell>
          <cell r="E1542">
            <v>12.12</v>
          </cell>
          <cell r="G1542">
            <v>39057</v>
          </cell>
          <cell r="H1542">
            <v>9.57</v>
          </cell>
          <cell r="J1542">
            <v>39055</v>
          </cell>
          <cell r="K1542">
            <v>21.16</v>
          </cell>
          <cell r="M1542">
            <v>39016</v>
          </cell>
          <cell r="N1542">
            <v>9.4600000000000009</v>
          </cell>
          <cell r="P1542">
            <v>39057</v>
          </cell>
          <cell r="Q1542">
            <v>45.14667</v>
          </cell>
        </row>
        <row r="1543">
          <cell r="D1543">
            <v>39056</v>
          </cell>
          <cell r="E1543">
            <v>12.154999999999999</v>
          </cell>
          <cell r="G1543">
            <v>39056</v>
          </cell>
          <cell r="H1543">
            <v>9.59</v>
          </cell>
          <cell r="J1543">
            <v>39052</v>
          </cell>
          <cell r="K1543">
            <v>21.24</v>
          </cell>
          <cell r="M1543">
            <v>39015</v>
          </cell>
          <cell r="N1543">
            <v>8.93</v>
          </cell>
          <cell r="P1543">
            <v>39056</v>
          </cell>
          <cell r="Q1543">
            <v>45.316670000000002</v>
          </cell>
        </row>
        <row r="1544">
          <cell r="D1544">
            <v>39055</v>
          </cell>
          <cell r="E1544">
            <v>12.12</v>
          </cell>
          <cell r="G1544">
            <v>39055</v>
          </cell>
          <cell r="H1544">
            <v>9.7899999999999991</v>
          </cell>
          <cell r="J1544">
            <v>39051</v>
          </cell>
          <cell r="K1544">
            <v>21.689900000000002</v>
          </cell>
          <cell r="M1544">
            <v>39014</v>
          </cell>
          <cell r="N1544">
            <v>8.74</v>
          </cell>
          <cell r="P1544">
            <v>39055</v>
          </cell>
          <cell r="Q1544">
            <v>45.453330000000001</v>
          </cell>
        </row>
        <row r="1545">
          <cell r="D1545">
            <v>39052</v>
          </cell>
          <cell r="E1545">
            <v>12.04</v>
          </cell>
          <cell r="G1545">
            <v>39052</v>
          </cell>
          <cell r="H1545">
            <v>9.57</v>
          </cell>
          <cell r="J1545">
            <v>39050</v>
          </cell>
          <cell r="K1545">
            <v>21.611999999999998</v>
          </cell>
          <cell r="M1545">
            <v>39013</v>
          </cell>
          <cell r="N1545">
            <v>8.9</v>
          </cell>
          <cell r="P1545">
            <v>39052</v>
          </cell>
          <cell r="Q1545">
            <v>45.226669999999999</v>
          </cell>
        </row>
        <row r="1546">
          <cell r="D1546">
            <v>39051</v>
          </cell>
          <cell r="E1546">
            <v>12.09</v>
          </cell>
          <cell r="G1546">
            <v>39051</v>
          </cell>
          <cell r="H1546">
            <v>9.44</v>
          </cell>
          <cell r="J1546">
            <v>39049</v>
          </cell>
          <cell r="K1546">
            <v>21.65</v>
          </cell>
          <cell r="M1546">
            <v>39010</v>
          </cell>
          <cell r="N1546">
            <v>9.1999999999999993</v>
          </cell>
          <cell r="P1546">
            <v>39051</v>
          </cell>
          <cell r="Q1546">
            <v>46.276670000000003</v>
          </cell>
        </row>
        <row r="1547">
          <cell r="D1547">
            <v>39050</v>
          </cell>
          <cell r="E1547">
            <v>12.33</v>
          </cell>
          <cell r="G1547">
            <v>39050</v>
          </cell>
          <cell r="H1547">
            <v>9.51</v>
          </cell>
          <cell r="J1547">
            <v>39048</v>
          </cell>
          <cell r="K1547">
            <v>21.09</v>
          </cell>
          <cell r="M1547">
            <v>39009</v>
          </cell>
          <cell r="N1547">
            <v>9.3000000000000007</v>
          </cell>
          <cell r="P1547">
            <v>39050</v>
          </cell>
          <cell r="Q1547">
            <v>44.716670000000001</v>
          </cell>
        </row>
        <row r="1548">
          <cell r="D1548">
            <v>39049</v>
          </cell>
          <cell r="E1548">
            <v>12.33</v>
          </cell>
          <cell r="G1548">
            <v>39049</v>
          </cell>
          <cell r="H1548">
            <v>9.3699999999999992</v>
          </cell>
          <cell r="J1548">
            <v>39045</v>
          </cell>
          <cell r="K1548">
            <v>21.27</v>
          </cell>
          <cell r="M1548">
            <v>39008</v>
          </cell>
          <cell r="N1548">
            <v>9.2309999999999999</v>
          </cell>
          <cell r="P1548">
            <v>39049</v>
          </cell>
          <cell r="Q1548">
            <v>44.763330000000003</v>
          </cell>
        </row>
        <row r="1549">
          <cell r="D1549">
            <v>39048</v>
          </cell>
          <cell r="E1549">
            <v>12.46</v>
          </cell>
          <cell r="G1549">
            <v>39048</v>
          </cell>
          <cell r="H1549">
            <v>9.31</v>
          </cell>
          <cell r="J1549">
            <v>39043</v>
          </cell>
          <cell r="K1549">
            <v>21.51</v>
          </cell>
          <cell r="M1549">
            <v>39007</v>
          </cell>
          <cell r="N1549">
            <v>9.1300000000000008</v>
          </cell>
          <cell r="P1549">
            <v>39048</v>
          </cell>
          <cell r="Q1549">
            <v>45.1</v>
          </cell>
        </row>
        <row r="1550">
          <cell r="D1550">
            <v>39045</v>
          </cell>
          <cell r="E1550">
            <v>12.78</v>
          </cell>
          <cell r="G1550">
            <v>39045</v>
          </cell>
          <cell r="H1550">
            <v>9.56</v>
          </cell>
          <cell r="J1550">
            <v>39042</v>
          </cell>
          <cell r="K1550">
            <v>21.19</v>
          </cell>
          <cell r="M1550">
            <v>39006</v>
          </cell>
          <cell r="N1550">
            <v>9.44</v>
          </cell>
          <cell r="P1550">
            <v>39045</v>
          </cell>
          <cell r="Q1550">
            <v>47.186669999999999</v>
          </cell>
        </row>
        <row r="1551">
          <cell r="D1551">
            <v>39043</v>
          </cell>
          <cell r="E1551">
            <v>12.87</v>
          </cell>
          <cell r="G1551">
            <v>39043</v>
          </cell>
          <cell r="H1551">
            <v>9.52</v>
          </cell>
          <cell r="J1551">
            <v>39041</v>
          </cell>
          <cell r="K1551">
            <v>21.27</v>
          </cell>
          <cell r="M1551">
            <v>39003</v>
          </cell>
          <cell r="N1551">
            <v>9.2100000000000009</v>
          </cell>
          <cell r="P1551">
            <v>39043</v>
          </cell>
          <cell r="Q1551">
            <v>46.536670000000001</v>
          </cell>
        </row>
        <row r="1552">
          <cell r="D1552">
            <v>39042</v>
          </cell>
          <cell r="E1552">
            <v>12.7</v>
          </cell>
          <cell r="G1552">
            <v>39042</v>
          </cell>
          <cell r="H1552">
            <v>9.6</v>
          </cell>
          <cell r="J1552">
            <v>39038</v>
          </cell>
          <cell r="K1552">
            <v>21.54</v>
          </cell>
          <cell r="M1552">
            <v>39002</v>
          </cell>
          <cell r="N1552">
            <v>9.3353000000000002</v>
          </cell>
          <cell r="P1552">
            <v>39042</v>
          </cell>
          <cell r="Q1552">
            <v>46.166670000000003</v>
          </cell>
        </row>
        <row r="1553">
          <cell r="D1553">
            <v>39041</v>
          </cell>
          <cell r="E1553">
            <v>12.82</v>
          </cell>
          <cell r="G1553">
            <v>39041</v>
          </cell>
          <cell r="H1553">
            <v>9.48</v>
          </cell>
          <cell r="J1553">
            <v>39037</v>
          </cell>
          <cell r="K1553">
            <v>21.22</v>
          </cell>
          <cell r="M1553">
            <v>39001</v>
          </cell>
          <cell r="N1553">
            <v>9.4</v>
          </cell>
          <cell r="P1553">
            <v>39041</v>
          </cell>
          <cell r="Q1553">
            <v>45.803330000000003</v>
          </cell>
        </row>
        <row r="1554">
          <cell r="D1554">
            <v>39038</v>
          </cell>
          <cell r="E1554">
            <v>12.98</v>
          </cell>
          <cell r="G1554">
            <v>39038</v>
          </cell>
          <cell r="H1554">
            <v>9.33</v>
          </cell>
          <cell r="J1554">
            <v>39036</v>
          </cell>
          <cell r="K1554">
            <v>21.31</v>
          </cell>
          <cell r="M1554">
            <v>39000</v>
          </cell>
          <cell r="N1554">
            <v>9.34</v>
          </cell>
          <cell r="P1554">
            <v>39038</v>
          </cell>
          <cell r="Q1554">
            <v>44.536670000000001</v>
          </cell>
        </row>
        <row r="1555">
          <cell r="D1555">
            <v>39037</v>
          </cell>
          <cell r="E1555">
            <v>13</v>
          </cell>
          <cell r="G1555">
            <v>39037</v>
          </cell>
          <cell r="H1555">
            <v>9.6</v>
          </cell>
          <cell r="J1555">
            <v>39035</v>
          </cell>
          <cell r="K1555">
            <v>20.76</v>
          </cell>
          <cell r="M1555">
            <v>38999</v>
          </cell>
          <cell r="N1555">
            <v>9.3000000000000007</v>
          </cell>
          <cell r="P1555">
            <v>39037</v>
          </cell>
          <cell r="Q1555">
            <v>44.73</v>
          </cell>
        </row>
        <row r="1556">
          <cell r="D1556">
            <v>39036</v>
          </cell>
          <cell r="E1556">
            <v>13.04</v>
          </cell>
          <cell r="G1556">
            <v>39036</v>
          </cell>
          <cell r="H1556">
            <v>9.5500000000000007</v>
          </cell>
          <cell r="J1556">
            <v>39034</v>
          </cell>
          <cell r="K1556">
            <v>19.940000000000001</v>
          </cell>
          <cell r="M1556">
            <v>38996</v>
          </cell>
          <cell r="N1556">
            <v>9.44</v>
          </cell>
          <cell r="P1556">
            <v>39036</v>
          </cell>
          <cell r="Q1556">
            <v>42.806669999999997</v>
          </cell>
        </row>
        <row r="1557">
          <cell r="D1557">
            <v>39035</v>
          </cell>
          <cell r="E1557">
            <v>13.262</v>
          </cell>
          <cell r="G1557">
            <v>39035</v>
          </cell>
          <cell r="H1557">
            <v>9.49</v>
          </cell>
          <cell r="J1557">
            <v>39031</v>
          </cell>
          <cell r="K1557">
            <v>20.239999999999998</v>
          </cell>
          <cell r="M1557">
            <v>38995</v>
          </cell>
          <cell r="N1557">
            <v>9.59</v>
          </cell>
          <cell r="P1557">
            <v>39035</v>
          </cell>
          <cell r="Q1557">
            <v>43.046669999999999</v>
          </cell>
        </row>
        <row r="1558">
          <cell r="D1558">
            <v>39034</v>
          </cell>
          <cell r="E1558">
            <v>13.02</v>
          </cell>
          <cell r="G1558">
            <v>39034</v>
          </cell>
          <cell r="H1558">
            <v>9.01</v>
          </cell>
          <cell r="J1558">
            <v>39030</v>
          </cell>
          <cell r="K1558">
            <v>19.82</v>
          </cell>
          <cell r="M1558">
            <v>38994</v>
          </cell>
          <cell r="N1558">
            <v>9.51</v>
          </cell>
          <cell r="P1558">
            <v>39034</v>
          </cell>
          <cell r="Q1558">
            <v>42.9</v>
          </cell>
        </row>
        <row r="1559">
          <cell r="D1559">
            <v>39031</v>
          </cell>
          <cell r="E1559">
            <v>12.68</v>
          </cell>
          <cell r="G1559">
            <v>39031</v>
          </cell>
          <cell r="H1559">
            <v>8.94</v>
          </cell>
          <cell r="J1559">
            <v>39029</v>
          </cell>
          <cell r="K1559">
            <v>20.059999999999999</v>
          </cell>
          <cell r="M1559">
            <v>38993</v>
          </cell>
          <cell r="N1559">
            <v>9.61</v>
          </cell>
          <cell r="P1559">
            <v>39031</v>
          </cell>
          <cell r="Q1559">
            <v>41.37</v>
          </cell>
        </row>
        <row r="1560">
          <cell r="D1560">
            <v>39030</v>
          </cell>
          <cell r="E1560">
            <v>12.61</v>
          </cell>
          <cell r="G1560">
            <v>39030</v>
          </cell>
          <cell r="H1560">
            <v>8.73</v>
          </cell>
          <cell r="J1560">
            <v>39028</v>
          </cell>
          <cell r="K1560">
            <v>20.170000000000002</v>
          </cell>
          <cell r="M1560">
            <v>38992</v>
          </cell>
          <cell r="N1560">
            <v>10.130000000000001</v>
          </cell>
          <cell r="P1560">
            <v>39030</v>
          </cell>
          <cell r="Q1560">
            <v>41.583329999999997</v>
          </cell>
        </row>
        <row r="1561">
          <cell r="D1561">
            <v>39029</v>
          </cell>
          <cell r="E1561">
            <v>12.09</v>
          </cell>
          <cell r="G1561">
            <v>39029</v>
          </cell>
          <cell r="H1561">
            <v>8.7799999999999994</v>
          </cell>
          <cell r="J1561">
            <v>39027</v>
          </cell>
          <cell r="K1561">
            <v>20.22</v>
          </cell>
          <cell r="M1561">
            <v>38989</v>
          </cell>
          <cell r="N1561">
            <v>10.09</v>
          </cell>
          <cell r="P1561">
            <v>39029</v>
          </cell>
          <cell r="Q1561">
            <v>41.623330000000003</v>
          </cell>
        </row>
        <row r="1562">
          <cell r="D1562">
            <v>39028</v>
          </cell>
          <cell r="E1562">
            <v>11.98</v>
          </cell>
          <cell r="G1562">
            <v>39028</v>
          </cell>
          <cell r="H1562">
            <v>8.44</v>
          </cell>
          <cell r="J1562">
            <v>39024</v>
          </cell>
          <cell r="K1562">
            <v>20.67</v>
          </cell>
          <cell r="M1562">
            <v>38988</v>
          </cell>
          <cell r="N1562">
            <v>9.75</v>
          </cell>
          <cell r="P1562">
            <v>39028</v>
          </cell>
          <cell r="Q1562">
            <v>40.92333</v>
          </cell>
        </row>
        <row r="1563">
          <cell r="D1563">
            <v>39027</v>
          </cell>
          <cell r="E1563">
            <v>11.98</v>
          </cell>
          <cell r="G1563">
            <v>39027</v>
          </cell>
          <cell r="H1563">
            <v>8.64</v>
          </cell>
          <cell r="J1563">
            <v>39023</v>
          </cell>
          <cell r="K1563">
            <v>21.02</v>
          </cell>
          <cell r="M1563">
            <v>38987</v>
          </cell>
          <cell r="N1563">
            <v>9.56</v>
          </cell>
          <cell r="P1563">
            <v>39027</v>
          </cell>
          <cell r="Q1563">
            <v>40.119999999999997</v>
          </cell>
        </row>
        <row r="1564">
          <cell r="D1564">
            <v>39024</v>
          </cell>
          <cell r="E1564">
            <v>11.89</v>
          </cell>
          <cell r="G1564">
            <v>39024</v>
          </cell>
          <cell r="H1564">
            <v>8.6</v>
          </cell>
          <cell r="J1564">
            <v>39022</v>
          </cell>
          <cell r="K1564">
            <v>20.63</v>
          </cell>
          <cell r="M1564">
            <v>38986</v>
          </cell>
          <cell r="N1564">
            <v>9.65</v>
          </cell>
          <cell r="P1564">
            <v>39024</v>
          </cell>
          <cell r="Q1564">
            <v>38.763330000000003</v>
          </cell>
        </row>
        <row r="1565">
          <cell r="D1565">
            <v>39023</v>
          </cell>
          <cell r="E1565">
            <v>12.05</v>
          </cell>
          <cell r="G1565">
            <v>39023</v>
          </cell>
          <cell r="H1565">
            <v>8.14</v>
          </cell>
          <cell r="J1565">
            <v>39021</v>
          </cell>
          <cell r="K1565">
            <v>21.04</v>
          </cell>
          <cell r="M1565">
            <v>38985</v>
          </cell>
          <cell r="N1565">
            <v>9.7200000000000006</v>
          </cell>
          <cell r="P1565">
            <v>39023</v>
          </cell>
          <cell r="Q1565">
            <v>38.86</v>
          </cell>
        </row>
        <row r="1566">
          <cell r="D1566">
            <v>39022</v>
          </cell>
          <cell r="E1566">
            <v>12.17</v>
          </cell>
          <cell r="G1566">
            <v>39022</v>
          </cell>
          <cell r="H1566">
            <v>8.3000000000000007</v>
          </cell>
          <cell r="J1566">
            <v>39020</v>
          </cell>
          <cell r="K1566">
            <v>20.6</v>
          </cell>
          <cell r="M1566">
            <v>38982</v>
          </cell>
          <cell r="N1566">
            <v>8.6999999999999993</v>
          </cell>
          <cell r="P1566">
            <v>39022</v>
          </cell>
          <cell r="Q1566">
            <v>38.833329999999997</v>
          </cell>
        </row>
        <row r="1567">
          <cell r="D1567">
            <v>39021</v>
          </cell>
          <cell r="E1567">
            <v>12.2</v>
          </cell>
          <cell r="G1567">
            <v>39021</v>
          </cell>
          <cell r="H1567">
            <v>8.42</v>
          </cell>
          <cell r="J1567">
            <v>39017</v>
          </cell>
          <cell r="K1567">
            <v>20.190000000000001</v>
          </cell>
          <cell r="M1567">
            <v>38981</v>
          </cell>
          <cell r="N1567">
            <v>9.6</v>
          </cell>
          <cell r="P1567">
            <v>39021</v>
          </cell>
          <cell r="Q1567">
            <v>39.159999999999997</v>
          </cell>
        </row>
        <row r="1568">
          <cell r="D1568">
            <v>39020</v>
          </cell>
          <cell r="E1568">
            <v>12.14</v>
          </cell>
          <cell r="G1568">
            <v>39020</v>
          </cell>
          <cell r="H1568">
            <v>8.4</v>
          </cell>
          <cell r="J1568">
            <v>39016</v>
          </cell>
          <cell r="K1568">
            <v>20.63</v>
          </cell>
          <cell r="M1568">
            <v>38980</v>
          </cell>
          <cell r="N1568">
            <v>9.73</v>
          </cell>
          <cell r="P1568">
            <v>39020</v>
          </cell>
          <cell r="Q1568">
            <v>39.47</v>
          </cell>
        </row>
        <row r="1569">
          <cell r="D1569">
            <v>39017</v>
          </cell>
          <cell r="E1569">
            <v>12.22</v>
          </cell>
          <cell r="G1569">
            <v>39017</v>
          </cell>
          <cell r="H1569">
            <v>8.5050000000000008</v>
          </cell>
          <cell r="J1569">
            <v>39015</v>
          </cell>
          <cell r="K1569">
            <v>20.95</v>
          </cell>
          <cell r="M1569">
            <v>38979</v>
          </cell>
          <cell r="N1569">
            <v>9.35</v>
          </cell>
          <cell r="P1569">
            <v>39017</v>
          </cell>
          <cell r="Q1569">
            <v>38.813330000000001</v>
          </cell>
        </row>
        <row r="1570">
          <cell r="D1570">
            <v>39016</v>
          </cell>
          <cell r="E1570">
            <v>13.68</v>
          </cell>
          <cell r="G1570">
            <v>39016</v>
          </cell>
          <cell r="H1570">
            <v>8.44</v>
          </cell>
          <cell r="J1570">
            <v>39014</v>
          </cell>
          <cell r="K1570">
            <v>20.91</v>
          </cell>
          <cell r="M1570">
            <v>38978</v>
          </cell>
          <cell r="N1570">
            <v>9.65</v>
          </cell>
          <cell r="P1570">
            <v>39016</v>
          </cell>
          <cell r="Q1570">
            <v>39.426670000000001</v>
          </cell>
        </row>
        <row r="1571">
          <cell r="D1571">
            <v>39015</v>
          </cell>
          <cell r="E1571">
            <v>13.71</v>
          </cell>
          <cell r="G1571">
            <v>39015</v>
          </cell>
          <cell r="H1571">
            <v>8.43</v>
          </cell>
          <cell r="J1571">
            <v>39013</v>
          </cell>
          <cell r="K1571">
            <v>21.57</v>
          </cell>
          <cell r="M1571">
            <v>38975</v>
          </cell>
          <cell r="N1571">
            <v>9.65</v>
          </cell>
          <cell r="P1571">
            <v>39015</v>
          </cell>
          <cell r="Q1571">
            <v>38.796669999999999</v>
          </cell>
        </row>
        <row r="1572">
          <cell r="D1572">
            <v>39014</v>
          </cell>
          <cell r="E1572">
            <v>13.04</v>
          </cell>
          <cell r="G1572">
            <v>39014</v>
          </cell>
          <cell r="H1572">
            <v>9.2799999999999994</v>
          </cell>
          <cell r="J1572">
            <v>39010</v>
          </cell>
          <cell r="K1572">
            <v>21.22</v>
          </cell>
          <cell r="M1572">
            <v>38974</v>
          </cell>
          <cell r="N1572">
            <v>9.9600000000000009</v>
          </cell>
          <cell r="P1572">
            <v>39014</v>
          </cell>
          <cell r="Q1572">
            <v>38.936669999999999</v>
          </cell>
        </row>
        <row r="1573">
          <cell r="D1573">
            <v>39013</v>
          </cell>
          <cell r="E1573">
            <v>13.33</v>
          </cell>
          <cell r="G1573">
            <v>39013</v>
          </cell>
          <cell r="H1573">
            <v>9.3800000000000008</v>
          </cell>
          <cell r="J1573">
            <v>39009</v>
          </cell>
          <cell r="K1573">
            <v>21.17</v>
          </cell>
          <cell r="M1573">
            <v>38973</v>
          </cell>
          <cell r="N1573">
            <v>9.5</v>
          </cell>
          <cell r="P1573">
            <v>39013</v>
          </cell>
          <cell r="Q1573">
            <v>37.716670000000001</v>
          </cell>
        </row>
        <row r="1574">
          <cell r="D1574">
            <v>39010</v>
          </cell>
          <cell r="E1574">
            <v>12.97</v>
          </cell>
          <cell r="G1574">
            <v>39010</v>
          </cell>
          <cell r="H1574">
            <v>9.4499999999999993</v>
          </cell>
          <cell r="J1574">
            <v>39008</v>
          </cell>
          <cell r="K1574">
            <v>20.54</v>
          </cell>
          <cell r="M1574">
            <v>38972</v>
          </cell>
          <cell r="N1574">
            <v>9.4</v>
          </cell>
          <cell r="P1574">
            <v>39010</v>
          </cell>
          <cell r="Q1574">
            <v>36.666670000000003</v>
          </cell>
        </row>
        <row r="1575">
          <cell r="D1575">
            <v>39009</v>
          </cell>
          <cell r="E1575">
            <v>13</v>
          </cell>
          <cell r="G1575">
            <v>39009</v>
          </cell>
          <cell r="H1575">
            <v>9.6999999999999993</v>
          </cell>
          <cell r="J1575">
            <v>39007</v>
          </cell>
          <cell r="K1575">
            <v>20.7</v>
          </cell>
          <cell r="M1575">
            <v>38971</v>
          </cell>
          <cell r="N1575">
            <v>9.4</v>
          </cell>
          <cell r="P1575">
            <v>39009</v>
          </cell>
          <cell r="Q1575">
            <v>36.786670000000001</v>
          </cell>
        </row>
        <row r="1576">
          <cell r="D1576">
            <v>39008</v>
          </cell>
          <cell r="E1576">
            <v>12.66</v>
          </cell>
          <cell r="G1576">
            <v>39008</v>
          </cell>
          <cell r="H1576">
            <v>9.7100000000000009</v>
          </cell>
          <cell r="J1576">
            <v>39006</v>
          </cell>
          <cell r="K1576">
            <v>20.88</v>
          </cell>
          <cell r="M1576">
            <v>38968</v>
          </cell>
          <cell r="N1576">
            <v>9.24</v>
          </cell>
          <cell r="P1576">
            <v>39008</v>
          </cell>
          <cell r="Q1576">
            <v>36.596670000000003</v>
          </cell>
        </row>
        <row r="1577">
          <cell r="D1577">
            <v>39007</v>
          </cell>
          <cell r="E1577">
            <v>12.86</v>
          </cell>
          <cell r="G1577">
            <v>39007</v>
          </cell>
          <cell r="H1577">
            <v>9.84</v>
          </cell>
          <cell r="J1577">
            <v>39003</v>
          </cell>
          <cell r="K1577">
            <v>20.76</v>
          </cell>
          <cell r="M1577">
            <v>38967</v>
          </cell>
          <cell r="N1577">
            <v>9.15</v>
          </cell>
          <cell r="P1577">
            <v>39007</v>
          </cell>
          <cell r="Q1577">
            <v>37.403329999999997</v>
          </cell>
        </row>
        <row r="1578">
          <cell r="D1578">
            <v>39006</v>
          </cell>
          <cell r="E1578">
            <v>13.22</v>
          </cell>
          <cell r="G1578">
            <v>39006</v>
          </cell>
          <cell r="H1578">
            <v>9.82</v>
          </cell>
          <cell r="J1578">
            <v>39002</v>
          </cell>
          <cell r="K1578">
            <v>20.9</v>
          </cell>
          <cell r="M1578">
            <v>38966</v>
          </cell>
          <cell r="N1578">
            <v>9.23</v>
          </cell>
          <cell r="P1578">
            <v>39006</v>
          </cell>
          <cell r="Q1578">
            <v>36.873330000000003</v>
          </cell>
        </row>
        <row r="1579">
          <cell r="D1579">
            <v>39003</v>
          </cell>
          <cell r="E1579">
            <v>13.29</v>
          </cell>
          <cell r="G1579">
            <v>39003</v>
          </cell>
          <cell r="H1579">
            <v>9.5399999999999991</v>
          </cell>
          <cell r="J1579">
            <v>39001</v>
          </cell>
          <cell r="K1579">
            <v>20.350000000000001</v>
          </cell>
          <cell r="M1579">
            <v>38965</v>
          </cell>
          <cell r="N1579">
            <v>9.11</v>
          </cell>
          <cell r="P1579">
            <v>39003</v>
          </cell>
          <cell r="Q1579">
            <v>37.946669999999997</v>
          </cell>
        </row>
        <row r="1580">
          <cell r="D1580">
            <v>39002</v>
          </cell>
          <cell r="E1580">
            <v>12.74</v>
          </cell>
          <cell r="G1580">
            <v>39002</v>
          </cell>
          <cell r="H1580">
            <v>9.5500000000000007</v>
          </cell>
          <cell r="J1580">
            <v>39000</v>
          </cell>
          <cell r="K1580">
            <v>19.91</v>
          </cell>
          <cell r="M1580">
            <v>38961</v>
          </cell>
          <cell r="N1580">
            <v>9.34</v>
          </cell>
          <cell r="P1580">
            <v>39002</v>
          </cell>
          <cell r="Q1580">
            <v>37.01</v>
          </cell>
        </row>
        <row r="1581">
          <cell r="D1581">
            <v>39001</v>
          </cell>
          <cell r="E1581">
            <v>12.36</v>
          </cell>
          <cell r="G1581">
            <v>39001</v>
          </cell>
          <cell r="H1581">
            <v>9.43</v>
          </cell>
          <cell r="J1581">
            <v>38999</v>
          </cell>
          <cell r="K1581">
            <v>20.329999999999998</v>
          </cell>
          <cell r="M1581">
            <v>38960</v>
          </cell>
          <cell r="N1581">
            <v>9.15</v>
          </cell>
          <cell r="P1581">
            <v>39001</v>
          </cell>
          <cell r="Q1581">
            <v>37.216670000000001</v>
          </cell>
        </row>
        <row r="1582">
          <cell r="D1582">
            <v>39000</v>
          </cell>
          <cell r="E1582">
            <v>11.8</v>
          </cell>
          <cell r="G1582">
            <v>39000</v>
          </cell>
          <cell r="H1582">
            <v>9.42</v>
          </cell>
          <cell r="J1582">
            <v>38996</v>
          </cell>
          <cell r="K1582">
            <v>20.54</v>
          </cell>
          <cell r="M1582">
            <v>38959</v>
          </cell>
          <cell r="N1582">
            <v>9.74</v>
          </cell>
          <cell r="P1582">
            <v>39000</v>
          </cell>
          <cell r="Q1582">
            <v>37.583329999999997</v>
          </cell>
        </row>
        <row r="1583">
          <cell r="D1583">
            <v>38999</v>
          </cell>
          <cell r="E1583">
            <v>11.42</v>
          </cell>
          <cell r="G1583">
            <v>38999</v>
          </cell>
          <cell r="H1583">
            <v>9.14</v>
          </cell>
          <cell r="J1583">
            <v>38995</v>
          </cell>
          <cell r="K1583">
            <v>21.53</v>
          </cell>
          <cell r="M1583">
            <v>38958</v>
          </cell>
          <cell r="N1583">
            <v>9.09</v>
          </cell>
          <cell r="P1583">
            <v>38999</v>
          </cell>
          <cell r="Q1583">
            <v>37.866669999999999</v>
          </cell>
        </row>
        <row r="1584">
          <cell r="D1584">
            <v>38996</v>
          </cell>
          <cell r="E1584">
            <v>11.5</v>
          </cell>
          <cell r="G1584">
            <v>38996</v>
          </cell>
          <cell r="H1584">
            <v>9.33</v>
          </cell>
          <cell r="J1584">
            <v>38994</v>
          </cell>
          <cell r="K1584">
            <v>22.39</v>
          </cell>
          <cell r="M1584">
            <v>38957</v>
          </cell>
          <cell r="N1584">
            <v>7.71</v>
          </cell>
          <cell r="P1584">
            <v>38996</v>
          </cell>
          <cell r="Q1584">
            <v>36.263330000000003</v>
          </cell>
        </row>
        <row r="1585">
          <cell r="D1585">
            <v>38995</v>
          </cell>
          <cell r="E1585">
            <v>11.47</v>
          </cell>
          <cell r="G1585">
            <v>38995</v>
          </cell>
          <cell r="H1585">
            <v>9.4499999999999993</v>
          </cell>
          <cell r="J1585">
            <v>38993</v>
          </cell>
          <cell r="K1585">
            <v>23.26</v>
          </cell>
          <cell r="M1585">
            <v>38954</v>
          </cell>
          <cell r="N1585">
            <v>7.86</v>
          </cell>
          <cell r="P1585">
            <v>38995</v>
          </cell>
          <cell r="Q1585">
            <v>36.67333</v>
          </cell>
        </row>
        <row r="1586">
          <cell r="D1586">
            <v>38994</v>
          </cell>
          <cell r="E1586">
            <v>11.62</v>
          </cell>
          <cell r="G1586">
            <v>38994</v>
          </cell>
          <cell r="H1586">
            <v>9.4499999999999993</v>
          </cell>
          <cell r="J1586">
            <v>38992</v>
          </cell>
          <cell r="K1586">
            <v>23.22</v>
          </cell>
          <cell r="M1586">
            <v>38953</v>
          </cell>
          <cell r="N1586">
            <v>7.9401000000000002</v>
          </cell>
          <cell r="P1586">
            <v>38994</v>
          </cell>
          <cell r="Q1586">
            <v>36.266669999999998</v>
          </cell>
        </row>
        <row r="1587">
          <cell r="D1587">
            <v>38993</v>
          </cell>
          <cell r="E1587">
            <v>11.43</v>
          </cell>
          <cell r="G1587">
            <v>38993</v>
          </cell>
          <cell r="H1587">
            <v>9.1999999999999993</v>
          </cell>
          <cell r="J1587">
            <v>38989</v>
          </cell>
          <cell r="K1587">
            <v>23.63</v>
          </cell>
          <cell r="M1587">
            <v>38952</v>
          </cell>
          <cell r="N1587">
            <v>7.95</v>
          </cell>
          <cell r="P1587">
            <v>38993</v>
          </cell>
          <cell r="Q1587">
            <v>34.023330000000001</v>
          </cell>
        </row>
        <row r="1588">
          <cell r="D1588">
            <v>38992</v>
          </cell>
          <cell r="E1588">
            <v>11.47</v>
          </cell>
          <cell r="G1588">
            <v>38992</v>
          </cell>
          <cell r="H1588">
            <v>9.5500000000000007</v>
          </cell>
          <cell r="J1588">
            <v>38988</v>
          </cell>
          <cell r="K1588">
            <v>23.5</v>
          </cell>
          <cell r="M1588">
            <v>38951</v>
          </cell>
          <cell r="N1588">
            <v>8</v>
          </cell>
          <cell r="P1588">
            <v>38992</v>
          </cell>
          <cell r="Q1588">
            <v>33.336669999999998</v>
          </cell>
        </row>
        <row r="1589">
          <cell r="D1589">
            <v>38989</v>
          </cell>
          <cell r="E1589">
            <v>11.46</v>
          </cell>
          <cell r="G1589">
            <v>38989</v>
          </cell>
          <cell r="H1589">
            <v>9.6300000000000008</v>
          </cell>
          <cell r="J1589">
            <v>38987</v>
          </cell>
          <cell r="K1589">
            <v>23.19</v>
          </cell>
          <cell r="M1589">
            <v>38950</v>
          </cell>
          <cell r="N1589">
            <v>8</v>
          </cell>
          <cell r="P1589">
            <v>38989</v>
          </cell>
          <cell r="Q1589">
            <v>34.216670000000001</v>
          </cell>
        </row>
        <row r="1590">
          <cell r="D1590">
            <v>38988</v>
          </cell>
          <cell r="E1590">
            <v>11.58</v>
          </cell>
          <cell r="G1590">
            <v>38988</v>
          </cell>
          <cell r="H1590">
            <v>9.64</v>
          </cell>
          <cell r="J1590">
            <v>38986</v>
          </cell>
          <cell r="K1590">
            <v>22.57</v>
          </cell>
          <cell r="M1590">
            <v>38947</v>
          </cell>
          <cell r="N1590">
            <v>8.18</v>
          </cell>
          <cell r="P1590">
            <v>38988</v>
          </cell>
          <cell r="Q1590">
            <v>28.686669999999999</v>
          </cell>
        </row>
        <row r="1591">
          <cell r="D1591">
            <v>38987</v>
          </cell>
          <cell r="E1591">
            <v>12.6</v>
          </cell>
          <cell r="G1591">
            <v>38987</v>
          </cell>
          <cell r="H1591">
            <v>11.71</v>
          </cell>
          <cell r="J1591">
            <v>38985</v>
          </cell>
          <cell r="K1591">
            <v>21.82</v>
          </cell>
          <cell r="M1591">
            <v>38946</v>
          </cell>
          <cell r="N1591">
            <v>8.01</v>
          </cell>
          <cell r="P1591">
            <v>38987</v>
          </cell>
          <cell r="Q1591">
            <v>28.733329999999999</v>
          </cell>
        </row>
        <row r="1592">
          <cell r="D1592">
            <v>38986</v>
          </cell>
          <cell r="E1592">
            <v>12.4</v>
          </cell>
          <cell r="G1592">
            <v>38986</v>
          </cell>
          <cell r="H1592">
            <v>11.72</v>
          </cell>
          <cell r="J1592">
            <v>38982</v>
          </cell>
          <cell r="K1592">
            <v>21.28</v>
          </cell>
          <cell r="M1592">
            <v>38945</v>
          </cell>
          <cell r="N1592">
            <v>7.9080000000000004</v>
          </cell>
          <cell r="P1592">
            <v>38986</v>
          </cell>
          <cell r="Q1592">
            <v>29.23667</v>
          </cell>
        </row>
        <row r="1593">
          <cell r="D1593">
            <v>38985</v>
          </cell>
          <cell r="E1593">
            <v>12.55</v>
          </cell>
          <cell r="G1593">
            <v>38985</v>
          </cell>
          <cell r="H1593">
            <v>11.64</v>
          </cell>
          <cell r="J1593">
            <v>38981</v>
          </cell>
          <cell r="K1593">
            <v>21.39</v>
          </cell>
          <cell r="M1593">
            <v>38944</v>
          </cell>
          <cell r="N1593">
            <v>7.72</v>
          </cell>
          <cell r="P1593">
            <v>38985</v>
          </cell>
          <cell r="Q1593">
            <v>29.266670000000001</v>
          </cell>
        </row>
        <row r="1594">
          <cell r="D1594">
            <v>38982</v>
          </cell>
          <cell r="E1594">
            <v>12.65</v>
          </cell>
          <cell r="G1594">
            <v>38982</v>
          </cell>
          <cell r="H1594">
            <v>11.67</v>
          </cell>
          <cell r="J1594">
            <v>38980</v>
          </cell>
          <cell r="K1594">
            <v>21.66</v>
          </cell>
          <cell r="M1594">
            <v>38943</v>
          </cell>
          <cell r="N1594">
            <v>7.9</v>
          </cell>
          <cell r="P1594">
            <v>38982</v>
          </cell>
          <cell r="Q1594">
            <v>28.95</v>
          </cell>
        </row>
        <row r="1595">
          <cell r="D1595">
            <v>38981</v>
          </cell>
          <cell r="E1595">
            <v>12.49</v>
          </cell>
          <cell r="G1595">
            <v>38981</v>
          </cell>
          <cell r="H1595">
            <v>11.4</v>
          </cell>
          <cell r="J1595">
            <v>38979</v>
          </cell>
          <cell r="K1595">
            <v>21.68</v>
          </cell>
          <cell r="M1595">
            <v>38940</v>
          </cell>
          <cell r="N1595">
            <v>7.86</v>
          </cell>
          <cell r="P1595">
            <v>38981</v>
          </cell>
          <cell r="Q1595">
            <v>29.1</v>
          </cell>
        </row>
        <row r="1596">
          <cell r="D1596">
            <v>38980</v>
          </cell>
          <cell r="E1596">
            <v>12.42</v>
          </cell>
          <cell r="G1596">
            <v>38980</v>
          </cell>
          <cell r="H1596">
            <v>11.72</v>
          </cell>
          <cell r="J1596">
            <v>38978</v>
          </cell>
          <cell r="K1596">
            <v>21.43</v>
          </cell>
          <cell r="M1596">
            <v>38939</v>
          </cell>
          <cell r="N1596">
            <v>7.75</v>
          </cell>
          <cell r="P1596">
            <v>38980</v>
          </cell>
          <cell r="Q1596">
            <v>29.63</v>
          </cell>
        </row>
        <row r="1597">
          <cell r="D1597">
            <v>38979</v>
          </cell>
          <cell r="E1597">
            <v>11.85</v>
          </cell>
          <cell r="G1597">
            <v>38979</v>
          </cell>
          <cell r="H1597">
            <v>11.55</v>
          </cell>
          <cell r="J1597">
            <v>38975</v>
          </cell>
          <cell r="K1597">
            <v>21.58</v>
          </cell>
          <cell r="M1597">
            <v>38938</v>
          </cell>
          <cell r="N1597">
            <v>7.86</v>
          </cell>
          <cell r="P1597">
            <v>38979</v>
          </cell>
          <cell r="Q1597">
            <v>28.33</v>
          </cell>
        </row>
        <row r="1598">
          <cell r="D1598">
            <v>38978</v>
          </cell>
          <cell r="E1598">
            <v>11.65</v>
          </cell>
          <cell r="G1598">
            <v>38978</v>
          </cell>
          <cell r="H1598">
            <v>10.96</v>
          </cell>
          <cell r="J1598">
            <v>38974</v>
          </cell>
          <cell r="K1598">
            <v>21.9</v>
          </cell>
          <cell r="M1598">
            <v>38937</v>
          </cell>
          <cell r="N1598">
            <v>7.9</v>
          </cell>
          <cell r="P1598">
            <v>38978</v>
          </cell>
          <cell r="Q1598">
            <v>28.08</v>
          </cell>
        </row>
        <row r="1599">
          <cell r="D1599">
            <v>38975</v>
          </cell>
          <cell r="E1599">
            <v>11.76</v>
          </cell>
          <cell r="G1599">
            <v>38975</v>
          </cell>
          <cell r="H1599">
            <v>11.26</v>
          </cell>
          <cell r="J1599">
            <v>38973</v>
          </cell>
          <cell r="K1599">
            <v>22.33</v>
          </cell>
          <cell r="M1599">
            <v>38936</v>
          </cell>
          <cell r="N1599">
            <v>7.8</v>
          </cell>
          <cell r="P1599">
            <v>38975</v>
          </cell>
          <cell r="Q1599">
            <v>28.42333</v>
          </cell>
        </row>
        <row r="1600">
          <cell r="D1600">
            <v>38974</v>
          </cell>
          <cell r="E1600">
            <v>11.71</v>
          </cell>
          <cell r="G1600">
            <v>38974</v>
          </cell>
          <cell r="H1600">
            <v>11.67</v>
          </cell>
          <cell r="J1600">
            <v>38972</v>
          </cell>
          <cell r="K1600">
            <v>21.98</v>
          </cell>
          <cell r="M1600">
            <v>38933</v>
          </cell>
          <cell r="N1600">
            <v>7.66</v>
          </cell>
          <cell r="P1600">
            <v>38974</v>
          </cell>
          <cell r="Q1600">
            <v>28.29</v>
          </cell>
        </row>
        <row r="1601">
          <cell r="D1601">
            <v>38973</v>
          </cell>
          <cell r="E1601">
            <v>11.95</v>
          </cell>
          <cell r="G1601">
            <v>38973</v>
          </cell>
          <cell r="H1601">
            <v>11.78</v>
          </cell>
          <cell r="J1601">
            <v>38971</v>
          </cell>
          <cell r="K1601">
            <v>21.75</v>
          </cell>
          <cell r="M1601">
            <v>38931</v>
          </cell>
          <cell r="N1601">
            <v>7.7359999999999998</v>
          </cell>
          <cell r="P1601">
            <v>38973</v>
          </cell>
          <cell r="Q1601">
            <v>27.813330000000001</v>
          </cell>
        </row>
        <row r="1602">
          <cell r="D1602">
            <v>38972</v>
          </cell>
          <cell r="E1602">
            <v>11.49</v>
          </cell>
          <cell r="G1602">
            <v>38972</v>
          </cell>
          <cell r="H1602">
            <v>11.39</v>
          </cell>
          <cell r="J1602">
            <v>38968</v>
          </cell>
          <cell r="K1602">
            <v>21.63</v>
          </cell>
          <cell r="M1602">
            <v>38930</v>
          </cell>
          <cell r="N1602">
            <v>7.76</v>
          </cell>
          <cell r="P1602">
            <v>38972</v>
          </cell>
          <cell r="Q1602">
            <v>27.66667</v>
          </cell>
        </row>
        <row r="1603">
          <cell r="D1603">
            <v>38971</v>
          </cell>
          <cell r="E1603">
            <v>11.03</v>
          </cell>
          <cell r="G1603">
            <v>38971</v>
          </cell>
          <cell r="H1603">
            <v>11.48</v>
          </cell>
          <cell r="J1603">
            <v>38967</v>
          </cell>
          <cell r="K1603">
            <v>21.7</v>
          </cell>
          <cell r="M1603">
            <v>38929</v>
          </cell>
          <cell r="N1603">
            <v>8</v>
          </cell>
          <cell r="P1603">
            <v>38971</v>
          </cell>
          <cell r="Q1603">
            <v>26.80667</v>
          </cell>
        </row>
        <row r="1604">
          <cell r="D1604">
            <v>38968</v>
          </cell>
          <cell r="E1604">
            <v>11.36</v>
          </cell>
          <cell r="G1604">
            <v>38968</v>
          </cell>
          <cell r="H1604">
            <v>11.43</v>
          </cell>
          <cell r="J1604">
            <v>38966</v>
          </cell>
          <cell r="K1604">
            <v>21.62</v>
          </cell>
          <cell r="M1604">
            <v>38926</v>
          </cell>
          <cell r="N1604">
            <v>8.1</v>
          </cell>
          <cell r="P1604">
            <v>38968</v>
          </cell>
          <cell r="Q1604">
            <v>26.66667</v>
          </cell>
        </row>
        <row r="1605">
          <cell r="D1605">
            <v>38967</v>
          </cell>
          <cell r="E1605">
            <v>11.22</v>
          </cell>
          <cell r="G1605">
            <v>38967</v>
          </cell>
          <cell r="H1605">
            <v>11.21</v>
          </cell>
          <cell r="J1605">
            <v>38965</v>
          </cell>
          <cell r="K1605">
            <v>21.69</v>
          </cell>
          <cell r="M1605">
            <v>38925</v>
          </cell>
          <cell r="N1605">
            <v>8</v>
          </cell>
          <cell r="P1605">
            <v>38967</v>
          </cell>
          <cell r="Q1605">
            <v>26.226669999999999</v>
          </cell>
        </row>
        <row r="1606">
          <cell r="D1606">
            <v>38966</v>
          </cell>
          <cell r="E1606">
            <v>11.06</v>
          </cell>
          <cell r="G1606">
            <v>38966</v>
          </cell>
          <cell r="H1606">
            <v>11.28</v>
          </cell>
          <cell r="J1606">
            <v>38961</v>
          </cell>
          <cell r="K1606">
            <v>22.43</v>
          </cell>
          <cell r="M1606">
            <v>38924</v>
          </cell>
          <cell r="N1606">
            <v>7.61</v>
          </cell>
          <cell r="P1606">
            <v>38966</v>
          </cell>
          <cell r="Q1606">
            <v>26.59667</v>
          </cell>
        </row>
        <row r="1607">
          <cell r="D1607">
            <v>38965</v>
          </cell>
          <cell r="E1607">
            <v>11.45</v>
          </cell>
          <cell r="G1607">
            <v>38965</v>
          </cell>
          <cell r="H1607">
            <v>11.56</v>
          </cell>
          <cell r="J1607">
            <v>38960</v>
          </cell>
          <cell r="K1607">
            <v>22.22</v>
          </cell>
          <cell r="M1607">
            <v>38923</v>
          </cell>
          <cell r="N1607">
            <v>7.8</v>
          </cell>
          <cell r="P1607">
            <v>38965</v>
          </cell>
          <cell r="Q1607">
            <v>27.356670000000001</v>
          </cell>
        </row>
        <row r="1608">
          <cell r="D1608">
            <v>38961</v>
          </cell>
          <cell r="E1608">
            <v>11.49</v>
          </cell>
          <cell r="G1608">
            <v>38961</v>
          </cell>
          <cell r="H1608">
            <v>11.26</v>
          </cell>
          <cell r="J1608">
            <v>38959</v>
          </cell>
          <cell r="K1608">
            <v>21.98</v>
          </cell>
          <cell r="M1608">
            <v>38922</v>
          </cell>
          <cell r="N1608">
            <v>7.76</v>
          </cell>
          <cell r="P1608">
            <v>38961</v>
          </cell>
          <cell r="Q1608">
            <v>27.31</v>
          </cell>
        </row>
        <row r="1609">
          <cell r="D1609">
            <v>38960</v>
          </cell>
          <cell r="E1609">
            <v>11.63</v>
          </cell>
          <cell r="G1609">
            <v>38960</v>
          </cell>
          <cell r="H1609">
            <v>11.15</v>
          </cell>
          <cell r="J1609">
            <v>38958</v>
          </cell>
          <cell r="K1609">
            <v>22.02</v>
          </cell>
          <cell r="M1609">
            <v>38919</v>
          </cell>
          <cell r="N1609">
            <v>7.45</v>
          </cell>
          <cell r="P1609">
            <v>38960</v>
          </cell>
          <cell r="Q1609">
            <v>27.5</v>
          </cell>
        </row>
        <row r="1610">
          <cell r="D1610">
            <v>38959</v>
          </cell>
          <cell r="E1610">
            <v>11.7</v>
          </cell>
          <cell r="G1610">
            <v>38959</v>
          </cell>
          <cell r="H1610">
            <v>11.38</v>
          </cell>
          <cell r="J1610">
            <v>38957</v>
          </cell>
          <cell r="K1610">
            <v>21.73</v>
          </cell>
          <cell r="M1610">
            <v>38918</v>
          </cell>
          <cell r="N1610">
            <v>7.415</v>
          </cell>
          <cell r="P1610">
            <v>38959</v>
          </cell>
          <cell r="Q1610">
            <v>27.33</v>
          </cell>
        </row>
        <row r="1611">
          <cell r="D1611">
            <v>38958</v>
          </cell>
          <cell r="E1611">
            <v>11.72</v>
          </cell>
          <cell r="G1611">
            <v>38958</v>
          </cell>
          <cell r="H1611">
            <v>11.14</v>
          </cell>
          <cell r="J1611">
            <v>38954</v>
          </cell>
          <cell r="K1611">
            <v>21.59</v>
          </cell>
          <cell r="M1611">
            <v>38917</v>
          </cell>
          <cell r="N1611">
            <v>7.18</v>
          </cell>
          <cell r="P1611">
            <v>38958</v>
          </cell>
          <cell r="Q1611">
            <v>27.58</v>
          </cell>
        </row>
        <row r="1612">
          <cell r="D1612">
            <v>38957</v>
          </cell>
          <cell r="E1612">
            <v>11.9</v>
          </cell>
          <cell r="G1612">
            <v>38957</v>
          </cell>
          <cell r="H1612">
            <v>10.63</v>
          </cell>
          <cell r="J1612">
            <v>38953</v>
          </cell>
          <cell r="K1612">
            <v>21.72</v>
          </cell>
          <cell r="M1612">
            <v>38916</v>
          </cell>
          <cell r="N1612">
            <v>7.15</v>
          </cell>
          <cell r="P1612">
            <v>38957</v>
          </cell>
          <cell r="Q1612">
            <v>27.59667</v>
          </cell>
        </row>
        <row r="1613">
          <cell r="D1613">
            <v>38954</v>
          </cell>
          <cell r="E1613">
            <v>12.02</v>
          </cell>
          <cell r="G1613">
            <v>38954</v>
          </cell>
          <cell r="H1613">
            <v>10.4</v>
          </cell>
          <cell r="J1613">
            <v>38952</v>
          </cell>
          <cell r="K1613">
            <v>21.25</v>
          </cell>
          <cell r="M1613">
            <v>38915</v>
          </cell>
          <cell r="N1613">
            <v>7.09</v>
          </cell>
          <cell r="P1613">
            <v>38954</v>
          </cell>
          <cell r="Q1613">
            <v>27.473330000000001</v>
          </cell>
        </row>
        <row r="1614">
          <cell r="D1614">
            <v>38953</v>
          </cell>
          <cell r="E1614">
            <v>12.09</v>
          </cell>
          <cell r="G1614">
            <v>38953</v>
          </cell>
          <cell r="H1614">
            <v>9.93</v>
          </cell>
          <cell r="J1614">
            <v>38951</v>
          </cell>
          <cell r="K1614">
            <v>21.56</v>
          </cell>
          <cell r="M1614">
            <v>38912</v>
          </cell>
          <cell r="N1614">
            <v>7.03</v>
          </cell>
          <cell r="P1614">
            <v>38953</v>
          </cell>
          <cell r="Q1614">
            <v>26.74333</v>
          </cell>
        </row>
        <row r="1615">
          <cell r="D1615">
            <v>38952</v>
          </cell>
          <cell r="E1615">
            <v>12.41</v>
          </cell>
          <cell r="G1615">
            <v>38952</v>
          </cell>
          <cell r="H1615">
            <v>10.1</v>
          </cell>
          <cell r="J1615">
            <v>38950</v>
          </cell>
          <cell r="K1615">
            <v>21.14</v>
          </cell>
          <cell r="M1615">
            <v>38911</v>
          </cell>
          <cell r="N1615">
            <v>7.11</v>
          </cell>
          <cell r="P1615">
            <v>38952</v>
          </cell>
          <cell r="Q1615">
            <v>26.34</v>
          </cell>
        </row>
        <row r="1616">
          <cell r="D1616">
            <v>38951</v>
          </cell>
          <cell r="E1616">
            <v>12.53</v>
          </cell>
          <cell r="G1616">
            <v>38951</v>
          </cell>
          <cell r="H1616">
            <v>10.07</v>
          </cell>
          <cell r="J1616">
            <v>38947</v>
          </cell>
          <cell r="K1616">
            <v>21.46</v>
          </cell>
          <cell r="M1616">
            <v>38910</v>
          </cell>
          <cell r="N1616">
            <v>7.45</v>
          </cell>
          <cell r="P1616">
            <v>38951</v>
          </cell>
          <cell r="Q1616">
            <v>26.60333</v>
          </cell>
        </row>
        <row r="1617">
          <cell r="D1617">
            <v>38950</v>
          </cell>
          <cell r="E1617">
            <v>12.48</v>
          </cell>
          <cell r="G1617">
            <v>38950</v>
          </cell>
          <cell r="H1617">
            <v>10.01</v>
          </cell>
          <cell r="J1617">
            <v>38946</v>
          </cell>
          <cell r="K1617">
            <v>21.46</v>
          </cell>
          <cell r="M1617">
            <v>38909</v>
          </cell>
          <cell r="N1617">
            <v>7.39</v>
          </cell>
          <cell r="P1617">
            <v>38950</v>
          </cell>
          <cell r="Q1617">
            <v>26.223330000000001</v>
          </cell>
        </row>
        <row r="1618">
          <cell r="D1618">
            <v>38947</v>
          </cell>
          <cell r="E1618">
            <v>12.56</v>
          </cell>
          <cell r="G1618">
            <v>38947</v>
          </cell>
          <cell r="H1618">
            <v>10.59</v>
          </cell>
          <cell r="J1618">
            <v>38945</v>
          </cell>
          <cell r="K1618">
            <v>21.48</v>
          </cell>
          <cell r="M1618">
            <v>38908</v>
          </cell>
          <cell r="N1618">
            <v>7.16</v>
          </cell>
          <cell r="P1618">
            <v>38947</v>
          </cell>
          <cell r="Q1618">
            <v>26.66667</v>
          </cell>
        </row>
        <row r="1619">
          <cell r="D1619">
            <v>38946</v>
          </cell>
          <cell r="E1619">
            <v>12.71</v>
          </cell>
          <cell r="G1619">
            <v>38946</v>
          </cell>
          <cell r="H1619">
            <v>10.83</v>
          </cell>
          <cell r="J1619">
            <v>38944</v>
          </cell>
          <cell r="K1619">
            <v>21.19</v>
          </cell>
          <cell r="M1619">
            <v>38905</v>
          </cell>
          <cell r="N1619">
            <v>7.5430000000000001</v>
          </cell>
          <cell r="P1619">
            <v>38946</v>
          </cell>
          <cell r="Q1619">
            <v>26.60333</v>
          </cell>
        </row>
        <row r="1620">
          <cell r="D1620">
            <v>38945</v>
          </cell>
          <cell r="E1620">
            <v>12.45</v>
          </cell>
          <cell r="G1620">
            <v>38945</v>
          </cell>
          <cell r="H1620">
            <v>10.72</v>
          </cell>
          <cell r="J1620">
            <v>38943</v>
          </cell>
          <cell r="K1620">
            <v>20.71</v>
          </cell>
          <cell r="M1620">
            <v>38904</v>
          </cell>
          <cell r="N1620">
            <v>7.75</v>
          </cell>
          <cell r="P1620">
            <v>38945</v>
          </cell>
          <cell r="Q1620">
            <v>25.906669999999998</v>
          </cell>
        </row>
        <row r="1621">
          <cell r="D1621">
            <v>38944</v>
          </cell>
          <cell r="E1621">
            <v>12.12</v>
          </cell>
          <cell r="G1621">
            <v>38944</v>
          </cell>
          <cell r="H1621">
            <v>10.45</v>
          </cell>
          <cell r="J1621">
            <v>38940</v>
          </cell>
          <cell r="K1621">
            <v>20.68</v>
          </cell>
          <cell r="M1621">
            <v>38903</v>
          </cell>
          <cell r="N1621">
            <v>7.78</v>
          </cell>
          <cell r="P1621">
            <v>38944</v>
          </cell>
          <cell r="Q1621">
            <v>24.866669999999999</v>
          </cell>
        </row>
        <row r="1622">
          <cell r="D1622">
            <v>38943</v>
          </cell>
          <cell r="E1622">
            <v>11.48</v>
          </cell>
          <cell r="G1622">
            <v>38943</v>
          </cell>
          <cell r="H1622">
            <v>10.8</v>
          </cell>
          <cell r="J1622">
            <v>38939</v>
          </cell>
          <cell r="K1622">
            <v>20.53</v>
          </cell>
          <cell r="M1622">
            <v>38901</v>
          </cell>
          <cell r="N1622">
            <v>7.74</v>
          </cell>
          <cell r="P1622">
            <v>38943</v>
          </cell>
          <cell r="Q1622">
            <v>24.35</v>
          </cell>
        </row>
        <row r="1623">
          <cell r="D1623">
            <v>38940</v>
          </cell>
          <cell r="E1623">
            <v>11.16</v>
          </cell>
          <cell r="G1623">
            <v>38940</v>
          </cell>
          <cell r="H1623">
            <v>10.71</v>
          </cell>
          <cell r="J1623">
            <v>38938</v>
          </cell>
          <cell r="K1623">
            <v>19.309999999999999</v>
          </cell>
          <cell r="M1623">
            <v>38898</v>
          </cell>
          <cell r="N1623">
            <v>7.15</v>
          </cell>
          <cell r="P1623">
            <v>38940</v>
          </cell>
          <cell r="Q1623">
            <v>24.62</v>
          </cell>
        </row>
        <row r="1624">
          <cell r="D1624">
            <v>38939</v>
          </cell>
          <cell r="E1624">
            <v>11.19</v>
          </cell>
          <cell r="G1624">
            <v>38939</v>
          </cell>
          <cell r="H1624">
            <v>11.1</v>
          </cell>
          <cell r="J1624">
            <v>38937</v>
          </cell>
          <cell r="K1624">
            <v>19.46</v>
          </cell>
          <cell r="M1624">
            <v>38897</v>
          </cell>
          <cell r="N1624">
            <v>7</v>
          </cell>
          <cell r="P1624">
            <v>38939</v>
          </cell>
          <cell r="Q1624">
            <v>24.706669999999999</v>
          </cell>
        </row>
        <row r="1625">
          <cell r="D1625">
            <v>38938</v>
          </cell>
          <cell r="E1625">
            <v>11.34</v>
          </cell>
          <cell r="G1625">
            <v>38938</v>
          </cell>
          <cell r="H1625">
            <v>10.86</v>
          </cell>
          <cell r="J1625">
            <v>38936</v>
          </cell>
          <cell r="K1625">
            <v>19.64</v>
          </cell>
          <cell r="M1625">
            <v>38896</v>
          </cell>
          <cell r="N1625">
            <v>7</v>
          </cell>
          <cell r="P1625">
            <v>38938</v>
          </cell>
          <cell r="Q1625">
            <v>22.86</v>
          </cell>
        </row>
        <row r="1626">
          <cell r="D1626">
            <v>38937</v>
          </cell>
          <cell r="E1626">
            <v>11.57</v>
          </cell>
          <cell r="G1626">
            <v>38937</v>
          </cell>
          <cell r="H1626">
            <v>10.86</v>
          </cell>
          <cell r="J1626">
            <v>38933</v>
          </cell>
          <cell r="K1626">
            <v>20.47</v>
          </cell>
          <cell r="M1626">
            <v>38895</v>
          </cell>
          <cell r="N1626">
            <v>7.15</v>
          </cell>
          <cell r="P1626">
            <v>38937</v>
          </cell>
          <cell r="Q1626">
            <v>22.58</v>
          </cell>
        </row>
        <row r="1627">
          <cell r="D1627">
            <v>38936</v>
          </cell>
          <cell r="E1627">
            <v>11.74</v>
          </cell>
          <cell r="G1627">
            <v>38936</v>
          </cell>
          <cell r="H1627">
            <v>11.36</v>
          </cell>
          <cell r="J1627">
            <v>38932</v>
          </cell>
          <cell r="K1627">
            <v>20.86</v>
          </cell>
          <cell r="M1627">
            <v>38894</v>
          </cell>
          <cell r="N1627">
            <v>7.4</v>
          </cell>
          <cell r="P1627">
            <v>38936</v>
          </cell>
          <cell r="Q1627">
            <v>22.33</v>
          </cell>
        </row>
        <row r="1628">
          <cell r="D1628">
            <v>38933</v>
          </cell>
          <cell r="E1628">
            <v>11.84</v>
          </cell>
          <cell r="G1628">
            <v>38933</v>
          </cell>
          <cell r="H1628">
            <v>11.63</v>
          </cell>
          <cell r="J1628">
            <v>38931</v>
          </cell>
          <cell r="K1628">
            <v>20.295999999999999</v>
          </cell>
          <cell r="M1628">
            <v>38891</v>
          </cell>
          <cell r="N1628">
            <v>7.29</v>
          </cell>
          <cell r="P1628">
            <v>38933</v>
          </cell>
          <cell r="Q1628">
            <v>22.043330000000001</v>
          </cell>
        </row>
        <row r="1629">
          <cell r="D1629">
            <v>38932</v>
          </cell>
          <cell r="E1629">
            <v>11.99</v>
          </cell>
          <cell r="G1629">
            <v>38932</v>
          </cell>
          <cell r="H1629">
            <v>11.84</v>
          </cell>
          <cell r="J1629">
            <v>38930</v>
          </cell>
          <cell r="K1629">
            <v>16.63</v>
          </cell>
          <cell r="M1629">
            <v>38890</v>
          </cell>
          <cell r="N1629">
            <v>7.72</v>
          </cell>
          <cell r="P1629">
            <v>38932</v>
          </cell>
          <cell r="Q1629">
            <v>21.62</v>
          </cell>
        </row>
        <row r="1630">
          <cell r="D1630">
            <v>38931</v>
          </cell>
          <cell r="E1630">
            <v>12.34</v>
          </cell>
          <cell r="G1630">
            <v>38931</v>
          </cell>
          <cell r="H1630">
            <v>11.62</v>
          </cell>
          <cell r="J1630">
            <v>38929</v>
          </cell>
          <cell r="K1630">
            <v>16.920000000000002</v>
          </cell>
          <cell r="M1630">
            <v>38889</v>
          </cell>
          <cell r="N1630">
            <v>7.87</v>
          </cell>
          <cell r="P1630">
            <v>38931</v>
          </cell>
          <cell r="Q1630">
            <v>21.453330000000001</v>
          </cell>
        </row>
        <row r="1631">
          <cell r="D1631">
            <v>38930</v>
          </cell>
          <cell r="E1631">
            <v>12.54</v>
          </cell>
          <cell r="G1631">
            <v>38930</v>
          </cell>
          <cell r="H1631">
            <v>11.36</v>
          </cell>
          <cell r="J1631">
            <v>38926</v>
          </cell>
          <cell r="K1631">
            <v>16.93</v>
          </cell>
          <cell r="M1631">
            <v>38888</v>
          </cell>
          <cell r="N1631">
            <v>7.35</v>
          </cell>
          <cell r="P1631">
            <v>38930</v>
          </cell>
          <cell r="Q1631">
            <v>21.186669999999999</v>
          </cell>
        </row>
        <row r="1632">
          <cell r="D1632">
            <v>38929</v>
          </cell>
          <cell r="E1632">
            <v>12.38</v>
          </cell>
          <cell r="G1632">
            <v>38929</v>
          </cell>
          <cell r="H1632">
            <v>11.06</v>
          </cell>
          <cell r="J1632">
            <v>38925</v>
          </cell>
          <cell r="K1632">
            <v>16.66</v>
          </cell>
          <cell r="M1632">
            <v>38887</v>
          </cell>
          <cell r="N1632">
            <v>7</v>
          </cell>
          <cell r="P1632">
            <v>38929</v>
          </cell>
          <cell r="Q1632">
            <v>21.876670000000001</v>
          </cell>
        </row>
        <row r="1633">
          <cell r="D1633">
            <v>38926</v>
          </cell>
          <cell r="E1633">
            <v>12.7</v>
          </cell>
          <cell r="G1633">
            <v>38926</v>
          </cell>
          <cell r="H1633">
            <v>11.05</v>
          </cell>
          <cell r="J1633">
            <v>38924</v>
          </cell>
          <cell r="K1633">
            <v>16.48</v>
          </cell>
          <cell r="M1633">
            <v>38884</v>
          </cell>
          <cell r="N1633">
            <v>7.39</v>
          </cell>
          <cell r="P1633">
            <v>38926</v>
          </cell>
          <cell r="Q1633">
            <v>21.93</v>
          </cell>
        </row>
        <row r="1634">
          <cell r="D1634">
            <v>38925</v>
          </cell>
          <cell r="E1634">
            <v>16.25</v>
          </cell>
          <cell r="G1634">
            <v>38925</v>
          </cell>
          <cell r="H1634">
            <v>11.44</v>
          </cell>
          <cell r="J1634">
            <v>38923</v>
          </cell>
          <cell r="K1634">
            <v>17.37</v>
          </cell>
          <cell r="M1634">
            <v>38883</v>
          </cell>
          <cell r="N1634">
            <v>7.18</v>
          </cell>
          <cell r="P1634">
            <v>38925</v>
          </cell>
          <cell r="Q1634">
            <v>21.616669999999999</v>
          </cell>
        </row>
        <row r="1635">
          <cell r="D1635">
            <v>38924</v>
          </cell>
          <cell r="E1635">
            <v>16.87</v>
          </cell>
          <cell r="G1635">
            <v>38924</v>
          </cell>
          <cell r="H1635">
            <v>11.96</v>
          </cell>
          <cell r="J1635">
            <v>38922</v>
          </cell>
          <cell r="K1635">
            <v>16.77</v>
          </cell>
          <cell r="M1635">
            <v>38882</v>
          </cell>
          <cell r="N1635">
            <v>7.16</v>
          </cell>
          <cell r="P1635">
            <v>38924</v>
          </cell>
          <cell r="Q1635">
            <v>21.79</v>
          </cell>
        </row>
        <row r="1636">
          <cell r="D1636">
            <v>38923</v>
          </cell>
          <cell r="E1636">
            <v>16.34</v>
          </cell>
          <cell r="G1636">
            <v>38923</v>
          </cell>
          <cell r="H1636">
            <v>11.73</v>
          </cell>
          <cell r="J1636">
            <v>38919</v>
          </cell>
          <cell r="K1636">
            <v>16.55</v>
          </cell>
          <cell r="M1636">
            <v>38881</v>
          </cell>
          <cell r="N1636">
            <v>7.25</v>
          </cell>
          <cell r="P1636">
            <v>38923</v>
          </cell>
          <cell r="Q1636">
            <v>21.893329999999999</v>
          </cell>
        </row>
        <row r="1637">
          <cell r="D1637">
            <v>38922</v>
          </cell>
          <cell r="E1637">
            <v>15.68</v>
          </cell>
          <cell r="G1637">
            <v>38922</v>
          </cell>
          <cell r="H1637">
            <v>11.67</v>
          </cell>
          <cell r="J1637">
            <v>38918</v>
          </cell>
          <cell r="K1637">
            <v>17.010000000000002</v>
          </cell>
          <cell r="M1637">
            <v>38880</v>
          </cell>
          <cell r="N1637">
            <v>7.26</v>
          </cell>
          <cell r="P1637">
            <v>38922</v>
          </cell>
          <cell r="Q1637">
            <v>21.683330000000002</v>
          </cell>
        </row>
        <row r="1638">
          <cell r="D1638">
            <v>38919</v>
          </cell>
          <cell r="E1638">
            <v>15.19</v>
          </cell>
          <cell r="G1638">
            <v>38919</v>
          </cell>
          <cell r="H1638">
            <v>10.51</v>
          </cell>
          <cell r="J1638">
            <v>38917</v>
          </cell>
          <cell r="K1638">
            <v>16.87</v>
          </cell>
          <cell r="M1638">
            <v>38877</v>
          </cell>
          <cell r="N1638">
            <v>7.5</v>
          </cell>
          <cell r="P1638">
            <v>38919</v>
          </cell>
          <cell r="Q1638">
            <v>20.793330000000001</v>
          </cell>
        </row>
        <row r="1639">
          <cell r="D1639">
            <v>38918</v>
          </cell>
          <cell r="E1639">
            <v>15.76</v>
          </cell>
          <cell r="G1639">
            <v>38918</v>
          </cell>
          <cell r="H1639">
            <v>10.93</v>
          </cell>
          <cell r="J1639">
            <v>38916</v>
          </cell>
          <cell r="K1639">
            <v>16.23</v>
          </cell>
          <cell r="M1639">
            <v>38876</v>
          </cell>
          <cell r="N1639">
            <v>7.5</v>
          </cell>
          <cell r="P1639">
            <v>38918</v>
          </cell>
          <cell r="Q1639">
            <v>21.406669999999998</v>
          </cell>
        </row>
        <row r="1640">
          <cell r="D1640">
            <v>38917</v>
          </cell>
          <cell r="E1640">
            <v>15.4</v>
          </cell>
          <cell r="G1640">
            <v>38917</v>
          </cell>
          <cell r="H1640">
            <v>10.97</v>
          </cell>
          <cell r="J1640">
            <v>38915</v>
          </cell>
          <cell r="K1640">
            <v>15.75</v>
          </cell>
          <cell r="M1640">
            <v>38875</v>
          </cell>
          <cell r="N1640">
            <v>7.55</v>
          </cell>
          <cell r="P1640">
            <v>38917</v>
          </cell>
          <cell r="Q1640">
            <v>21.47</v>
          </cell>
        </row>
        <row r="1641">
          <cell r="D1641">
            <v>38916</v>
          </cell>
          <cell r="E1641">
            <v>15.66</v>
          </cell>
          <cell r="G1641">
            <v>38916</v>
          </cell>
          <cell r="H1641">
            <v>10.68</v>
          </cell>
          <cell r="J1641">
            <v>38912</v>
          </cell>
          <cell r="K1641">
            <v>15.9</v>
          </cell>
          <cell r="M1641">
            <v>38874</v>
          </cell>
          <cell r="N1641">
            <v>7.5</v>
          </cell>
          <cell r="P1641">
            <v>38916</v>
          </cell>
          <cell r="Q1641">
            <v>21.64667</v>
          </cell>
        </row>
        <row r="1642">
          <cell r="D1642">
            <v>38915</v>
          </cell>
          <cell r="E1642">
            <v>16.03</v>
          </cell>
          <cell r="G1642">
            <v>38915</v>
          </cell>
          <cell r="H1642">
            <v>10.73</v>
          </cell>
          <cell r="J1642">
            <v>38911</v>
          </cell>
          <cell r="K1642">
            <v>16.36</v>
          </cell>
          <cell r="M1642">
            <v>38873</v>
          </cell>
          <cell r="N1642">
            <v>7.54</v>
          </cell>
          <cell r="P1642">
            <v>38915</v>
          </cell>
          <cell r="Q1642">
            <v>20.9</v>
          </cell>
        </row>
        <row r="1643">
          <cell r="D1643">
            <v>38912</v>
          </cell>
          <cell r="E1643">
            <v>16.5</v>
          </cell>
          <cell r="G1643">
            <v>38912</v>
          </cell>
          <cell r="H1643">
            <v>10.99</v>
          </cell>
          <cell r="J1643">
            <v>38910</v>
          </cell>
          <cell r="K1643">
            <v>16.850000000000001</v>
          </cell>
          <cell r="M1643">
            <v>38870</v>
          </cell>
          <cell r="N1643">
            <v>7.54</v>
          </cell>
          <cell r="P1643">
            <v>38912</v>
          </cell>
          <cell r="Q1643">
            <v>21.1</v>
          </cell>
        </row>
        <row r="1644">
          <cell r="D1644">
            <v>38911</v>
          </cell>
          <cell r="E1644">
            <v>16.260000000000002</v>
          </cell>
          <cell r="G1644">
            <v>38911</v>
          </cell>
          <cell r="H1644">
            <v>11.39</v>
          </cell>
          <cell r="J1644">
            <v>38909</v>
          </cell>
          <cell r="K1644">
            <v>17.52</v>
          </cell>
          <cell r="M1644">
            <v>38869</v>
          </cell>
          <cell r="N1644">
            <v>7.3</v>
          </cell>
          <cell r="P1644">
            <v>38911</v>
          </cell>
          <cell r="Q1644">
            <v>21.616669999999999</v>
          </cell>
        </row>
        <row r="1645">
          <cell r="D1645">
            <v>38910</v>
          </cell>
          <cell r="E1645">
            <v>16.899999999999999</v>
          </cell>
          <cell r="G1645">
            <v>38910</v>
          </cell>
          <cell r="H1645">
            <v>11.1</v>
          </cell>
          <cell r="J1645">
            <v>38908</v>
          </cell>
          <cell r="K1645">
            <v>17.899999999999999</v>
          </cell>
          <cell r="M1645">
            <v>38868</v>
          </cell>
          <cell r="N1645">
            <v>7.1539999999999999</v>
          </cell>
          <cell r="P1645">
            <v>38910</v>
          </cell>
          <cell r="Q1645">
            <v>22.15</v>
          </cell>
        </row>
        <row r="1646">
          <cell r="D1646">
            <v>38909</v>
          </cell>
          <cell r="E1646">
            <v>17.170000000000002</v>
          </cell>
          <cell r="G1646">
            <v>38909</v>
          </cell>
          <cell r="H1646">
            <v>11.01</v>
          </cell>
          <cell r="J1646">
            <v>38905</v>
          </cell>
          <cell r="K1646">
            <v>18.059999999999999</v>
          </cell>
          <cell r="M1646">
            <v>38867</v>
          </cell>
          <cell r="N1646">
            <v>7.3</v>
          </cell>
          <cell r="P1646">
            <v>38909</v>
          </cell>
          <cell r="Q1646">
            <v>22.446670000000001</v>
          </cell>
        </row>
        <row r="1647">
          <cell r="D1647">
            <v>38908</v>
          </cell>
          <cell r="E1647">
            <v>16.53</v>
          </cell>
          <cell r="G1647">
            <v>38908</v>
          </cell>
          <cell r="H1647">
            <v>10.92</v>
          </cell>
          <cell r="J1647">
            <v>38904</v>
          </cell>
          <cell r="K1647">
            <v>18.309999999999999</v>
          </cell>
          <cell r="M1647">
            <v>38863</v>
          </cell>
          <cell r="N1647">
            <v>7.25</v>
          </cell>
          <cell r="P1647">
            <v>38908</v>
          </cell>
          <cell r="Q1647">
            <v>22.703330000000001</v>
          </cell>
        </row>
        <row r="1648">
          <cell r="D1648">
            <v>38905</v>
          </cell>
          <cell r="E1648">
            <v>17.39</v>
          </cell>
          <cell r="G1648">
            <v>38905</v>
          </cell>
          <cell r="H1648">
            <v>10.94</v>
          </cell>
          <cell r="J1648">
            <v>38903</v>
          </cell>
          <cell r="K1648">
            <v>18.11</v>
          </cell>
          <cell r="M1648">
            <v>38862</v>
          </cell>
          <cell r="N1648">
            <v>7.16</v>
          </cell>
          <cell r="P1648">
            <v>38905</v>
          </cell>
          <cell r="Q1648">
            <v>23.32667</v>
          </cell>
        </row>
        <row r="1649">
          <cell r="D1649">
            <v>38904</v>
          </cell>
          <cell r="E1649">
            <v>17.57</v>
          </cell>
          <cell r="G1649">
            <v>38904</v>
          </cell>
          <cell r="H1649">
            <v>10.74</v>
          </cell>
          <cell r="J1649">
            <v>38901</v>
          </cell>
          <cell r="K1649">
            <v>18.170000000000002</v>
          </cell>
          <cell r="M1649">
            <v>38861</v>
          </cell>
          <cell r="N1649">
            <v>7.09</v>
          </cell>
          <cell r="P1649">
            <v>38904</v>
          </cell>
          <cell r="Q1649">
            <v>23.073329999999999</v>
          </cell>
        </row>
        <row r="1650">
          <cell r="D1650">
            <v>38903</v>
          </cell>
          <cell r="E1650">
            <v>17.64</v>
          </cell>
          <cell r="G1650">
            <v>38903</v>
          </cell>
          <cell r="H1650">
            <v>10.51</v>
          </cell>
          <cell r="J1650">
            <v>38898</v>
          </cell>
          <cell r="K1650">
            <v>17.73</v>
          </cell>
          <cell r="M1650">
            <v>38860</v>
          </cell>
          <cell r="N1650">
            <v>7.476</v>
          </cell>
          <cell r="P1650">
            <v>38903</v>
          </cell>
          <cell r="Q1650">
            <v>23.32</v>
          </cell>
        </row>
        <row r="1651">
          <cell r="D1651">
            <v>38901</v>
          </cell>
          <cell r="E1651">
            <v>17.510000000000002</v>
          </cell>
          <cell r="G1651">
            <v>38901</v>
          </cell>
          <cell r="H1651">
            <v>10.85</v>
          </cell>
          <cell r="J1651">
            <v>38897</v>
          </cell>
          <cell r="K1651">
            <v>18.05</v>
          </cell>
          <cell r="M1651">
            <v>38859</v>
          </cell>
          <cell r="N1651">
            <v>7</v>
          </cell>
          <cell r="P1651">
            <v>38901</v>
          </cell>
          <cell r="Q1651">
            <v>23.803329999999999</v>
          </cell>
        </row>
        <row r="1652">
          <cell r="D1652">
            <v>38898</v>
          </cell>
          <cell r="E1652">
            <v>18.04</v>
          </cell>
          <cell r="G1652">
            <v>38898</v>
          </cell>
          <cell r="H1652">
            <v>10.42</v>
          </cell>
          <cell r="J1652">
            <v>38896</v>
          </cell>
          <cell r="K1652">
            <v>16.5</v>
          </cell>
          <cell r="M1652">
            <v>38856</v>
          </cell>
          <cell r="N1652">
            <v>7.09</v>
          </cell>
          <cell r="P1652">
            <v>38898</v>
          </cell>
          <cell r="Q1652">
            <v>23.25667</v>
          </cell>
        </row>
        <row r="1653">
          <cell r="D1653">
            <v>38897</v>
          </cell>
          <cell r="E1653">
            <v>17.16</v>
          </cell>
          <cell r="G1653">
            <v>38897</v>
          </cell>
          <cell r="H1653">
            <v>9.64</v>
          </cell>
          <cell r="J1653">
            <v>38895</v>
          </cell>
          <cell r="K1653">
            <v>16.670000000000002</v>
          </cell>
          <cell r="M1653">
            <v>38855</v>
          </cell>
          <cell r="N1653">
            <v>7.2</v>
          </cell>
          <cell r="P1653">
            <v>38897</v>
          </cell>
          <cell r="Q1653">
            <v>21.995000000000001</v>
          </cell>
        </row>
        <row r="1654">
          <cell r="D1654">
            <v>38896</v>
          </cell>
          <cell r="E1654">
            <v>16.18</v>
          </cell>
          <cell r="G1654">
            <v>38896</v>
          </cell>
          <cell r="H1654">
            <v>9.3699999999999992</v>
          </cell>
          <cell r="J1654">
            <v>38894</v>
          </cell>
          <cell r="K1654">
            <v>16.98</v>
          </cell>
          <cell r="M1654">
            <v>38854</v>
          </cell>
          <cell r="N1654">
            <v>7.05</v>
          </cell>
          <cell r="P1654">
            <v>38896</v>
          </cell>
          <cell r="Q1654">
            <v>21.91</v>
          </cell>
        </row>
        <row r="1655">
          <cell r="D1655">
            <v>38895</v>
          </cell>
          <cell r="E1655">
            <v>16.37</v>
          </cell>
          <cell r="G1655">
            <v>38895</v>
          </cell>
          <cell r="H1655">
            <v>9.16</v>
          </cell>
          <cell r="J1655">
            <v>38891</v>
          </cell>
          <cell r="K1655">
            <v>16.850000000000001</v>
          </cell>
          <cell r="M1655">
            <v>38853</v>
          </cell>
          <cell r="N1655">
            <v>7.2</v>
          </cell>
          <cell r="P1655">
            <v>38895</v>
          </cell>
          <cell r="Q1655">
            <v>21.773330000000001</v>
          </cell>
        </row>
        <row r="1656">
          <cell r="D1656">
            <v>38894</v>
          </cell>
          <cell r="E1656">
            <v>16.29</v>
          </cell>
          <cell r="G1656">
            <v>38894</v>
          </cell>
          <cell r="H1656">
            <v>9.4700000000000006</v>
          </cell>
          <cell r="J1656">
            <v>38890</v>
          </cell>
          <cell r="K1656">
            <v>16.87</v>
          </cell>
          <cell r="M1656">
            <v>38852</v>
          </cell>
          <cell r="N1656">
            <v>7.35</v>
          </cell>
          <cell r="P1656">
            <v>38894</v>
          </cell>
          <cell r="Q1656">
            <v>22.216670000000001</v>
          </cell>
        </row>
        <row r="1657">
          <cell r="D1657">
            <v>38891</v>
          </cell>
          <cell r="E1657">
            <v>16.149999999999999</v>
          </cell>
          <cell r="G1657">
            <v>38891</v>
          </cell>
          <cell r="H1657">
            <v>9.43</v>
          </cell>
          <cell r="J1657">
            <v>38889</v>
          </cell>
          <cell r="K1657">
            <v>16.96</v>
          </cell>
          <cell r="M1657">
            <v>38849</v>
          </cell>
          <cell r="N1657">
            <v>7.9</v>
          </cell>
          <cell r="P1657">
            <v>38891</v>
          </cell>
          <cell r="Q1657">
            <v>21.933330000000002</v>
          </cell>
        </row>
        <row r="1658">
          <cell r="D1658">
            <v>38890</v>
          </cell>
          <cell r="E1658">
            <v>16.170000000000002</v>
          </cell>
          <cell r="G1658">
            <v>38890</v>
          </cell>
          <cell r="H1658">
            <v>9.58</v>
          </cell>
          <cell r="J1658">
            <v>38888</v>
          </cell>
          <cell r="K1658">
            <v>16.350000000000001</v>
          </cell>
          <cell r="M1658">
            <v>38848</v>
          </cell>
          <cell r="N1658">
            <v>8.1329999999999991</v>
          </cell>
          <cell r="P1658">
            <v>38890</v>
          </cell>
          <cell r="Q1658">
            <v>21.466670000000001</v>
          </cell>
        </row>
        <row r="1659">
          <cell r="D1659">
            <v>38889</v>
          </cell>
          <cell r="E1659">
            <v>16.12</v>
          </cell>
          <cell r="G1659">
            <v>38889</v>
          </cell>
          <cell r="H1659">
            <v>9.67</v>
          </cell>
          <cell r="J1659">
            <v>38887</v>
          </cell>
          <cell r="K1659">
            <v>17.010000000000002</v>
          </cell>
          <cell r="M1659">
            <v>38847</v>
          </cell>
          <cell r="N1659">
            <v>8.3640000000000008</v>
          </cell>
          <cell r="P1659">
            <v>38889</v>
          </cell>
          <cell r="Q1659">
            <v>20.953330000000001</v>
          </cell>
        </row>
        <row r="1660">
          <cell r="D1660">
            <v>38888</v>
          </cell>
          <cell r="E1660">
            <v>15.4</v>
          </cell>
          <cell r="G1660">
            <v>38888</v>
          </cell>
          <cell r="H1660">
            <v>9.51</v>
          </cell>
          <cell r="J1660">
            <v>38884</v>
          </cell>
          <cell r="K1660">
            <v>16.95</v>
          </cell>
          <cell r="M1660">
            <v>38846</v>
          </cell>
          <cell r="N1660">
            <v>8.6</v>
          </cell>
          <cell r="P1660">
            <v>38888</v>
          </cell>
          <cell r="Q1660">
            <v>20.68</v>
          </cell>
        </row>
        <row r="1661">
          <cell r="D1661">
            <v>38887</v>
          </cell>
          <cell r="E1661">
            <v>15.33</v>
          </cell>
          <cell r="G1661">
            <v>38887</v>
          </cell>
          <cell r="H1661">
            <v>9.58</v>
          </cell>
          <cell r="J1661">
            <v>38883</v>
          </cell>
          <cell r="K1661">
            <v>17.5</v>
          </cell>
          <cell r="M1661">
            <v>38845</v>
          </cell>
          <cell r="N1661">
            <v>8.5</v>
          </cell>
          <cell r="P1661">
            <v>38887</v>
          </cell>
          <cell r="Q1661">
            <v>20.74</v>
          </cell>
        </row>
        <row r="1662">
          <cell r="D1662">
            <v>38884</v>
          </cell>
          <cell r="E1662">
            <v>15.68</v>
          </cell>
          <cell r="G1662">
            <v>38884</v>
          </cell>
          <cell r="H1662">
            <v>9.51</v>
          </cell>
          <cell r="J1662">
            <v>38882</v>
          </cell>
          <cell r="K1662">
            <v>16.649999999999999</v>
          </cell>
          <cell r="M1662">
            <v>38842</v>
          </cell>
          <cell r="N1662">
            <v>8.3000000000000007</v>
          </cell>
          <cell r="P1662">
            <v>38884</v>
          </cell>
          <cell r="Q1662">
            <v>21.233329999999999</v>
          </cell>
        </row>
        <row r="1663">
          <cell r="D1663">
            <v>38883</v>
          </cell>
          <cell r="E1663">
            <v>16.39</v>
          </cell>
          <cell r="G1663">
            <v>38883</v>
          </cell>
          <cell r="H1663">
            <v>9.68</v>
          </cell>
          <cell r="J1663">
            <v>38881</v>
          </cell>
          <cell r="K1663">
            <v>16.98</v>
          </cell>
          <cell r="M1663">
            <v>38841</v>
          </cell>
          <cell r="N1663">
            <v>8.25</v>
          </cell>
          <cell r="P1663">
            <v>38883</v>
          </cell>
          <cell r="Q1663">
            <v>21.476669999999999</v>
          </cell>
        </row>
        <row r="1664">
          <cell r="D1664">
            <v>38882</v>
          </cell>
          <cell r="E1664">
            <v>14.29</v>
          </cell>
          <cell r="G1664">
            <v>38882</v>
          </cell>
          <cell r="H1664">
            <v>9.59</v>
          </cell>
          <cell r="J1664">
            <v>38880</v>
          </cell>
          <cell r="K1664">
            <v>17.989999999999998</v>
          </cell>
          <cell r="M1664">
            <v>38840</v>
          </cell>
          <cell r="N1664">
            <v>8.19</v>
          </cell>
          <cell r="P1664">
            <v>38882</v>
          </cell>
          <cell r="Q1664">
            <v>20.89</v>
          </cell>
        </row>
        <row r="1665">
          <cell r="D1665">
            <v>38881</v>
          </cell>
          <cell r="E1665">
            <v>14.18</v>
          </cell>
          <cell r="G1665">
            <v>38881</v>
          </cell>
          <cell r="H1665">
            <v>9.4499999999999993</v>
          </cell>
          <cell r="J1665">
            <v>38877</v>
          </cell>
          <cell r="K1665">
            <v>18.89</v>
          </cell>
          <cell r="M1665">
            <v>38839</v>
          </cell>
          <cell r="N1665">
            <v>8.25</v>
          </cell>
          <cell r="P1665">
            <v>38881</v>
          </cell>
          <cell r="Q1665">
            <v>20.796669999999999</v>
          </cell>
        </row>
        <row r="1666">
          <cell r="D1666">
            <v>38880</v>
          </cell>
          <cell r="E1666">
            <v>14.66</v>
          </cell>
          <cell r="G1666">
            <v>38880</v>
          </cell>
          <cell r="H1666">
            <v>9.6300000000000008</v>
          </cell>
          <cell r="J1666">
            <v>38876</v>
          </cell>
          <cell r="K1666">
            <v>19.09</v>
          </cell>
          <cell r="M1666">
            <v>38838</v>
          </cell>
          <cell r="N1666">
            <v>8.5</v>
          </cell>
          <cell r="P1666">
            <v>38880</v>
          </cell>
          <cell r="Q1666">
            <v>21.05667</v>
          </cell>
        </row>
        <row r="1667">
          <cell r="D1667">
            <v>38877</v>
          </cell>
          <cell r="E1667">
            <v>15.29</v>
          </cell>
          <cell r="G1667">
            <v>38877</v>
          </cell>
          <cell r="H1667">
            <v>9.89</v>
          </cell>
          <cell r="J1667">
            <v>38875</v>
          </cell>
          <cell r="K1667">
            <v>19.649999999999999</v>
          </cell>
          <cell r="M1667">
            <v>38835</v>
          </cell>
          <cell r="N1667">
            <v>8.82</v>
          </cell>
          <cell r="P1667">
            <v>38877</v>
          </cell>
          <cell r="Q1667">
            <v>21.69</v>
          </cell>
        </row>
        <row r="1668">
          <cell r="D1668">
            <v>38876</v>
          </cell>
          <cell r="E1668">
            <v>15.31</v>
          </cell>
          <cell r="G1668">
            <v>38876</v>
          </cell>
          <cell r="H1668">
            <v>10.199999999999999</v>
          </cell>
          <cell r="J1668">
            <v>38874</v>
          </cell>
          <cell r="K1668">
            <v>19.91</v>
          </cell>
          <cell r="M1668">
            <v>38834</v>
          </cell>
          <cell r="N1668">
            <v>8.3000000000000007</v>
          </cell>
          <cell r="P1668">
            <v>38876</v>
          </cell>
          <cell r="Q1668">
            <v>21.75</v>
          </cell>
        </row>
        <row r="1669">
          <cell r="D1669">
            <v>38875</v>
          </cell>
          <cell r="E1669">
            <v>15.8</v>
          </cell>
          <cell r="G1669">
            <v>38875</v>
          </cell>
          <cell r="H1669">
            <v>10.24</v>
          </cell>
          <cell r="J1669">
            <v>38873</v>
          </cell>
          <cell r="K1669">
            <v>19.82</v>
          </cell>
          <cell r="M1669">
            <v>38833</v>
          </cell>
          <cell r="N1669">
            <v>8</v>
          </cell>
          <cell r="P1669">
            <v>38875</v>
          </cell>
          <cell r="Q1669">
            <v>21.65333</v>
          </cell>
        </row>
        <row r="1670">
          <cell r="D1670">
            <v>38874</v>
          </cell>
          <cell r="E1670">
            <v>15.87</v>
          </cell>
          <cell r="G1670">
            <v>38874</v>
          </cell>
          <cell r="H1670">
            <v>10.19</v>
          </cell>
          <cell r="J1670">
            <v>38870</v>
          </cell>
          <cell r="K1670">
            <v>20.5</v>
          </cell>
          <cell r="M1670">
            <v>38832</v>
          </cell>
          <cell r="N1670">
            <v>8.02</v>
          </cell>
          <cell r="P1670">
            <v>38874</v>
          </cell>
          <cell r="Q1670">
            <v>21.56</v>
          </cell>
        </row>
        <row r="1671">
          <cell r="D1671">
            <v>38873</v>
          </cell>
          <cell r="E1671">
            <v>16.46</v>
          </cell>
          <cell r="G1671">
            <v>38873</v>
          </cell>
          <cell r="H1671">
            <v>10.38</v>
          </cell>
          <cell r="J1671">
            <v>38869</v>
          </cell>
          <cell r="K1671">
            <v>20.49</v>
          </cell>
          <cell r="M1671">
            <v>38831</v>
          </cell>
          <cell r="N1671">
            <v>7.86</v>
          </cell>
          <cell r="P1671">
            <v>38873</v>
          </cell>
          <cell r="Q1671">
            <v>21.73</v>
          </cell>
        </row>
        <row r="1672">
          <cell r="D1672">
            <v>38870</v>
          </cell>
          <cell r="E1672">
            <v>16.63</v>
          </cell>
          <cell r="G1672">
            <v>38870</v>
          </cell>
          <cell r="H1672">
            <v>10.67</v>
          </cell>
          <cell r="J1672">
            <v>38868</v>
          </cell>
          <cell r="K1672">
            <v>20.53</v>
          </cell>
          <cell r="M1672">
            <v>38828</v>
          </cell>
          <cell r="N1672">
            <v>7.97</v>
          </cell>
          <cell r="P1672">
            <v>38870</v>
          </cell>
          <cell r="Q1672">
            <v>22.61</v>
          </cell>
        </row>
        <row r="1673">
          <cell r="D1673">
            <v>38869</v>
          </cell>
          <cell r="E1673">
            <v>17.2</v>
          </cell>
          <cell r="G1673">
            <v>38869</v>
          </cell>
          <cell r="H1673">
            <v>11.21</v>
          </cell>
          <cell r="J1673">
            <v>38867</v>
          </cell>
          <cell r="K1673">
            <v>20.25</v>
          </cell>
          <cell r="M1673">
            <v>38827</v>
          </cell>
          <cell r="N1673">
            <v>8.0399999999999991</v>
          </cell>
          <cell r="P1673">
            <v>38869</v>
          </cell>
          <cell r="Q1673">
            <v>21.97</v>
          </cell>
        </row>
        <row r="1674">
          <cell r="D1674">
            <v>38868</v>
          </cell>
          <cell r="E1674">
            <v>16.899999999999999</v>
          </cell>
          <cell r="G1674">
            <v>38868</v>
          </cell>
          <cell r="H1674">
            <v>11.14</v>
          </cell>
          <cell r="J1674">
            <v>38863</v>
          </cell>
          <cell r="K1674">
            <v>20.46</v>
          </cell>
          <cell r="M1674">
            <v>38826</v>
          </cell>
          <cell r="N1674">
            <v>8</v>
          </cell>
          <cell r="P1674">
            <v>38868</v>
          </cell>
          <cell r="Q1674">
            <v>21.63</v>
          </cell>
        </row>
        <row r="1675">
          <cell r="D1675">
            <v>38867</v>
          </cell>
          <cell r="E1675">
            <v>16.940000000000001</v>
          </cell>
          <cell r="G1675">
            <v>38867</v>
          </cell>
          <cell r="H1675">
            <v>10.92</v>
          </cell>
          <cell r="J1675">
            <v>38862</v>
          </cell>
          <cell r="K1675">
            <v>20.47</v>
          </cell>
          <cell r="M1675">
            <v>38825</v>
          </cell>
          <cell r="N1675">
            <v>7.85</v>
          </cell>
          <cell r="P1675">
            <v>38867</v>
          </cell>
          <cell r="Q1675">
            <v>21.6</v>
          </cell>
        </row>
        <row r="1676">
          <cell r="D1676">
            <v>38863</v>
          </cell>
          <cell r="E1676">
            <v>18.12</v>
          </cell>
          <cell r="G1676">
            <v>38863</v>
          </cell>
          <cell r="H1676">
            <v>11.46</v>
          </cell>
          <cell r="J1676">
            <v>38861</v>
          </cell>
          <cell r="K1676">
            <v>20.45</v>
          </cell>
          <cell r="M1676">
            <v>38824</v>
          </cell>
          <cell r="N1676">
            <v>7.6589999999999998</v>
          </cell>
          <cell r="P1676">
            <v>38863</v>
          </cell>
          <cell r="Q1676">
            <v>21.53</v>
          </cell>
        </row>
        <row r="1677">
          <cell r="D1677">
            <v>38862</v>
          </cell>
          <cell r="E1677">
            <v>18.21</v>
          </cell>
          <cell r="G1677">
            <v>38862</v>
          </cell>
          <cell r="H1677">
            <v>11.4</v>
          </cell>
          <cell r="J1677">
            <v>38860</v>
          </cell>
          <cell r="K1677">
            <v>20.91</v>
          </cell>
          <cell r="M1677">
            <v>38820</v>
          </cell>
          <cell r="N1677">
            <v>7.61</v>
          </cell>
          <cell r="P1677">
            <v>38862</v>
          </cell>
          <cell r="Q1677">
            <v>21.53</v>
          </cell>
        </row>
        <row r="1678">
          <cell r="D1678">
            <v>38861</v>
          </cell>
          <cell r="E1678">
            <v>17.32</v>
          </cell>
          <cell r="G1678">
            <v>38861</v>
          </cell>
          <cell r="H1678">
            <v>11.11</v>
          </cell>
          <cell r="J1678">
            <v>38859</v>
          </cell>
          <cell r="K1678">
            <v>21.41</v>
          </cell>
          <cell r="M1678">
            <v>38819</v>
          </cell>
          <cell r="N1678">
            <v>7.63</v>
          </cell>
          <cell r="P1678">
            <v>38861</v>
          </cell>
          <cell r="Q1678">
            <v>21.466670000000001</v>
          </cell>
        </row>
        <row r="1679">
          <cell r="D1679">
            <v>38860</v>
          </cell>
          <cell r="E1679">
            <v>17.71</v>
          </cell>
          <cell r="G1679">
            <v>38860</v>
          </cell>
          <cell r="H1679">
            <v>10.74</v>
          </cell>
          <cell r="J1679">
            <v>38856</v>
          </cell>
          <cell r="K1679">
            <v>21.27</v>
          </cell>
          <cell r="M1679">
            <v>38818</v>
          </cell>
          <cell r="N1679">
            <v>7.556</v>
          </cell>
          <cell r="P1679">
            <v>38860</v>
          </cell>
          <cell r="Q1679">
            <v>21.89</v>
          </cell>
        </row>
        <row r="1680">
          <cell r="D1680">
            <v>38859</v>
          </cell>
          <cell r="E1680">
            <v>17.77</v>
          </cell>
          <cell r="G1680">
            <v>38859</v>
          </cell>
          <cell r="H1680">
            <v>10.63</v>
          </cell>
          <cell r="J1680">
            <v>38855</v>
          </cell>
          <cell r="K1680">
            <v>21.13</v>
          </cell>
          <cell r="M1680">
            <v>38817</v>
          </cell>
          <cell r="N1680">
            <v>7.61</v>
          </cell>
          <cell r="P1680">
            <v>38859</v>
          </cell>
          <cell r="Q1680">
            <v>21.886669999999999</v>
          </cell>
        </row>
        <row r="1681">
          <cell r="D1681">
            <v>38856</v>
          </cell>
          <cell r="E1681">
            <v>17.48</v>
          </cell>
          <cell r="G1681">
            <v>38856</v>
          </cell>
          <cell r="H1681">
            <v>10.57</v>
          </cell>
          <cell r="J1681">
            <v>38854</v>
          </cell>
          <cell r="K1681">
            <v>21.209</v>
          </cell>
          <cell r="M1681">
            <v>38814</v>
          </cell>
          <cell r="N1681">
            <v>7.77</v>
          </cell>
          <cell r="P1681">
            <v>38856</v>
          </cell>
          <cell r="Q1681">
            <v>22.496670000000002</v>
          </cell>
        </row>
        <row r="1682">
          <cell r="D1682">
            <v>38855</v>
          </cell>
          <cell r="E1682">
            <v>17.45</v>
          </cell>
          <cell r="G1682">
            <v>38855</v>
          </cell>
          <cell r="H1682">
            <v>10.4</v>
          </cell>
          <cell r="J1682">
            <v>38853</v>
          </cell>
          <cell r="K1682">
            <v>21.51</v>
          </cell>
          <cell r="M1682">
            <v>38813</v>
          </cell>
          <cell r="N1682">
            <v>8.01</v>
          </cell>
          <cell r="P1682">
            <v>38855</v>
          </cell>
          <cell r="Q1682">
            <v>23.07667</v>
          </cell>
        </row>
        <row r="1683">
          <cell r="D1683">
            <v>38854</v>
          </cell>
          <cell r="E1683">
            <v>18.61</v>
          </cell>
          <cell r="G1683">
            <v>38854</v>
          </cell>
          <cell r="H1683">
            <v>10.61</v>
          </cell>
          <cell r="J1683">
            <v>38852</v>
          </cell>
          <cell r="K1683">
            <v>21.24</v>
          </cell>
          <cell r="M1683">
            <v>38812</v>
          </cell>
          <cell r="N1683">
            <v>7.89</v>
          </cell>
          <cell r="P1683">
            <v>38854</v>
          </cell>
          <cell r="Q1683">
            <v>23.376670000000001</v>
          </cell>
        </row>
        <row r="1684">
          <cell r="D1684">
            <v>38853</v>
          </cell>
          <cell r="E1684">
            <v>19.07</v>
          </cell>
          <cell r="G1684">
            <v>38853</v>
          </cell>
          <cell r="H1684">
            <v>10.8</v>
          </cell>
          <cell r="J1684">
            <v>38849</v>
          </cell>
          <cell r="K1684">
            <v>21.2</v>
          </cell>
          <cell r="M1684">
            <v>38811</v>
          </cell>
          <cell r="N1684">
            <v>8.01</v>
          </cell>
          <cell r="P1684">
            <v>38853</v>
          </cell>
          <cell r="Q1684">
            <v>23.706669999999999</v>
          </cell>
        </row>
        <row r="1685">
          <cell r="D1685">
            <v>38852</v>
          </cell>
          <cell r="E1685">
            <v>18.399999999999999</v>
          </cell>
          <cell r="G1685">
            <v>38852</v>
          </cell>
          <cell r="H1685">
            <v>10.91</v>
          </cell>
          <cell r="J1685">
            <v>38848</v>
          </cell>
          <cell r="K1685">
            <v>20.68</v>
          </cell>
          <cell r="M1685">
            <v>38810</v>
          </cell>
          <cell r="N1685">
            <v>7.62</v>
          </cell>
          <cell r="P1685">
            <v>38852</v>
          </cell>
          <cell r="Q1685">
            <v>23.553329999999999</v>
          </cell>
        </row>
        <row r="1686">
          <cell r="D1686">
            <v>38849</v>
          </cell>
          <cell r="E1686">
            <v>19.12</v>
          </cell>
          <cell r="G1686">
            <v>38849</v>
          </cell>
          <cell r="H1686">
            <v>10.81</v>
          </cell>
          <cell r="J1686">
            <v>38847</v>
          </cell>
          <cell r="K1686">
            <v>21.65</v>
          </cell>
          <cell r="M1686">
            <v>38807</v>
          </cell>
          <cell r="N1686">
            <v>8.11</v>
          </cell>
          <cell r="P1686">
            <v>38849</v>
          </cell>
          <cell r="Q1686">
            <v>24.753329999999998</v>
          </cell>
        </row>
        <row r="1687">
          <cell r="D1687">
            <v>38848</v>
          </cell>
          <cell r="E1687">
            <v>19.41</v>
          </cell>
          <cell r="G1687">
            <v>38848</v>
          </cell>
          <cell r="H1687">
            <v>10.82</v>
          </cell>
          <cell r="J1687">
            <v>38846</v>
          </cell>
          <cell r="K1687">
            <v>22.55</v>
          </cell>
          <cell r="M1687">
            <v>38806</v>
          </cell>
          <cell r="N1687">
            <v>8.1</v>
          </cell>
          <cell r="P1687">
            <v>38848</v>
          </cell>
          <cell r="Q1687">
            <v>24.356670000000001</v>
          </cell>
        </row>
        <row r="1688">
          <cell r="D1688">
            <v>38847</v>
          </cell>
          <cell r="E1688">
            <v>20.73</v>
          </cell>
          <cell r="G1688">
            <v>38847</v>
          </cell>
          <cell r="H1688">
            <v>10.99</v>
          </cell>
          <cell r="J1688">
            <v>38845</v>
          </cell>
          <cell r="K1688">
            <v>23.16</v>
          </cell>
          <cell r="M1688">
            <v>38805</v>
          </cell>
          <cell r="N1688">
            <v>8</v>
          </cell>
          <cell r="P1688">
            <v>38847</v>
          </cell>
          <cell r="Q1688">
            <v>24.56</v>
          </cell>
        </row>
        <row r="1689">
          <cell r="D1689">
            <v>38846</v>
          </cell>
          <cell r="E1689">
            <v>20.66</v>
          </cell>
          <cell r="G1689">
            <v>38846</v>
          </cell>
          <cell r="H1689">
            <v>9.9499999999999993</v>
          </cell>
          <cell r="J1689">
            <v>38842</v>
          </cell>
          <cell r="K1689">
            <v>23.16</v>
          </cell>
          <cell r="M1689">
            <v>38804</v>
          </cell>
          <cell r="N1689">
            <v>7.69</v>
          </cell>
          <cell r="P1689">
            <v>38846</v>
          </cell>
          <cell r="Q1689">
            <v>25.476669999999999</v>
          </cell>
        </row>
        <row r="1690">
          <cell r="D1690">
            <v>38845</v>
          </cell>
          <cell r="E1690">
            <v>20.8</v>
          </cell>
          <cell r="G1690">
            <v>38845</v>
          </cell>
          <cell r="H1690">
            <v>9.9700000000000006</v>
          </cell>
          <cell r="J1690">
            <v>38841</v>
          </cell>
          <cell r="K1690">
            <v>23.19</v>
          </cell>
          <cell r="M1690">
            <v>38803</v>
          </cell>
          <cell r="N1690">
            <v>7.66</v>
          </cell>
          <cell r="P1690">
            <v>38845</v>
          </cell>
          <cell r="Q1690">
            <v>25.05</v>
          </cell>
        </row>
        <row r="1691">
          <cell r="D1691">
            <v>38842</v>
          </cell>
          <cell r="E1691">
            <v>18.96</v>
          </cell>
          <cell r="G1691">
            <v>38842</v>
          </cell>
          <cell r="H1691">
            <v>10.029999999999999</v>
          </cell>
          <cell r="J1691">
            <v>38840</v>
          </cell>
          <cell r="K1691">
            <v>23.25</v>
          </cell>
          <cell r="M1691">
            <v>38800</v>
          </cell>
          <cell r="N1691">
            <v>7.7</v>
          </cell>
          <cell r="P1691">
            <v>38842</v>
          </cell>
          <cell r="Q1691">
            <v>25.16667</v>
          </cell>
        </row>
        <row r="1692">
          <cell r="D1692">
            <v>38841</v>
          </cell>
          <cell r="E1692">
            <v>18.82</v>
          </cell>
          <cell r="G1692">
            <v>38841</v>
          </cell>
          <cell r="H1692">
            <v>9.8699999999999992</v>
          </cell>
          <cell r="J1692">
            <v>38839</v>
          </cell>
          <cell r="K1692">
            <v>23.17</v>
          </cell>
          <cell r="M1692">
            <v>38799</v>
          </cell>
          <cell r="N1692">
            <v>7.71</v>
          </cell>
          <cell r="P1692">
            <v>38841</v>
          </cell>
          <cell r="Q1692">
            <v>24.936669999999999</v>
          </cell>
        </row>
        <row r="1693">
          <cell r="D1693">
            <v>38840</v>
          </cell>
          <cell r="E1693">
            <v>18.62</v>
          </cell>
          <cell r="G1693">
            <v>38840</v>
          </cell>
          <cell r="H1693">
            <v>9.8800000000000008</v>
          </cell>
          <cell r="J1693">
            <v>38838</v>
          </cell>
          <cell r="K1693">
            <v>22.95</v>
          </cell>
          <cell r="M1693">
            <v>38798</v>
          </cell>
          <cell r="N1693">
            <v>7.51</v>
          </cell>
          <cell r="P1693">
            <v>38840</v>
          </cell>
          <cell r="Q1693">
            <v>24.976669999999999</v>
          </cell>
        </row>
        <row r="1694">
          <cell r="D1694">
            <v>38839</v>
          </cell>
          <cell r="E1694">
            <v>18.79</v>
          </cell>
          <cell r="G1694">
            <v>38839</v>
          </cell>
          <cell r="H1694">
            <v>9.9</v>
          </cell>
          <cell r="J1694">
            <v>38835</v>
          </cell>
          <cell r="K1694">
            <v>23.6</v>
          </cell>
          <cell r="M1694">
            <v>38797</v>
          </cell>
          <cell r="N1694">
            <v>7.5</v>
          </cell>
          <cell r="P1694">
            <v>38839</v>
          </cell>
          <cell r="Q1694">
            <v>24.813330000000001</v>
          </cell>
        </row>
        <row r="1695">
          <cell r="D1695">
            <v>38838</v>
          </cell>
          <cell r="E1695">
            <v>18.34</v>
          </cell>
          <cell r="G1695">
            <v>38838</v>
          </cell>
          <cell r="H1695">
            <v>9.7899999999999991</v>
          </cell>
          <cell r="J1695">
            <v>38834</v>
          </cell>
          <cell r="K1695">
            <v>23.69</v>
          </cell>
          <cell r="M1695">
            <v>38796</v>
          </cell>
          <cell r="N1695">
            <v>7.73</v>
          </cell>
          <cell r="P1695">
            <v>38838</v>
          </cell>
          <cell r="Q1695">
            <v>24.343330000000002</v>
          </cell>
        </row>
        <row r="1696">
          <cell r="D1696">
            <v>38835</v>
          </cell>
          <cell r="E1696">
            <v>18.010000000000002</v>
          </cell>
          <cell r="G1696">
            <v>38835</v>
          </cell>
          <cell r="H1696">
            <v>10.06</v>
          </cell>
          <cell r="J1696">
            <v>38833</v>
          </cell>
          <cell r="K1696">
            <v>23.64</v>
          </cell>
          <cell r="M1696">
            <v>38793</v>
          </cell>
          <cell r="N1696">
            <v>7.7</v>
          </cell>
          <cell r="P1696">
            <v>38835</v>
          </cell>
          <cell r="Q1696">
            <v>25.543330000000001</v>
          </cell>
        </row>
        <row r="1697">
          <cell r="D1697">
            <v>38834</v>
          </cell>
          <cell r="E1697">
            <v>18.66</v>
          </cell>
          <cell r="G1697">
            <v>38834</v>
          </cell>
          <cell r="H1697">
            <v>10.071</v>
          </cell>
          <cell r="J1697">
            <v>38832</v>
          </cell>
          <cell r="K1697">
            <v>22.78</v>
          </cell>
          <cell r="M1697">
            <v>38792</v>
          </cell>
          <cell r="N1697">
            <v>7.71</v>
          </cell>
          <cell r="P1697">
            <v>38834</v>
          </cell>
          <cell r="Q1697">
            <v>26.08333</v>
          </cell>
        </row>
        <row r="1698">
          <cell r="D1698">
            <v>38833</v>
          </cell>
          <cell r="E1698">
            <v>18.77</v>
          </cell>
          <cell r="G1698">
            <v>38833</v>
          </cell>
          <cell r="H1698">
            <v>10.210000000000001</v>
          </cell>
          <cell r="J1698">
            <v>38831</v>
          </cell>
          <cell r="K1698">
            <v>22.84</v>
          </cell>
          <cell r="M1698">
            <v>38791</v>
          </cell>
          <cell r="N1698">
            <v>7.7</v>
          </cell>
          <cell r="P1698">
            <v>38833</v>
          </cell>
          <cell r="Q1698">
            <v>25.73</v>
          </cell>
        </row>
        <row r="1699">
          <cell r="D1699">
            <v>38832</v>
          </cell>
          <cell r="E1699">
            <v>18.649999999999999</v>
          </cell>
          <cell r="G1699">
            <v>38832</v>
          </cell>
          <cell r="H1699">
            <v>10.029999999999999</v>
          </cell>
          <cell r="J1699">
            <v>38828</v>
          </cell>
          <cell r="K1699">
            <v>22.89</v>
          </cell>
          <cell r="M1699">
            <v>38790</v>
          </cell>
          <cell r="N1699">
            <v>7.97</v>
          </cell>
          <cell r="P1699">
            <v>38832</v>
          </cell>
          <cell r="Q1699">
            <v>26.156669999999998</v>
          </cell>
        </row>
        <row r="1700">
          <cell r="D1700">
            <v>38831</v>
          </cell>
          <cell r="E1700">
            <v>17.96</v>
          </cell>
          <cell r="G1700">
            <v>38831</v>
          </cell>
          <cell r="H1700">
            <v>9.99</v>
          </cell>
          <cell r="J1700">
            <v>38827</v>
          </cell>
          <cell r="K1700">
            <v>23.38</v>
          </cell>
          <cell r="M1700">
            <v>38789</v>
          </cell>
          <cell r="N1700">
            <v>8.4</v>
          </cell>
          <cell r="P1700">
            <v>38831</v>
          </cell>
          <cell r="Q1700">
            <v>25.36</v>
          </cell>
        </row>
        <row r="1701">
          <cell r="D1701">
            <v>38828</v>
          </cell>
          <cell r="E1701">
            <v>17.93</v>
          </cell>
          <cell r="G1701">
            <v>38828</v>
          </cell>
          <cell r="H1701">
            <v>10.07</v>
          </cell>
          <cell r="J1701">
            <v>38826</v>
          </cell>
          <cell r="K1701">
            <v>23.44</v>
          </cell>
          <cell r="M1701">
            <v>38786</v>
          </cell>
          <cell r="N1701">
            <v>8.5</v>
          </cell>
          <cell r="P1701">
            <v>38828</v>
          </cell>
          <cell r="Q1701">
            <v>25.303329999999999</v>
          </cell>
        </row>
        <row r="1702">
          <cell r="D1702">
            <v>38827</v>
          </cell>
          <cell r="E1702">
            <v>13.95</v>
          </cell>
          <cell r="G1702">
            <v>38827</v>
          </cell>
          <cell r="H1702">
            <v>9.9</v>
          </cell>
          <cell r="J1702">
            <v>38825</v>
          </cell>
          <cell r="K1702">
            <v>23.4</v>
          </cell>
          <cell r="M1702">
            <v>38785</v>
          </cell>
          <cell r="N1702">
            <v>8.1</v>
          </cell>
          <cell r="P1702">
            <v>38827</v>
          </cell>
          <cell r="Q1702">
            <v>25.496670000000002</v>
          </cell>
        </row>
        <row r="1703">
          <cell r="D1703">
            <v>38826</v>
          </cell>
          <cell r="E1703">
            <v>13.58</v>
          </cell>
          <cell r="G1703">
            <v>38826</v>
          </cell>
          <cell r="H1703">
            <v>9.49</v>
          </cell>
          <cell r="J1703">
            <v>38824</v>
          </cell>
          <cell r="K1703">
            <v>23.38</v>
          </cell>
          <cell r="M1703">
            <v>38784</v>
          </cell>
          <cell r="N1703">
            <v>7.65</v>
          </cell>
          <cell r="P1703">
            <v>38826</v>
          </cell>
          <cell r="Q1703">
            <v>25.886669999999999</v>
          </cell>
        </row>
        <row r="1704">
          <cell r="D1704">
            <v>38825</v>
          </cell>
          <cell r="E1704">
            <v>13.77</v>
          </cell>
          <cell r="G1704">
            <v>38825</v>
          </cell>
          <cell r="H1704">
            <v>9.44</v>
          </cell>
          <cell r="J1704">
            <v>38820</v>
          </cell>
          <cell r="K1704">
            <v>23.55</v>
          </cell>
          <cell r="M1704">
            <v>38783</v>
          </cell>
          <cell r="N1704">
            <v>7.55</v>
          </cell>
          <cell r="P1704">
            <v>38825</v>
          </cell>
          <cell r="Q1704">
            <v>25.7</v>
          </cell>
        </row>
        <row r="1705">
          <cell r="D1705">
            <v>38824</v>
          </cell>
          <cell r="E1705">
            <v>13.26</v>
          </cell>
          <cell r="G1705">
            <v>38824</v>
          </cell>
          <cell r="H1705">
            <v>9.48</v>
          </cell>
          <cell r="J1705">
            <v>38819</v>
          </cell>
          <cell r="K1705">
            <v>23.66</v>
          </cell>
          <cell r="M1705">
            <v>38782</v>
          </cell>
          <cell r="N1705">
            <v>8.1199999999999992</v>
          </cell>
          <cell r="P1705">
            <v>38824</v>
          </cell>
          <cell r="Q1705">
            <v>24.99333</v>
          </cell>
        </row>
        <row r="1706">
          <cell r="D1706">
            <v>38820</v>
          </cell>
          <cell r="E1706">
            <v>13.714</v>
          </cell>
          <cell r="G1706">
            <v>38820</v>
          </cell>
          <cell r="H1706">
            <v>9.6199999999999992</v>
          </cell>
          <cell r="J1706">
            <v>38818</v>
          </cell>
          <cell r="K1706">
            <v>23.38</v>
          </cell>
          <cell r="M1706">
            <v>38779</v>
          </cell>
          <cell r="N1706">
            <v>8.0500000000000007</v>
          </cell>
          <cell r="P1706">
            <v>38820</v>
          </cell>
          <cell r="Q1706">
            <v>25.456669999999999</v>
          </cell>
        </row>
        <row r="1707">
          <cell r="D1707">
            <v>38819</v>
          </cell>
          <cell r="E1707">
            <v>13.35</v>
          </cell>
          <cell r="G1707">
            <v>38819</v>
          </cell>
          <cell r="H1707">
            <v>9.2899999999999991</v>
          </cell>
          <cell r="J1707">
            <v>38817</v>
          </cell>
          <cell r="K1707">
            <v>23.9</v>
          </cell>
          <cell r="M1707">
            <v>38778</v>
          </cell>
          <cell r="N1707">
            <v>8.1</v>
          </cell>
          <cell r="P1707">
            <v>38819</v>
          </cell>
          <cell r="Q1707">
            <v>25.25667</v>
          </cell>
        </row>
        <row r="1708">
          <cell r="D1708">
            <v>38818</v>
          </cell>
          <cell r="E1708">
            <v>12.805</v>
          </cell>
          <cell r="G1708">
            <v>38818</v>
          </cell>
          <cell r="H1708">
            <v>9.36</v>
          </cell>
          <cell r="J1708">
            <v>38814</v>
          </cell>
          <cell r="K1708">
            <v>24.04</v>
          </cell>
          <cell r="M1708">
            <v>38777</v>
          </cell>
          <cell r="N1708">
            <v>8.15</v>
          </cell>
          <cell r="P1708">
            <v>38818</v>
          </cell>
          <cell r="Q1708">
            <v>25.546669999999999</v>
          </cell>
        </row>
        <row r="1709">
          <cell r="D1709">
            <v>38817</v>
          </cell>
          <cell r="E1709">
            <v>12.48</v>
          </cell>
          <cell r="G1709">
            <v>38817</v>
          </cell>
          <cell r="H1709">
            <v>9.4700000000000006</v>
          </cell>
          <cell r="J1709">
            <v>38813</v>
          </cell>
          <cell r="K1709">
            <v>24.49</v>
          </cell>
          <cell r="M1709">
            <v>38776</v>
          </cell>
          <cell r="N1709">
            <v>8.2100000000000009</v>
          </cell>
          <cell r="P1709">
            <v>38817</v>
          </cell>
          <cell r="Q1709">
            <v>26.036670000000001</v>
          </cell>
        </row>
        <row r="1710">
          <cell r="D1710">
            <v>38814</v>
          </cell>
          <cell r="E1710">
            <v>12.38</v>
          </cell>
          <cell r="G1710">
            <v>38814</v>
          </cell>
          <cell r="H1710">
            <v>9.64</v>
          </cell>
          <cell r="J1710">
            <v>38812</v>
          </cell>
          <cell r="K1710">
            <v>24.08</v>
          </cell>
          <cell r="M1710">
            <v>38775</v>
          </cell>
          <cell r="N1710">
            <v>8.0299999999999994</v>
          </cell>
          <cell r="P1710">
            <v>38814</v>
          </cell>
          <cell r="Q1710">
            <v>26.593330000000002</v>
          </cell>
        </row>
        <row r="1711">
          <cell r="D1711">
            <v>38813</v>
          </cell>
          <cell r="E1711">
            <v>12.64</v>
          </cell>
          <cell r="G1711">
            <v>38813</v>
          </cell>
          <cell r="H1711">
            <v>9.5</v>
          </cell>
          <cell r="J1711">
            <v>38811</v>
          </cell>
          <cell r="K1711">
            <v>24.1</v>
          </cell>
          <cell r="M1711">
            <v>38772</v>
          </cell>
          <cell r="N1711">
            <v>7.64</v>
          </cell>
          <cell r="P1711">
            <v>38813</v>
          </cell>
          <cell r="Q1711">
            <v>28.126670000000001</v>
          </cell>
        </row>
        <row r="1712">
          <cell r="D1712">
            <v>38812</v>
          </cell>
          <cell r="E1712">
            <v>11.93</v>
          </cell>
          <cell r="G1712">
            <v>38812</v>
          </cell>
          <cell r="H1712">
            <v>8.82</v>
          </cell>
          <cell r="J1712">
            <v>38810</v>
          </cell>
          <cell r="K1712">
            <v>25.38</v>
          </cell>
          <cell r="M1712">
            <v>38771</v>
          </cell>
          <cell r="N1712">
            <v>8.0299999999999994</v>
          </cell>
          <cell r="P1712">
            <v>38812</v>
          </cell>
          <cell r="Q1712">
            <v>28.52</v>
          </cell>
        </row>
        <row r="1713">
          <cell r="D1713">
            <v>38811</v>
          </cell>
          <cell r="E1713">
            <v>11.71</v>
          </cell>
          <cell r="G1713">
            <v>38811</v>
          </cell>
          <cell r="H1713">
            <v>8.8800000000000008</v>
          </cell>
          <cell r="J1713">
            <v>38807</v>
          </cell>
          <cell r="K1713">
            <v>25</v>
          </cell>
          <cell r="M1713">
            <v>38770</v>
          </cell>
          <cell r="N1713">
            <v>8.16</v>
          </cell>
          <cell r="P1713">
            <v>38811</v>
          </cell>
          <cell r="Q1713">
            <v>28.76</v>
          </cell>
        </row>
        <row r="1714">
          <cell r="D1714">
            <v>38810</v>
          </cell>
          <cell r="E1714">
            <v>11.72</v>
          </cell>
          <cell r="G1714">
            <v>38810</v>
          </cell>
          <cell r="H1714">
            <v>8.99</v>
          </cell>
          <cell r="J1714">
            <v>38806</v>
          </cell>
          <cell r="K1714">
            <v>24.73</v>
          </cell>
          <cell r="M1714">
            <v>38769</v>
          </cell>
          <cell r="N1714">
            <v>7.91</v>
          </cell>
          <cell r="P1714">
            <v>38810</v>
          </cell>
          <cell r="Q1714">
            <v>28.483329999999999</v>
          </cell>
        </row>
        <row r="1715">
          <cell r="D1715">
            <v>38807</v>
          </cell>
          <cell r="E1715">
            <v>11.68</v>
          </cell>
          <cell r="G1715">
            <v>38807</v>
          </cell>
          <cell r="H1715">
            <v>8.9499999999999993</v>
          </cell>
          <cell r="J1715">
            <v>38805</v>
          </cell>
          <cell r="K1715">
            <v>24.64</v>
          </cell>
          <cell r="M1715">
            <v>38765</v>
          </cell>
          <cell r="N1715">
            <v>7.75</v>
          </cell>
          <cell r="P1715">
            <v>38807</v>
          </cell>
          <cell r="Q1715">
            <v>28.293330000000001</v>
          </cell>
        </row>
        <row r="1716">
          <cell r="D1716">
            <v>38806</v>
          </cell>
          <cell r="E1716">
            <v>11.75</v>
          </cell>
          <cell r="G1716">
            <v>38806</v>
          </cell>
          <cell r="H1716">
            <v>8.98</v>
          </cell>
          <cell r="J1716">
            <v>38804</v>
          </cell>
          <cell r="K1716">
            <v>23.77</v>
          </cell>
          <cell r="M1716">
            <v>38764</v>
          </cell>
          <cell r="N1716">
            <v>7.35</v>
          </cell>
          <cell r="P1716">
            <v>38806</v>
          </cell>
          <cell r="Q1716">
            <v>28.33333</v>
          </cell>
        </row>
        <row r="1717">
          <cell r="D1717">
            <v>38805</v>
          </cell>
          <cell r="E1717">
            <v>10.96</v>
          </cell>
          <cell r="G1717">
            <v>38805</v>
          </cell>
          <cell r="H1717">
            <v>9.17</v>
          </cell>
          <cell r="J1717">
            <v>38803</v>
          </cell>
          <cell r="K1717">
            <v>23.58</v>
          </cell>
          <cell r="M1717">
            <v>38763</v>
          </cell>
          <cell r="N1717">
            <v>7.35</v>
          </cell>
          <cell r="P1717">
            <v>38805</v>
          </cell>
          <cell r="Q1717">
            <v>28.133330000000001</v>
          </cell>
        </row>
        <row r="1718">
          <cell r="D1718">
            <v>38804</v>
          </cell>
          <cell r="E1718">
            <v>10.78</v>
          </cell>
          <cell r="G1718">
            <v>38804</v>
          </cell>
          <cell r="H1718">
            <v>9.06</v>
          </cell>
          <cell r="J1718">
            <v>38800</v>
          </cell>
          <cell r="K1718">
            <v>23.25</v>
          </cell>
          <cell r="M1718">
            <v>38762</v>
          </cell>
          <cell r="N1718">
            <v>6.9</v>
          </cell>
          <cell r="P1718">
            <v>38804</v>
          </cell>
          <cell r="Q1718">
            <v>27.51</v>
          </cell>
        </row>
        <row r="1719">
          <cell r="D1719">
            <v>38803</v>
          </cell>
          <cell r="E1719">
            <v>10.86</v>
          </cell>
          <cell r="G1719">
            <v>38803</v>
          </cell>
          <cell r="H1719">
            <v>9</v>
          </cell>
          <cell r="J1719">
            <v>38799</v>
          </cell>
          <cell r="K1719">
            <v>22.26</v>
          </cell>
          <cell r="M1719">
            <v>38761</v>
          </cell>
          <cell r="N1719">
            <v>7</v>
          </cell>
          <cell r="P1719">
            <v>38803</v>
          </cell>
          <cell r="Q1719">
            <v>27.876670000000001</v>
          </cell>
        </row>
        <row r="1720">
          <cell r="D1720">
            <v>38800</v>
          </cell>
          <cell r="E1720">
            <v>11.06</v>
          </cell>
          <cell r="G1720">
            <v>38800</v>
          </cell>
          <cell r="H1720">
            <v>8.8699999999999992</v>
          </cell>
          <cell r="J1720">
            <v>38798</v>
          </cell>
          <cell r="K1720">
            <v>21.8</v>
          </cell>
          <cell r="M1720">
            <v>38758</v>
          </cell>
          <cell r="N1720">
            <v>7.03</v>
          </cell>
          <cell r="P1720">
            <v>38800</v>
          </cell>
          <cell r="Q1720">
            <v>27.973330000000001</v>
          </cell>
        </row>
        <row r="1721">
          <cell r="D1721">
            <v>38799</v>
          </cell>
          <cell r="E1721">
            <v>11.05</v>
          </cell>
          <cell r="G1721">
            <v>38799</v>
          </cell>
          <cell r="H1721">
            <v>8.69</v>
          </cell>
          <cell r="J1721">
            <v>38797</v>
          </cell>
          <cell r="K1721">
            <v>21.87</v>
          </cell>
          <cell r="M1721">
            <v>38757</v>
          </cell>
          <cell r="N1721">
            <v>7</v>
          </cell>
          <cell r="P1721">
            <v>38799</v>
          </cell>
          <cell r="Q1721">
            <v>28.26333</v>
          </cell>
        </row>
        <row r="1722">
          <cell r="D1722">
            <v>38798</v>
          </cell>
          <cell r="E1722">
            <v>11.1</v>
          </cell>
          <cell r="G1722">
            <v>38798</v>
          </cell>
          <cell r="H1722">
            <v>8.66</v>
          </cell>
          <cell r="J1722">
            <v>38796</v>
          </cell>
          <cell r="K1722">
            <v>21.56</v>
          </cell>
          <cell r="M1722">
            <v>38756</v>
          </cell>
          <cell r="N1722">
            <v>6.45</v>
          </cell>
          <cell r="P1722">
            <v>38798</v>
          </cell>
          <cell r="Q1722">
            <v>27.89</v>
          </cell>
        </row>
        <row r="1723">
          <cell r="D1723">
            <v>38797</v>
          </cell>
          <cell r="E1723">
            <v>11.2</v>
          </cell>
          <cell r="G1723">
            <v>38797</v>
          </cell>
          <cell r="H1723">
            <v>8.33</v>
          </cell>
          <cell r="J1723">
            <v>38793</v>
          </cell>
          <cell r="K1723">
            <v>21.2</v>
          </cell>
          <cell r="M1723">
            <v>38755</v>
          </cell>
          <cell r="N1723">
            <v>6.43</v>
          </cell>
          <cell r="P1723">
            <v>38797</v>
          </cell>
          <cell r="Q1723">
            <v>28.77</v>
          </cell>
        </row>
        <row r="1724">
          <cell r="D1724">
            <v>38796</v>
          </cell>
          <cell r="E1724">
            <v>11.43</v>
          </cell>
          <cell r="G1724">
            <v>38796</v>
          </cell>
          <cell r="H1724">
            <v>8.25</v>
          </cell>
          <cell r="J1724">
            <v>38792</v>
          </cell>
          <cell r="K1724">
            <v>21.5</v>
          </cell>
          <cell r="M1724">
            <v>38754</v>
          </cell>
          <cell r="N1724">
            <v>6.84</v>
          </cell>
          <cell r="P1724">
            <v>38796</v>
          </cell>
          <cell r="Q1724">
            <v>28.723330000000001</v>
          </cell>
        </row>
        <row r="1725">
          <cell r="D1725">
            <v>38793</v>
          </cell>
          <cell r="E1725">
            <v>11.51</v>
          </cell>
          <cell r="G1725">
            <v>38793</v>
          </cell>
          <cell r="H1725">
            <v>8.6</v>
          </cell>
          <cell r="J1725">
            <v>38791</v>
          </cell>
          <cell r="K1725">
            <v>22.08</v>
          </cell>
          <cell r="M1725">
            <v>38751</v>
          </cell>
          <cell r="N1725">
            <v>6.9</v>
          </cell>
          <cell r="P1725">
            <v>38793</v>
          </cell>
          <cell r="Q1725">
            <v>28.91667</v>
          </cell>
        </row>
        <row r="1726">
          <cell r="D1726">
            <v>38792</v>
          </cell>
          <cell r="E1726">
            <v>11.41</v>
          </cell>
          <cell r="G1726">
            <v>38792</v>
          </cell>
          <cell r="H1726">
            <v>8.69</v>
          </cell>
          <cell r="J1726">
            <v>38790</v>
          </cell>
          <cell r="K1726">
            <v>22.25</v>
          </cell>
          <cell r="M1726">
            <v>38750</v>
          </cell>
          <cell r="N1726">
            <v>6.73</v>
          </cell>
          <cell r="P1726">
            <v>38792</v>
          </cell>
          <cell r="Q1726">
            <v>28.58333</v>
          </cell>
        </row>
        <row r="1727">
          <cell r="D1727">
            <v>38791</v>
          </cell>
          <cell r="E1727">
            <v>11.66</v>
          </cell>
          <cell r="G1727">
            <v>38791</v>
          </cell>
          <cell r="H1727">
            <v>8.61</v>
          </cell>
          <cell r="J1727">
            <v>38789</v>
          </cell>
          <cell r="K1727">
            <v>22.33</v>
          </cell>
          <cell r="M1727">
            <v>38749</v>
          </cell>
          <cell r="N1727">
            <v>6.45</v>
          </cell>
          <cell r="P1727">
            <v>38791</v>
          </cell>
          <cell r="Q1727">
            <v>29.57</v>
          </cell>
        </row>
        <row r="1728">
          <cell r="D1728">
            <v>38790</v>
          </cell>
          <cell r="E1728">
            <v>11.79</v>
          </cell>
          <cell r="G1728">
            <v>38790</v>
          </cell>
          <cell r="H1728">
            <v>8.43</v>
          </cell>
          <cell r="J1728">
            <v>38786</v>
          </cell>
          <cell r="K1728">
            <v>22.44</v>
          </cell>
          <cell r="M1728">
            <v>38748</v>
          </cell>
          <cell r="N1728">
            <v>6.66</v>
          </cell>
          <cell r="P1728">
            <v>38790</v>
          </cell>
          <cell r="Q1728">
            <v>27.663329999999998</v>
          </cell>
        </row>
        <row r="1729">
          <cell r="D1729">
            <v>38789</v>
          </cell>
          <cell r="E1729">
            <v>11.14</v>
          </cell>
          <cell r="G1729">
            <v>38789</v>
          </cell>
          <cell r="H1729">
            <v>8.4499999999999993</v>
          </cell>
          <cell r="J1729">
            <v>38785</v>
          </cell>
          <cell r="K1729">
            <v>22.82</v>
          </cell>
          <cell r="M1729">
            <v>38747</v>
          </cell>
          <cell r="N1729">
            <v>6.18</v>
          </cell>
          <cell r="P1729">
            <v>38789</v>
          </cell>
          <cell r="Q1729">
            <v>26.98667</v>
          </cell>
        </row>
        <row r="1730">
          <cell r="D1730">
            <v>38786</v>
          </cell>
          <cell r="E1730">
            <v>11.3</v>
          </cell>
          <cell r="G1730">
            <v>38786</v>
          </cell>
          <cell r="H1730">
            <v>8.4600000000000009</v>
          </cell>
          <cell r="J1730">
            <v>38784</v>
          </cell>
          <cell r="K1730">
            <v>21.88</v>
          </cell>
          <cell r="M1730">
            <v>38744</v>
          </cell>
          <cell r="N1730">
            <v>5.76</v>
          </cell>
          <cell r="P1730">
            <v>38786</v>
          </cell>
          <cell r="Q1730">
            <v>26.866669999999999</v>
          </cell>
        </row>
        <row r="1731">
          <cell r="D1731">
            <v>38785</v>
          </cell>
          <cell r="E1731">
            <v>11.39</v>
          </cell>
          <cell r="G1731">
            <v>38785</v>
          </cell>
          <cell r="H1731">
            <v>8.49</v>
          </cell>
          <cell r="J1731">
            <v>38783</v>
          </cell>
          <cell r="K1731">
            <v>21.32</v>
          </cell>
          <cell r="M1731">
            <v>38743</v>
          </cell>
          <cell r="N1731">
            <v>5.7</v>
          </cell>
          <cell r="P1731">
            <v>38785</v>
          </cell>
          <cell r="Q1731">
            <v>26.65</v>
          </cell>
        </row>
        <row r="1732">
          <cell r="D1732">
            <v>38784</v>
          </cell>
          <cell r="E1732">
            <v>10.97</v>
          </cell>
          <cell r="G1732">
            <v>38784</v>
          </cell>
          <cell r="H1732">
            <v>8.4499999999999993</v>
          </cell>
          <cell r="J1732">
            <v>38782</v>
          </cell>
          <cell r="K1732">
            <v>21.78</v>
          </cell>
          <cell r="M1732">
            <v>38742</v>
          </cell>
          <cell r="N1732">
            <v>5.94</v>
          </cell>
          <cell r="P1732">
            <v>38784</v>
          </cell>
          <cell r="Q1732">
            <v>26.47</v>
          </cell>
        </row>
        <row r="1733">
          <cell r="D1733">
            <v>38783</v>
          </cell>
          <cell r="E1733">
            <v>11.51</v>
          </cell>
          <cell r="G1733">
            <v>38783</v>
          </cell>
          <cell r="H1733">
            <v>8.42</v>
          </cell>
          <cell r="J1733">
            <v>38779</v>
          </cell>
          <cell r="K1733">
            <v>21.95</v>
          </cell>
          <cell r="M1733">
            <v>38741</v>
          </cell>
          <cell r="N1733">
            <v>5.92</v>
          </cell>
          <cell r="P1733">
            <v>38783</v>
          </cell>
          <cell r="Q1733">
            <v>27.26</v>
          </cell>
        </row>
        <row r="1734">
          <cell r="D1734">
            <v>38782</v>
          </cell>
          <cell r="E1734">
            <v>12.05</v>
          </cell>
          <cell r="G1734">
            <v>38782</v>
          </cell>
          <cell r="H1734">
            <v>8.1999999999999993</v>
          </cell>
          <cell r="J1734">
            <v>38778</v>
          </cell>
          <cell r="K1734">
            <v>22.67</v>
          </cell>
          <cell r="M1734">
            <v>38740</v>
          </cell>
          <cell r="N1734">
            <v>5.9</v>
          </cell>
          <cell r="P1734">
            <v>38782</v>
          </cell>
          <cell r="Q1734">
            <v>27.586670000000002</v>
          </cell>
        </row>
        <row r="1735">
          <cell r="D1735">
            <v>38779</v>
          </cell>
          <cell r="E1735">
            <v>12.32</v>
          </cell>
          <cell r="G1735">
            <v>38779</v>
          </cell>
          <cell r="H1735">
            <v>8.4</v>
          </cell>
          <cell r="J1735">
            <v>38777</v>
          </cell>
          <cell r="K1735">
            <v>22.59</v>
          </cell>
          <cell r="M1735">
            <v>38737</v>
          </cell>
          <cell r="N1735">
            <v>5.7</v>
          </cell>
          <cell r="P1735">
            <v>38779</v>
          </cell>
          <cell r="Q1735">
            <v>23.973330000000001</v>
          </cell>
        </row>
        <row r="1736">
          <cell r="D1736">
            <v>38778</v>
          </cell>
          <cell r="E1736">
            <v>12.7</v>
          </cell>
          <cell r="G1736">
            <v>38778</v>
          </cell>
          <cell r="H1736">
            <v>8.41</v>
          </cell>
          <cell r="J1736">
            <v>38776</v>
          </cell>
          <cell r="K1736">
            <v>21.86</v>
          </cell>
          <cell r="M1736">
            <v>38736</v>
          </cell>
          <cell r="N1736">
            <v>5.8</v>
          </cell>
          <cell r="P1736">
            <v>38778</v>
          </cell>
          <cell r="Q1736">
            <v>23.796669999999999</v>
          </cell>
        </row>
        <row r="1737">
          <cell r="D1737">
            <v>38777</v>
          </cell>
          <cell r="E1737">
            <v>12.23</v>
          </cell>
          <cell r="G1737">
            <v>38777</v>
          </cell>
          <cell r="H1737">
            <v>8.5</v>
          </cell>
          <cell r="J1737">
            <v>38775</v>
          </cell>
          <cell r="K1737">
            <v>21.35</v>
          </cell>
          <cell r="M1737">
            <v>38735</v>
          </cell>
          <cell r="N1737">
            <v>5.9</v>
          </cell>
          <cell r="P1737">
            <v>38777</v>
          </cell>
          <cell r="Q1737">
            <v>23.683330000000002</v>
          </cell>
        </row>
        <row r="1738">
          <cell r="D1738">
            <v>38776</v>
          </cell>
          <cell r="E1738">
            <v>11.93</v>
          </cell>
          <cell r="G1738">
            <v>38776</v>
          </cell>
          <cell r="H1738">
            <v>8.16</v>
          </cell>
          <cell r="J1738">
            <v>38772</v>
          </cell>
          <cell r="K1738">
            <v>20.149999999999999</v>
          </cell>
          <cell r="M1738">
            <v>38734</v>
          </cell>
          <cell r="N1738">
            <v>5.64</v>
          </cell>
          <cell r="P1738">
            <v>38776</v>
          </cell>
          <cell r="Q1738">
            <v>23.51</v>
          </cell>
        </row>
        <row r="1739">
          <cell r="D1739">
            <v>38775</v>
          </cell>
          <cell r="E1739">
            <v>12</v>
          </cell>
          <cell r="G1739">
            <v>38775</v>
          </cell>
          <cell r="H1739">
            <v>8.36</v>
          </cell>
          <cell r="J1739">
            <v>38771</v>
          </cell>
          <cell r="K1739">
            <v>20.39</v>
          </cell>
          <cell r="M1739">
            <v>38730</v>
          </cell>
          <cell r="N1739">
            <v>5.55</v>
          </cell>
          <cell r="P1739">
            <v>38775</v>
          </cell>
          <cell r="Q1739">
            <v>23.97</v>
          </cell>
        </row>
        <row r="1740">
          <cell r="D1740">
            <v>38772</v>
          </cell>
          <cell r="E1740">
            <v>11.97</v>
          </cell>
          <cell r="G1740">
            <v>38772</v>
          </cell>
          <cell r="H1740">
            <v>8.48</v>
          </cell>
          <cell r="J1740">
            <v>38770</v>
          </cell>
          <cell r="K1740">
            <v>19.72</v>
          </cell>
          <cell r="M1740">
            <v>38729</v>
          </cell>
          <cell r="N1740">
            <v>5.16</v>
          </cell>
          <cell r="P1740">
            <v>38772</v>
          </cell>
          <cell r="Q1740">
            <v>24.683330000000002</v>
          </cell>
        </row>
        <row r="1741">
          <cell r="D1741">
            <v>38771</v>
          </cell>
          <cell r="E1741">
            <v>11.93</v>
          </cell>
          <cell r="G1741">
            <v>38771</v>
          </cell>
          <cell r="H1741">
            <v>8.5</v>
          </cell>
          <cell r="J1741">
            <v>38769</v>
          </cell>
          <cell r="K1741">
            <v>19.8</v>
          </cell>
          <cell r="M1741">
            <v>38728</v>
          </cell>
          <cell r="N1741">
            <v>5.0999999999999996</v>
          </cell>
          <cell r="P1741">
            <v>38771</v>
          </cell>
          <cell r="Q1741">
            <v>23.176670000000001</v>
          </cell>
        </row>
        <row r="1742">
          <cell r="D1742">
            <v>38770</v>
          </cell>
          <cell r="E1742">
            <v>12.16</v>
          </cell>
          <cell r="G1742">
            <v>38770</v>
          </cell>
          <cell r="H1742">
            <v>9.56</v>
          </cell>
          <cell r="J1742">
            <v>38765</v>
          </cell>
          <cell r="K1742">
            <v>19.989999999999998</v>
          </cell>
          <cell r="M1742">
            <v>38727</v>
          </cell>
          <cell r="N1742">
            <v>5.14</v>
          </cell>
          <cell r="P1742">
            <v>38770</v>
          </cell>
          <cell r="Q1742">
            <v>24.38</v>
          </cell>
        </row>
        <row r="1743">
          <cell r="D1743">
            <v>38769</v>
          </cell>
          <cell r="E1743">
            <v>12.13</v>
          </cell>
          <cell r="G1743">
            <v>38769</v>
          </cell>
          <cell r="H1743">
            <v>9.56</v>
          </cell>
          <cell r="J1743">
            <v>38764</v>
          </cell>
          <cell r="K1743">
            <v>21.79</v>
          </cell>
          <cell r="M1743">
            <v>38726</v>
          </cell>
          <cell r="N1743">
            <v>4.96</v>
          </cell>
          <cell r="P1743">
            <v>38769</v>
          </cell>
          <cell r="Q1743">
            <v>24.716670000000001</v>
          </cell>
        </row>
        <row r="1744">
          <cell r="D1744">
            <v>38765</v>
          </cell>
          <cell r="E1744">
            <v>12.7</v>
          </cell>
          <cell r="G1744">
            <v>38765</v>
          </cell>
          <cell r="H1744">
            <v>9.8699999999999992</v>
          </cell>
          <cell r="J1744">
            <v>38763</v>
          </cell>
          <cell r="K1744">
            <v>22.46</v>
          </cell>
          <cell r="M1744">
            <v>38723</v>
          </cell>
          <cell r="N1744">
            <v>4.95</v>
          </cell>
          <cell r="P1744">
            <v>38765</v>
          </cell>
          <cell r="Q1744">
            <v>24.07667</v>
          </cell>
        </row>
        <row r="1745">
          <cell r="D1745">
            <v>38764</v>
          </cell>
          <cell r="E1745">
            <v>12.66</v>
          </cell>
          <cell r="G1745">
            <v>38764</v>
          </cell>
          <cell r="H1745">
            <v>10.25</v>
          </cell>
          <cell r="J1745">
            <v>38762</v>
          </cell>
          <cell r="K1745">
            <v>22.51</v>
          </cell>
          <cell r="M1745">
            <v>38722</v>
          </cell>
          <cell r="N1745">
            <v>4.8</v>
          </cell>
          <cell r="P1745">
            <v>38764</v>
          </cell>
          <cell r="Q1745">
            <v>23.533329999999999</v>
          </cell>
        </row>
        <row r="1746">
          <cell r="D1746">
            <v>38763</v>
          </cell>
          <cell r="E1746">
            <v>12.8</v>
          </cell>
          <cell r="G1746">
            <v>38763</v>
          </cell>
          <cell r="H1746">
            <v>10.130000000000001</v>
          </cell>
          <cell r="J1746">
            <v>38761</v>
          </cell>
          <cell r="K1746">
            <v>22.71</v>
          </cell>
          <cell r="M1746">
            <v>38721</v>
          </cell>
          <cell r="N1746">
            <v>4.75</v>
          </cell>
          <cell r="P1746">
            <v>38763</v>
          </cell>
          <cell r="Q1746">
            <v>23.00667</v>
          </cell>
        </row>
        <row r="1747">
          <cell r="D1747">
            <v>38762</v>
          </cell>
          <cell r="E1747">
            <v>12.76</v>
          </cell>
          <cell r="G1747">
            <v>38762</v>
          </cell>
          <cell r="H1747">
            <v>9.9</v>
          </cell>
          <cell r="J1747">
            <v>38758</v>
          </cell>
          <cell r="K1747">
            <v>22.32</v>
          </cell>
          <cell r="M1747">
            <v>38720</v>
          </cell>
          <cell r="N1747">
            <v>4.75</v>
          </cell>
          <cell r="P1747">
            <v>38762</v>
          </cell>
          <cell r="Q1747">
            <v>22.893329999999999</v>
          </cell>
        </row>
        <row r="1748">
          <cell r="D1748">
            <v>38761</v>
          </cell>
          <cell r="E1748">
            <v>12.705</v>
          </cell>
          <cell r="G1748">
            <v>38761</v>
          </cell>
          <cell r="H1748">
            <v>10.36</v>
          </cell>
          <cell r="J1748">
            <v>38757</v>
          </cell>
          <cell r="K1748">
            <v>22.71</v>
          </cell>
          <cell r="M1748">
            <v>38716</v>
          </cell>
          <cell r="N1748">
            <v>4.7300000000000004</v>
          </cell>
          <cell r="P1748">
            <v>38761</v>
          </cell>
          <cell r="Q1748">
            <v>22.783329999999999</v>
          </cell>
        </row>
        <row r="1749">
          <cell r="D1749">
            <v>38758</v>
          </cell>
          <cell r="E1749">
            <v>12.88</v>
          </cell>
          <cell r="G1749">
            <v>38758</v>
          </cell>
          <cell r="H1749">
            <v>10.58</v>
          </cell>
          <cell r="J1749">
            <v>38756</v>
          </cell>
          <cell r="K1749">
            <v>22.04</v>
          </cell>
          <cell r="M1749">
            <v>38715</v>
          </cell>
          <cell r="N1749">
            <v>4.75</v>
          </cell>
          <cell r="P1749">
            <v>38758</v>
          </cell>
          <cell r="Q1749">
            <v>23.356670000000001</v>
          </cell>
        </row>
        <row r="1750">
          <cell r="D1750">
            <v>38757</v>
          </cell>
          <cell r="E1750">
            <v>13.02</v>
          </cell>
          <cell r="G1750">
            <v>38757</v>
          </cell>
          <cell r="H1750">
            <v>10.67</v>
          </cell>
          <cell r="J1750">
            <v>38755</v>
          </cell>
          <cell r="K1750">
            <v>21.75</v>
          </cell>
          <cell r="M1750">
            <v>38714</v>
          </cell>
          <cell r="N1750">
            <v>4.9000000000000004</v>
          </cell>
          <cell r="P1750">
            <v>38757</v>
          </cell>
          <cell r="Q1750">
            <v>23.206669999999999</v>
          </cell>
        </row>
        <row r="1751">
          <cell r="D1751">
            <v>38756</v>
          </cell>
          <cell r="E1751">
            <v>13.2</v>
          </cell>
          <cell r="G1751">
            <v>38756</v>
          </cell>
          <cell r="H1751">
            <v>10.77</v>
          </cell>
          <cell r="J1751">
            <v>38754</v>
          </cell>
          <cell r="K1751">
            <v>21.78</v>
          </cell>
          <cell r="M1751">
            <v>38713</v>
          </cell>
          <cell r="N1751">
            <v>4.8</v>
          </cell>
          <cell r="P1751">
            <v>38756</v>
          </cell>
          <cell r="Q1751">
            <v>22.883330000000001</v>
          </cell>
        </row>
        <row r="1752">
          <cell r="D1752">
            <v>38755</v>
          </cell>
          <cell r="E1752">
            <v>12.9</v>
          </cell>
          <cell r="G1752">
            <v>38755</v>
          </cell>
          <cell r="H1752">
            <v>10.63</v>
          </cell>
          <cell r="J1752">
            <v>38751</v>
          </cell>
          <cell r="K1752">
            <v>21.78</v>
          </cell>
          <cell r="M1752">
            <v>38709</v>
          </cell>
          <cell r="N1752">
            <v>4.9000000000000004</v>
          </cell>
          <cell r="P1752">
            <v>38755</v>
          </cell>
          <cell r="Q1752">
            <v>23.02</v>
          </cell>
        </row>
        <row r="1753">
          <cell r="D1753">
            <v>38754</v>
          </cell>
          <cell r="E1753">
            <v>12.85</v>
          </cell>
          <cell r="G1753">
            <v>38754</v>
          </cell>
          <cell r="H1753">
            <v>10.82</v>
          </cell>
          <cell r="J1753">
            <v>38750</v>
          </cell>
          <cell r="K1753">
            <v>23.18</v>
          </cell>
          <cell r="M1753">
            <v>38708</v>
          </cell>
          <cell r="N1753">
            <v>4.95</v>
          </cell>
          <cell r="P1753">
            <v>38754</v>
          </cell>
          <cell r="Q1753">
            <v>23.55667</v>
          </cell>
        </row>
        <row r="1754">
          <cell r="D1754">
            <v>38751</v>
          </cell>
          <cell r="E1754">
            <v>12.74</v>
          </cell>
          <cell r="G1754">
            <v>38751</v>
          </cell>
          <cell r="H1754">
            <v>11.02</v>
          </cell>
          <cell r="J1754">
            <v>38749</v>
          </cell>
          <cell r="K1754">
            <v>23.43</v>
          </cell>
          <cell r="M1754">
            <v>38707</v>
          </cell>
          <cell r="N1754">
            <v>4.5999999999999996</v>
          </cell>
          <cell r="P1754">
            <v>38751</v>
          </cell>
          <cell r="Q1754">
            <v>23.563330000000001</v>
          </cell>
        </row>
        <row r="1755">
          <cell r="D1755">
            <v>38750</v>
          </cell>
          <cell r="E1755">
            <v>12.78</v>
          </cell>
          <cell r="G1755">
            <v>38750</v>
          </cell>
          <cell r="H1755">
            <v>10.65</v>
          </cell>
          <cell r="J1755">
            <v>38748</v>
          </cell>
          <cell r="K1755">
            <v>23.75</v>
          </cell>
          <cell r="M1755">
            <v>38706</v>
          </cell>
          <cell r="N1755">
            <v>4.5739999999999998</v>
          </cell>
          <cell r="P1755">
            <v>38750</v>
          </cell>
          <cell r="Q1755">
            <v>24</v>
          </cell>
        </row>
        <row r="1756">
          <cell r="D1756">
            <v>38749</v>
          </cell>
          <cell r="E1756">
            <v>13.35</v>
          </cell>
          <cell r="G1756">
            <v>38749</v>
          </cell>
          <cell r="H1756">
            <v>11.09</v>
          </cell>
          <cell r="J1756">
            <v>38747</v>
          </cell>
          <cell r="K1756">
            <v>23.54</v>
          </cell>
          <cell r="M1756">
            <v>38705</v>
          </cell>
          <cell r="N1756">
            <v>4.7</v>
          </cell>
          <cell r="P1756">
            <v>38749</v>
          </cell>
          <cell r="Q1756">
            <v>24.536670000000001</v>
          </cell>
        </row>
        <row r="1757">
          <cell r="D1757">
            <v>38748</v>
          </cell>
          <cell r="E1757">
            <v>13.02</v>
          </cell>
          <cell r="G1757">
            <v>38748</v>
          </cell>
          <cell r="H1757">
            <v>10.91</v>
          </cell>
          <cell r="J1757">
            <v>38744</v>
          </cell>
          <cell r="K1757">
            <v>23.22</v>
          </cell>
          <cell r="M1757">
            <v>38702</v>
          </cell>
          <cell r="N1757">
            <v>4.7</v>
          </cell>
          <cell r="P1757">
            <v>38748</v>
          </cell>
          <cell r="Q1757">
            <v>22.51</v>
          </cell>
        </row>
        <row r="1758">
          <cell r="D1758">
            <v>38747</v>
          </cell>
          <cell r="E1758">
            <v>13.1</v>
          </cell>
          <cell r="G1758">
            <v>38747</v>
          </cell>
          <cell r="H1758">
            <v>10.88</v>
          </cell>
          <cell r="J1758">
            <v>38743</v>
          </cell>
          <cell r="K1758">
            <v>23.55</v>
          </cell>
          <cell r="M1758">
            <v>38701</v>
          </cell>
          <cell r="N1758">
            <v>4.8</v>
          </cell>
          <cell r="P1758">
            <v>38747</v>
          </cell>
          <cell r="Q1758">
            <v>22.273330000000001</v>
          </cell>
        </row>
        <row r="1759">
          <cell r="D1759">
            <v>38744</v>
          </cell>
          <cell r="E1759">
            <v>12.96</v>
          </cell>
          <cell r="G1759">
            <v>38744</v>
          </cell>
          <cell r="H1759">
            <v>11.01</v>
          </cell>
          <cell r="J1759">
            <v>38742</v>
          </cell>
          <cell r="K1759">
            <v>23.3</v>
          </cell>
          <cell r="M1759">
            <v>38700</v>
          </cell>
          <cell r="N1759">
            <v>4.6875</v>
          </cell>
          <cell r="P1759">
            <v>38744</v>
          </cell>
          <cell r="Q1759">
            <v>21.92</v>
          </cell>
        </row>
        <row r="1760">
          <cell r="D1760">
            <v>38743</v>
          </cell>
          <cell r="E1760">
            <v>12.37</v>
          </cell>
          <cell r="G1760">
            <v>38743</v>
          </cell>
          <cell r="H1760">
            <v>11.98</v>
          </cell>
          <cell r="J1760">
            <v>38741</v>
          </cell>
          <cell r="K1760">
            <v>22.33</v>
          </cell>
          <cell r="M1760">
            <v>38699</v>
          </cell>
          <cell r="N1760">
            <v>4.9320000000000004</v>
          </cell>
          <cell r="P1760">
            <v>38743</v>
          </cell>
          <cell r="Q1760">
            <v>21.98</v>
          </cell>
        </row>
        <row r="1761">
          <cell r="D1761">
            <v>38742</v>
          </cell>
          <cell r="E1761">
            <v>11.76</v>
          </cell>
          <cell r="G1761">
            <v>38742</v>
          </cell>
          <cell r="H1761">
            <v>12.46</v>
          </cell>
          <cell r="J1761">
            <v>38740</v>
          </cell>
          <cell r="K1761">
            <v>21.79</v>
          </cell>
          <cell r="M1761">
            <v>38698</v>
          </cell>
          <cell r="N1761">
            <v>4.72</v>
          </cell>
          <cell r="P1761">
            <v>38742</v>
          </cell>
          <cell r="Q1761">
            <v>21.65333</v>
          </cell>
        </row>
        <row r="1762">
          <cell r="D1762">
            <v>38741</v>
          </cell>
          <cell r="E1762">
            <v>11.83</v>
          </cell>
          <cell r="G1762">
            <v>38741</v>
          </cell>
          <cell r="H1762">
            <v>12.51</v>
          </cell>
          <cell r="J1762">
            <v>38737</v>
          </cell>
          <cell r="K1762">
            <v>21.96</v>
          </cell>
          <cell r="M1762">
            <v>38695</v>
          </cell>
          <cell r="N1762">
            <v>4.7</v>
          </cell>
          <cell r="P1762">
            <v>38741</v>
          </cell>
          <cell r="Q1762">
            <v>21.696670000000001</v>
          </cell>
        </row>
        <row r="1763">
          <cell r="D1763">
            <v>38740</v>
          </cell>
          <cell r="E1763">
            <v>11.91</v>
          </cell>
          <cell r="G1763">
            <v>38740</v>
          </cell>
          <cell r="H1763">
            <v>12.37</v>
          </cell>
          <cell r="J1763">
            <v>38736</v>
          </cell>
          <cell r="K1763">
            <v>22.21</v>
          </cell>
          <cell r="M1763">
            <v>38694</v>
          </cell>
          <cell r="N1763">
            <v>4.8</v>
          </cell>
          <cell r="P1763">
            <v>38740</v>
          </cell>
          <cell r="Q1763">
            <v>21.41667</v>
          </cell>
        </row>
        <row r="1764">
          <cell r="D1764">
            <v>38737</v>
          </cell>
          <cell r="E1764">
            <v>12.14</v>
          </cell>
          <cell r="G1764">
            <v>38737</v>
          </cell>
          <cell r="H1764">
            <v>12.43</v>
          </cell>
          <cell r="J1764">
            <v>38735</v>
          </cell>
          <cell r="K1764">
            <v>22.43</v>
          </cell>
          <cell r="M1764">
            <v>38693</v>
          </cell>
          <cell r="N1764">
            <v>5</v>
          </cell>
          <cell r="P1764">
            <v>38737</v>
          </cell>
          <cell r="Q1764">
            <v>22.206669999999999</v>
          </cell>
        </row>
        <row r="1765">
          <cell r="D1765">
            <v>38736</v>
          </cell>
          <cell r="E1765">
            <v>12.35</v>
          </cell>
          <cell r="G1765">
            <v>38736</v>
          </cell>
          <cell r="H1765">
            <v>12.59</v>
          </cell>
          <cell r="J1765">
            <v>38734</v>
          </cell>
          <cell r="K1765">
            <v>22.74</v>
          </cell>
          <cell r="M1765">
            <v>38692</v>
          </cell>
          <cell r="N1765">
            <v>4.96</v>
          </cell>
          <cell r="P1765">
            <v>38736</v>
          </cell>
          <cell r="Q1765">
            <v>23.136669999999999</v>
          </cell>
        </row>
        <row r="1766">
          <cell r="D1766">
            <v>38735</v>
          </cell>
          <cell r="E1766">
            <v>12.12</v>
          </cell>
          <cell r="G1766">
            <v>38735</v>
          </cell>
          <cell r="H1766">
            <v>12.19</v>
          </cell>
          <cell r="J1766">
            <v>38730</v>
          </cell>
          <cell r="K1766">
            <v>23.664999999999999</v>
          </cell>
          <cell r="M1766">
            <v>38691</v>
          </cell>
          <cell r="N1766">
            <v>4.76</v>
          </cell>
          <cell r="P1766">
            <v>38735</v>
          </cell>
          <cell r="Q1766">
            <v>22.66667</v>
          </cell>
        </row>
        <row r="1767">
          <cell r="D1767">
            <v>38734</v>
          </cell>
          <cell r="E1767">
            <v>12.4</v>
          </cell>
          <cell r="G1767">
            <v>38734</v>
          </cell>
          <cell r="H1767">
            <v>12.15</v>
          </cell>
          <cell r="J1767">
            <v>38729</v>
          </cell>
          <cell r="K1767">
            <v>24.24</v>
          </cell>
          <cell r="M1767">
            <v>38688</v>
          </cell>
          <cell r="N1767">
            <v>4.25</v>
          </cell>
          <cell r="P1767">
            <v>38734</v>
          </cell>
          <cell r="Q1767">
            <v>22.57667</v>
          </cell>
        </row>
        <row r="1768">
          <cell r="D1768">
            <v>38730</v>
          </cell>
          <cell r="E1768">
            <v>12.63</v>
          </cell>
          <cell r="G1768">
            <v>38730</v>
          </cell>
          <cell r="H1768">
            <v>12.3</v>
          </cell>
          <cell r="J1768">
            <v>38728</v>
          </cell>
          <cell r="K1768">
            <v>23.76</v>
          </cell>
          <cell r="M1768">
            <v>38687</v>
          </cell>
          <cell r="N1768">
            <v>5</v>
          </cell>
          <cell r="P1768">
            <v>38730</v>
          </cell>
          <cell r="Q1768">
            <v>23.10333</v>
          </cell>
        </row>
        <row r="1769">
          <cell r="D1769">
            <v>38729</v>
          </cell>
          <cell r="E1769">
            <v>12.88</v>
          </cell>
          <cell r="G1769">
            <v>38729</v>
          </cell>
          <cell r="H1769">
            <v>12.55</v>
          </cell>
          <cell r="J1769">
            <v>38727</v>
          </cell>
          <cell r="K1769">
            <v>23.75</v>
          </cell>
          <cell r="M1769">
            <v>38686</v>
          </cell>
          <cell r="N1769">
            <v>5.03</v>
          </cell>
          <cell r="P1769">
            <v>38729</v>
          </cell>
          <cell r="Q1769">
            <v>23.3</v>
          </cell>
        </row>
        <row r="1770">
          <cell r="D1770">
            <v>38728</v>
          </cell>
          <cell r="E1770">
            <v>12.84</v>
          </cell>
          <cell r="G1770">
            <v>38728</v>
          </cell>
          <cell r="H1770">
            <v>12.66</v>
          </cell>
          <cell r="J1770">
            <v>38726</v>
          </cell>
          <cell r="K1770">
            <v>24.26</v>
          </cell>
          <cell r="M1770">
            <v>38685</v>
          </cell>
          <cell r="N1770">
            <v>4.9000000000000004</v>
          </cell>
          <cell r="P1770">
            <v>38728</v>
          </cell>
          <cell r="Q1770">
            <v>23.726669999999999</v>
          </cell>
        </row>
        <row r="1771">
          <cell r="D1771">
            <v>38727</v>
          </cell>
          <cell r="E1771">
            <v>13.27</v>
          </cell>
          <cell r="G1771">
            <v>38727</v>
          </cell>
          <cell r="H1771">
            <v>12.7</v>
          </cell>
          <cell r="J1771">
            <v>38723</v>
          </cell>
          <cell r="K1771">
            <v>24.99</v>
          </cell>
          <cell r="M1771">
            <v>38684</v>
          </cell>
          <cell r="N1771">
            <v>5.01</v>
          </cell>
          <cell r="P1771">
            <v>38727</v>
          </cell>
          <cell r="Q1771">
            <v>23.89</v>
          </cell>
        </row>
        <row r="1772">
          <cell r="D1772">
            <v>38726</v>
          </cell>
          <cell r="E1772">
            <v>13.43</v>
          </cell>
          <cell r="G1772">
            <v>38726</v>
          </cell>
          <cell r="H1772">
            <v>12.77</v>
          </cell>
          <cell r="J1772">
            <v>38722</v>
          </cell>
          <cell r="K1772">
            <v>24.55</v>
          </cell>
          <cell r="M1772">
            <v>38681</v>
          </cell>
          <cell r="N1772">
            <v>5.4</v>
          </cell>
          <cell r="P1772">
            <v>38726</v>
          </cell>
          <cell r="Q1772">
            <v>24.44</v>
          </cell>
        </row>
        <row r="1773">
          <cell r="D1773">
            <v>38723</v>
          </cell>
          <cell r="E1773">
            <v>13.58</v>
          </cell>
          <cell r="G1773">
            <v>38723</v>
          </cell>
          <cell r="H1773">
            <v>12.96</v>
          </cell>
          <cell r="J1773">
            <v>38721</v>
          </cell>
          <cell r="K1773">
            <v>24.34</v>
          </cell>
          <cell r="M1773">
            <v>38679</v>
          </cell>
          <cell r="N1773">
            <v>4.5999999999999996</v>
          </cell>
          <cell r="P1773">
            <v>38723</v>
          </cell>
          <cell r="Q1773">
            <v>24.123329999999999</v>
          </cell>
        </row>
        <row r="1774">
          <cell r="D1774">
            <v>38722</v>
          </cell>
          <cell r="E1774">
            <v>13.46</v>
          </cell>
          <cell r="G1774">
            <v>38722</v>
          </cell>
          <cell r="H1774">
            <v>12.92</v>
          </cell>
          <cell r="J1774">
            <v>38720</v>
          </cell>
          <cell r="K1774">
            <v>23.85</v>
          </cell>
          <cell r="M1774">
            <v>38678</v>
          </cell>
          <cell r="N1774">
            <v>4.78</v>
          </cell>
          <cell r="P1774">
            <v>38722</v>
          </cell>
          <cell r="Q1774">
            <v>23.063330000000001</v>
          </cell>
        </row>
        <row r="1775">
          <cell r="D1775">
            <v>38721</v>
          </cell>
          <cell r="E1775">
            <v>11.56</v>
          </cell>
          <cell r="G1775">
            <v>38721</v>
          </cell>
          <cell r="H1775">
            <v>12.21</v>
          </cell>
          <cell r="J1775">
            <v>38716</v>
          </cell>
          <cell r="K1775">
            <v>23.85</v>
          </cell>
          <cell r="M1775">
            <v>38677</v>
          </cell>
          <cell r="N1775">
            <v>4.72</v>
          </cell>
          <cell r="P1775">
            <v>38721</v>
          </cell>
          <cell r="Q1775">
            <v>22.933330000000002</v>
          </cell>
        </row>
        <row r="1776">
          <cell r="D1776">
            <v>38720</v>
          </cell>
          <cell r="E1776">
            <v>10.84</v>
          </cell>
          <cell r="G1776">
            <v>38720</v>
          </cell>
          <cell r="H1776">
            <v>11.92</v>
          </cell>
          <cell r="J1776">
            <v>38715</v>
          </cell>
          <cell r="K1776">
            <v>23.76</v>
          </cell>
          <cell r="M1776">
            <v>38674</v>
          </cell>
          <cell r="N1776">
            <v>4.8</v>
          </cell>
          <cell r="P1776">
            <v>38720</v>
          </cell>
          <cell r="Q1776">
            <v>22.203330000000001</v>
          </cell>
        </row>
        <row r="1777">
          <cell r="D1777">
            <v>38716</v>
          </cell>
          <cell r="E1777">
            <v>11.1</v>
          </cell>
          <cell r="G1777">
            <v>38716</v>
          </cell>
          <cell r="H1777">
            <v>12.11</v>
          </cell>
          <cell r="J1777">
            <v>38714</v>
          </cell>
          <cell r="K1777">
            <v>23.66</v>
          </cell>
          <cell r="M1777">
            <v>38673</v>
          </cell>
          <cell r="N1777">
            <v>4.8</v>
          </cell>
          <cell r="P1777">
            <v>38716</v>
          </cell>
          <cell r="Q1777">
            <v>22.003329999999998</v>
          </cell>
        </row>
        <row r="1778">
          <cell r="D1778">
            <v>38715</v>
          </cell>
          <cell r="E1778">
            <v>10.94</v>
          </cell>
          <cell r="G1778">
            <v>38715</v>
          </cell>
          <cell r="H1778">
            <v>12.16</v>
          </cell>
          <cell r="J1778">
            <v>38713</v>
          </cell>
          <cell r="K1778">
            <v>23.62</v>
          </cell>
          <cell r="M1778">
            <v>38672</v>
          </cell>
          <cell r="N1778">
            <v>4.5999999999999996</v>
          </cell>
          <cell r="P1778">
            <v>38715</v>
          </cell>
          <cell r="Q1778">
            <v>22.366669999999999</v>
          </cell>
        </row>
        <row r="1779">
          <cell r="D1779">
            <v>38714</v>
          </cell>
          <cell r="E1779">
            <v>11.01</v>
          </cell>
          <cell r="G1779">
            <v>38714</v>
          </cell>
          <cell r="H1779">
            <v>12.51</v>
          </cell>
          <cell r="J1779">
            <v>38709</v>
          </cell>
          <cell r="K1779">
            <v>22.27</v>
          </cell>
          <cell r="M1779">
            <v>38671</v>
          </cell>
          <cell r="N1779">
            <v>4.54</v>
          </cell>
          <cell r="P1779">
            <v>38714</v>
          </cell>
          <cell r="Q1779">
            <v>22.393329999999999</v>
          </cell>
        </row>
        <row r="1780">
          <cell r="D1780">
            <v>38713</v>
          </cell>
          <cell r="E1780">
            <v>11.1</v>
          </cell>
          <cell r="G1780">
            <v>38713</v>
          </cell>
          <cell r="H1780">
            <v>12.38</v>
          </cell>
          <cell r="J1780">
            <v>38708</v>
          </cell>
          <cell r="K1780">
            <v>21.18</v>
          </cell>
          <cell r="M1780">
            <v>38670</v>
          </cell>
          <cell r="N1780">
            <v>4.8099999999999996</v>
          </cell>
          <cell r="P1780">
            <v>38713</v>
          </cell>
          <cell r="Q1780">
            <v>22.356670000000001</v>
          </cell>
        </row>
        <row r="1781">
          <cell r="D1781">
            <v>38709</v>
          </cell>
          <cell r="E1781">
            <v>11.5</v>
          </cell>
          <cell r="G1781">
            <v>38709</v>
          </cell>
          <cell r="H1781">
            <v>12.6</v>
          </cell>
          <cell r="J1781">
            <v>38707</v>
          </cell>
          <cell r="K1781">
            <v>20.37</v>
          </cell>
          <cell r="M1781">
            <v>38667</v>
          </cell>
          <cell r="N1781">
            <v>4.96</v>
          </cell>
          <cell r="P1781">
            <v>38709</v>
          </cell>
          <cell r="Q1781">
            <v>22.44333</v>
          </cell>
        </row>
        <row r="1782">
          <cell r="D1782">
            <v>38708</v>
          </cell>
          <cell r="E1782">
            <v>11.67</v>
          </cell>
          <cell r="G1782">
            <v>38708</v>
          </cell>
          <cell r="H1782">
            <v>12.8</v>
          </cell>
          <cell r="J1782">
            <v>38706</v>
          </cell>
          <cell r="K1782">
            <v>20.61</v>
          </cell>
          <cell r="M1782">
            <v>38666</v>
          </cell>
          <cell r="N1782">
            <v>5</v>
          </cell>
          <cell r="P1782">
            <v>38708</v>
          </cell>
          <cell r="Q1782">
            <v>22.766670000000001</v>
          </cell>
        </row>
        <row r="1783">
          <cell r="D1783">
            <v>38707</v>
          </cell>
          <cell r="E1783">
            <v>11.65</v>
          </cell>
          <cell r="G1783">
            <v>38707</v>
          </cell>
          <cell r="H1783">
            <v>12.49</v>
          </cell>
          <cell r="J1783">
            <v>38705</v>
          </cell>
          <cell r="K1783">
            <v>19.86</v>
          </cell>
          <cell r="M1783">
            <v>38665</v>
          </cell>
          <cell r="N1783">
            <v>4.95</v>
          </cell>
          <cell r="P1783">
            <v>38707</v>
          </cell>
          <cell r="Q1783">
            <v>20.586670000000002</v>
          </cell>
        </row>
        <row r="1784">
          <cell r="D1784">
            <v>38706</v>
          </cell>
          <cell r="E1784">
            <v>11.31</v>
          </cell>
          <cell r="G1784">
            <v>38706</v>
          </cell>
          <cell r="H1784">
            <v>12.48</v>
          </cell>
          <cell r="J1784">
            <v>38702</v>
          </cell>
          <cell r="K1784">
            <v>20.100000000000001</v>
          </cell>
          <cell r="M1784">
            <v>38664</v>
          </cell>
          <cell r="N1784">
            <v>5.4</v>
          </cell>
          <cell r="P1784">
            <v>38706</v>
          </cell>
          <cell r="Q1784">
            <v>20.69333</v>
          </cell>
        </row>
        <row r="1785">
          <cell r="D1785">
            <v>38705</v>
          </cell>
          <cell r="E1785">
            <v>11.54</v>
          </cell>
          <cell r="G1785">
            <v>38705</v>
          </cell>
          <cell r="H1785">
            <v>12.65</v>
          </cell>
          <cell r="J1785">
            <v>38701</v>
          </cell>
          <cell r="K1785">
            <v>19.753</v>
          </cell>
          <cell r="M1785">
            <v>38663</v>
          </cell>
          <cell r="N1785">
            <v>5.15</v>
          </cell>
          <cell r="P1785">
            <v>38705</v>
          </cell>
          <cell r="Q1785">
            <v>21.003329999999998</v>
          </cell>
        </row>
        <row r="1786">
          <cell r="D1786">
            <v>38702</v>
          </cell>
          <cell r="E1786">
            <v>12.09</v>
          </cell>
          <cell r="G1786">
            <v>38702</v>
          </cell>
          <cell r="H1786">
            <v>13.14</v>
          </cell>
          <cell r="J1786">
            <v>38700</v>
          </cell>
          <cell r="K1786">
            <v>19.87</v>
          </cell>
          <cell r="M1786">
            <v>38660</v>
          </cell>
          <cell r="N1786">
            <v>4.91</v>
          </cell>
          <cell r="P1786">
            <v>38702</v>
          </cell>
          <cell r="Q1786">
            <v>20.893329999999999</v>
          </cell>
        </row>
        <row r="1787">
          <cell r="D1787">
            <v>38701</v>
          </cell>
          <cell r="E1787">
            <v>12.35</v>
          </cell>
          <cell r="G1787">
            <v>38701</v>
          </cell>
          <cell r="H1787">
            <v>13.35</v>
          </cell>
          <cell r="J1787">
            <v>38699</v>
          </cell>
          <cell r="K1787">
            <v>19.989999999999998</v>
          </cell>
          <cell r="M1787">
            <v>38659</v>
          </cell>
          <cell r="N1787">
            <v>5.16</v>
          </cell>
          <cell r="P1787">
            <v>38701</v>
          </cell>
          <cell r="Q1787">
            <v>21.57667</v>
          </cell>
        </row>
        <row r="1788">
          <cell r="D1788">
            <v>38700</v>
          </cell>
          <cell r="E1788">
            <v>12.29</v>
          </cell>
          <cell r="G1788">
            <v>38700</v>
          </cell>
          <cell r="H1788">
            <v>13.63</v>
          </cell>
          <cell r="J1788">
            <v>38698</v>
          </cell>
          <cell r="K1788">
            <v>19.850000000000001</v>
          </cell>
          <cell r="M1788">
            <v>38658</v>
          </cell>
          <cell r="N1788">
            <v>5.05</v>
          </cell>
          <cell r="P1788">
            <v>38700</v>
          </cell>
          <cell r="Q1788">
            <v>21.713329999999999</v>
          </cell>
        </row>
        <row r="1789">
          <cell r="D1789">
            <v>38699</v>
          </cell>
          <cell r="E1789">
            <v>12.87</v>
          </cell>
          <cell r="G1789">
            <v>38699</v>
          </cell>
          <cell r="H1789">
            <v>13.9</v>
          </cell>
          <cell r="J1789">
            <v>38695</v>
          </cell>
          <cell r="K1789">
            <v>19.670000000000002</v>
          </cell>
          <cell r="M1789">
            <v>38657</v>
          </cell>
          <cell r="N1789">
            <v>5</v>
          </cell>
          <cell r="P1789">
            <v>38699</v>
          </cell>
          <cell r="Q1789">
            <v>21.51333</v>
          </cell>
        </row>
        <row r="1790">
          <cell r="D1790">
            <v>38698</v>
          </cell>
          <cell r="E1790">
            <v>12.96</v>
          </cell>
          <cell r="G1790">
            <v>38698</v>
          </cell>
          <cell r="H1790">
            <v>13.97</v>
          </cell>
          <cell r="J1790">
            <v>38694</v>
          </cell>
          <cell r="K1790">
            <v>19.68</v>
          </cell>
          <cell r="M1790">
            <v>38656</v>
          </cell>
          <cell r="N1790">
            <v>5.0999999999999996</v>
          </cell>
          <cell r="P1790">
            <v>38698</v>
          </cell>
          <cell r="Q1790">
            <v>21.74333</v>
          </cell>
        </row>
        <row r="1791">
          <cell r="D1791">
            <v>38695</v>
          </cell>
          <cell r="E1791">
            <v>13.06</v>
          </cell>
          <cell r="G1791">
            <v>38695</v>
          </cell>
          <cell r="H1791">
            <v>13.99</v>
          </cell>
          <cell r="J1791">
            <v>38693</v>
          </cell>
          <cell r="K1791">
            <v>19.79</v>
          </cell>
          <cell r="M1791">
            <v>38653</v>
          </cell>
          <cell r="N1791">
            <v>5.1100000000000003</v>
          </cell>
          <cell r="P1791">
            <v>38695</v>
          </cell>
          <cell r="Q1791">
            <v>21.376670000000001</v>
          </cell>
        </row>
        <row r="1792">
          <cell r="D1792">
            <v>38694</v>
          </cell>
          <cell r="E1792">
            <v>12.65</v>
          </cell>
          <cell r="G1792">
            <v>38694</v>
          </cell>
          <cell r="H1792">
            <v>14.14</v>
          </cell>
          <cell r="J1792">
            <v>38692</v>
          </cell>
          <cell r="K1792">
            <v>19.940000000000001</v>
          </cell>
          <cell r="M1792">
            <v>38652</v>
          </cell>
          <cell r="N1792">
            <v>4.95</v>
          </cell>
          <cell r="P1792">
            <v>38694</v>
          </cell>
          <cell r="Q1792">
            <v>20.25</v>
          </cell>
        </row>
        <row r="1793">
          <cell r="D1793">
            <v>38693</v>
          </cell>
          <cell r="E1793">
            <v>13.07</v>
          </cell>
          <cell r="G1793">
            <v>38693</v>
          </cell>
          <cell r="H1793">
            <v>14.28</v>
          </cell>
          <cell r="J1793">
            <v>38691</v>
          </cell>
          <cell r="K1793">
            <v>20.059999999999999</v>
          </cell>
          <cell r="M1793">
            <v>38651</v>
          </cell>
          <cell r="N1793">
            <v>5.19</v>
          </cell>
          <cell r="P1793">
            <v>38693</v>
          </cell>
          <cell r="Q1793">
            <v>20.533329999999999</v>
          </cell>
        </row>
        <row r="1794">
          <cell r="D1794">
            <v>38692</v>
          </cell>
          <cell r="E1794">
            <v>13.34</v>
          </cell>
          <cell r="G1794">
            <v>38692</v>
          </cell>
          <cell r="H1794">
            <v>13.7</v>
          </cell>
          <cell r="J1794">
            <v>38688</v>
          </cell>
          <cell r="K1794">
            <v>20.14</v>
          </cell>
          <cell r="M1794">
            <v>38650</v>
          </cell>
          <cell r="N1794">
            <v>5.4</v>
          </cell>
          <cell r="P1794">
            <v>38692</v>
          </cell>
          <cell r="Q1794">
            <v>20.65</v>
          </cell>
        </row>
        <row r="1795">
          <cell r="D1795">
            <v>38691</v>
          </cell>
          <cell r="E1795">
            <v>13.49</v>
          </cell>
          <cell r="G1795">
            <v>38691</v>
          </cell>
          <cell r="H1795">
            <v>13.5</v>
          </cell>
          <cell r="J1795">
            <v>38687</v>
          </cell>
          <cell r="K1795">
            <v>20.36</v>
          </cell>
          <cell r="M1795">
            <v>38649</v>
          </cell>
          <cell r="N1795">
            <v>5.45</v>
          </cell>
          <cell r="P1795">
            <v>38691</v>
          </cell>
          <cell r="Q1795">
            <v>20.99333</v>
          </cell>
        </row>
        <row r="1796">
          <cell r="D1796">
            <v>38688</v>
          </cell>
          <cell r="E1796">
            <v>13.78</v>
          </cell>
          <cell r="G1796">
            <v>38688</v>
          </cell>
          <cell r="H1796">
            <v>13.68</v>
          </cell>
          <cell r="J1796">
            <v>38686</v>
          </cell>
          <cell r="K1796">
            <v>19.899999999999999</v>
          </cell>
          <cell r="M1796">
            <v>38646</v>
          </cell>
          <cell r="N1796">
            <v>5.41</v>
          </cell>
          <cell r="P1796">
            <v>38688</v>
          </cell>
          <cell r="Q1796">
            <v>21.5</v>
          </cell>
        </row>
        <row r="1797">
          <cell r="D1797">
            <v>38687</v>
          </cell>
          <cell r="E1797">
            <v>13.43</v>
          </cell>
          <cell r="G1797">
            <v>38687</v>
          </cell>
          <cell r="H1797">
            <v>13.9</v>
          </cell>
          <cell r="J1797">
            <v>38685</v>
          </cell>
          <cell r="K1797">
            <v>19.899999999999999</v>
          </cell>
          <cell r="M1797">
            <v>38645</v>
          </cell>
          <cell r="N1797">
            <v>5.25</v>
          </cell>
          <cell r="P1797">
            <v>38687</v>
          </cell>
          <cell r="Q1797">
            <v>21.67333</v>
          </cell>
        </row>
        <row r="1798">
          <cell r="D1798">
            <v>38686</v>
          </cell>
          <cell r="E1798">
            <v>13.09</v>
          </cell>
          <cell r="G1798">
            <v>38686</v>
          </cell>
          <cell r="H1798">
            <v>13.62</v>
          </cell>
          <cell r="J1798">
            <v>38684</v>
          </cell>
          <cell r="K1798">
            <v>19.96</v>
          </cell>
          <cell r="M1798">
            <v>38644</v>
          </cell>
          <cell r="N1798">
            <v>5.13</v>
          </cell>
          <cell r="P1798">
            <v>38686</v>
          </cell>
          <cell r="Q1798">
            <v>20.376670000000001</v>
          </cell>
        </row>
        <row r="1799">
          <cell r="D1799">
            <v>38685</v>
          </cell>
          <cell r="E1799">
            <v>12.78</v>
          </cell>
          <cell r="G1799">
            <v>38685</v>
          </cell>
          <cell r="H1799">
            <v>13.83</v>
          </cell>
          <cell r="J1799">
            <v>38681</v>
          </cell>
          <cell r="K1799">
            <v>20.149999999999999</v>
          </cell>
          <cell r="M1799">
            <v>38643</v>
          </cell>
          <cell r="N1799">
            <v>4.75</v>
          </cell>
          <cell r="P1799">
            <v>38685</v>
          </cell>
          <cell r="Q1799">
            <v>21.64</v>
          </cell>
        </row>
        <row r="1800">
          <cell r="D1800">
            <v>38684</v>
          </cell>
          <cell r="E1800">
            <v>12.92</v>
          </cell>
          <cell r="G1800">
            <v>38684</v>
          </cell>
          <cell r="H1800">
            <v>13.84</v>
          </cell>
          <cell r="J1800">
            <v>38679</v>
          </cell>
          <cell r="K1800">
            <v>20.65</v>
          </cell>
          <cell r="M1800">
            <v>38642</v>
          </cell>
          <cell r="N1800">
            <v>5.19</v>
          </cell>
          <cell r="P1800">
            <v>38684</v>
          </cell>
          <cell r="Q1800">
            <v>21.83333</v>
          </cell>
        </row>
        <row r="1801">
          <cell r="D1801">
            <v>38681</v>
          </cell>
          <cell r="E1801">
            <v>13.16</v>
          </cell>
          <cell r="G1801">
            <v>38681</v>
          </cell>
          <cell r="H1801">
            <v>14.28</v>
          </cell>
          <cell r="J1801">
            <v>38678</v>
          </cell>
          <cell r="K1801">
            <v>21.18</v>
          </cell>
          <cell r="M1801">
            <v>38639</v>
          </cell>
          <cell r="N1801">
            <v>4.8499999999999996</v>
          </cell>
          <cell r="P1801">
            <v>38681</v>
          </cell>
          <cell r="Q1801">
            <v>22.15</v>
          </cell>
        </row>
        <row r="1802">
          <cell r="D1802">
            <v>38679</v>
          </cell>
          <cell r="E1802">
            <v>13.1</v>
          </cell>
          <cell r="G1802">
            <v>38679</v>
          </cell>
          <cell r="H1802">
            <v>14.33</v>
          </cell>
          <cell r="J1802">
            <v>38677</v>
          </cell>
          <cell r="K1802">
            <v>20.149999999999999</v>
          </cell>
          <cell r="M1802">
            <v>38638</v>
          </cell>
          <cell r="N1802">
            <v>4.78</v>
          </cell>
          <cell r="P1802">
            <v>38679</v>
          </cell>
          <cell r="Q1802">
            <v>22.093330000000002</v>
          </cell>
        </row>
        <row r="1803">
          <cell r="D1803">
            <v>38678</v>
          </cell>
          <cell r="E1803">
            <v>12.79</v>
          </cell>
          <cell r="G1803">
            <v>38678</v>
          </cell>
          <cell r="H1803">
            <v>13.72</v>
          </cell>
          <cell r="J1803">
            <v>38674</v>
          </cell>
          <cell r="K1803">
            <v>20.190000000000001</v>
          </cell>
          <cell r="M1803">
            <v>38637</v>
          </cell>
          <cell r="N1803">
            <v>4.74</v>
          </cell>
          <cell r="P1803">
            <v>38678</v>
          </cell>
          <cell r="Q1803">
            <v>22.36</v>
          </cell>
        </row>
        <row r="1804">
          <cell r="D1804">
            <v>38677</v>
          </cell>
          <cell r="E1804">
            <v>12.92</v>
          </cell>
          <cell r="G1804">
            <v>38677</v>
          </cell>
          <cell r="H1804">
            <v>14.02</v>
          </cell>
          <cell r="J1804">
            <v>38673</v>
          </cell>
          <cell r="K1804">
            <v>19.93</v>
          </cell>
          <cell r="M1804">
            <v>38636</v>
          </cell>
          <cell r="N1804">
            <v>4.8</v>
          </cell>
          <cell r="P1804">
            <v>38677</v>
          </cell>
          <cell r="Q1804">
            <v>22.496670000000002</v>
          </cell>
        </row>
        <row r="1805">
          <cell r="D1805">
            <v>38674</v>
          </cell>
          <cell r="E1805">
            <v>12.89</v>
          </cell>
          <cell r="G1805">
            <v>38674</v>
          </cell>
          <cell r="H1805">
            <v>14.13</v>
          </cell>
          <cell r="J1805">
            <v>38672</v>
          </cell>
          <cell r="K1805">
            <v>19.86</v>
          </cell>
          <cell r="M1805">
            <v>38635</v>
          </cell>
          <cell r="N1805">
            <v>4.84</v>
          </cell>
          <cell r="P1805">
            <v>38674</v>
          </cell>
          <cell r="Q1805">
            <v>22.05</v>
          </cell>
        </row>
        <row r="1806">
          <cell r="D1806">
            <v>38673</v>
          </cell>
          <cell r="E1806">
            <v>12.79</v>
          </cell>
          <cell r="G1806">
            <v>38673</v>
          </cell>
          <cell r="H1806">
            <v>14</v>
          </cell>
          <cell r="J1806">
            <v>38671</v>
          </cell>
          <cell r="K1806">
            <v>19.399999999999999</v>
          </cell>
          <cell r="M1806">
            <v>38632</v>
          </cell>
          <cell r="N1806">
            <v>4.6900000000000004</v>
          </cell>
          <cell r="P1806">
            <v>38673</v>
          </cell>
          <cell r="Q1806">
            <v>22.286670000000001</v>
          </cell>
        </row>
        <row r="1807">
          <cell r="D1807">
            <v>38672</v>
          </cell>
          <cell r="E1807">
            <v>12.36</v>
          </cell>
          <cell r="G1807">
            <v>38672</v>
          </cell>
          <cell r="H1807">
            <v>13.6</v>
          </cell>
          <cell r="J1807">
            <v>38670</v>
          </cell>
          <cell r="K1807">
            <v>19.46</v>
          </cell>
          <cell r="M1807">
            <v>38631</v>
          </cell>
          <cell r="N1807">
            <v>4.72</v>
          </cell>
          <cell r="P1807">
            <v>38672</v>
          </cell>
          <cell r="Q1807">
            <v>21.56</v>
          </cell>
        </row>
        <row r="1808">
          <cell r="D1808">
            <v>38671</v>
          </cell>
          <cell r="E1808">
            <v>12.5</v>
          </cell>
          <cell r="G1808">
            <v>38671</v>
          </cell>
          <cell r="H1808">
            <v>13.75</v>
          </cell>
          <cell r="J1808">
            <v>38667</v>
          </cell>
          <cell r="K1808">
            <v>18.600000000000001</v>
          </cell>
          <cell r="M1808">
            <v>38630</v>
          </cell>
          <cell r="N1808">
            <v>4.7</v>
          </cell>
          <cell r="P1808">
            <v>38671</v>
          </cell>
          <cell r="Q1808">
            <v>22.5</v>
          </cell>
        </row>
        <row r="1809">
          <cell r="D1809">
            <v>38670</v>
          </cell>
          <cell r="E1809">
            <v>12.7</v>
          </cell>
          <cell r="G1809">
            <v>38670</v>
          </cell>
          <cell r="H1809">
            <v>14.29</v>
          </cell>
          <cell r="J1809">
            <v>38666</v>
          </cell>
          <cell r="K1809">
            <v>17.190000000000001</v>
          </cell>
          <cell r="M1809">
            <v>38629</v>
          </cell>
          <cell r="N1809">
            <v>4.6500000000000004</v>
          </cell>
          <cell r="P1809">
            <v>38670</v>
          </cell>
          <cell r="Q1809">
            <v>22.44333</v>
          </cell>
        </row>
        <row r="1810">
          <cell r="D1810">
            <v>38667</v>
          </cell>
          <cell r="E1810">
            <v>12.59</v>
          </cell>
          <cell r="G1810">
            <v>38667</v>
          </cell>
          <cell r="H1810">
            <v>14.02</v>
          </cell>
          <cell r="J1810">
            <v>38665</v>
          </cell>
          <cell r="K1810">
            <v>17.04</v>
          </cell>
          <cell r="M1810">
            <v>38628</v>
          </cell>
          <cell r="N1810">
            <v>4.7300000000000004</v>
          </cell>
          <cell r="P1810">
            <v>38667</v>
          </cell>
          <cell r="Q1810">
            <v>22.26333</v>
          </cell>
        </row>
        <row r="1811">
          <cell r="D1811">
            <v>38666</v>
          </cell>
          <cell r="E1811">
            <v>11.53</v>
          </cell>
          <cell r="G1811">
            <v>38666</v>
          </cell>
          <cell r="H1811">
            <v>13.97</v>
          </cell>
          <cell r="J1811">
            <v>38664</v>
          </cell>
          <cell r="K1811">
            <v>17.309999999999999</v>
          </cell>
          <cell r="M1811">
            <v>38625</v>
          </cell>
          <cell r="N1811">
            <v>4.7</v>
          </cell>
          <cell r="P1811">
            <v>38666</v>
          </cell>
          <cell r="Q1811">
            <v>21.95</v>
          </cell>
        </row>
        <row r="1812">
          <cell r="D1812">
            <v>38665</v>
          </cell>
          <cell r="E1812">
            <v>11.29</v>
          </cell>
          <cell r="G1812">
            <v>38665</v>
          </cell>
          <cell r="H1812">
            <v>13.96</v>
          </cell>
          <cell r="J1812">
            <v>38663</v>
          </cell>
          <cell r="K1812">
            <v>17.149999999999999</v>
          </cell>
          <cell r="M1812">
            <v>38624</v>
          </cell>
          <cell r="N1812">
            <v>4.66</v>
          </cell>
          <cell r="P1812">
            <v>38665</v>
          </cell>
          <cell r="Q1812">
            <v>20.406669999999998</v>
          </cell>
        </row>
        <row r="1813">
          <cell r="D1813">
            <v>38664</v>
          </cell>
          <cell r="E1813">
            <v>11.61</v>
          </cell>
          <cell r="G1813">
            <v>38664</v>
          </cell>
          <cell r="H1813">
            <v>14.04</v>
          </cell>
          <cell r="J1813">
            <v>38660</v>
          </cell>
          <cell r="K1813">
            <v>17.45</v>
          </cell>
          <cell r="M1813">
            <v>38623</v>
          </cell>
          <cell r="N1813">
            <v>4.66</v>
          </cell>
          <cell r="P1813">
            <v>38664</v>
          </cell>
          <cell r="Q1813">
            <v>21.286670000000001</v>
          </cell>
        </row>
        <row r="1814">
          <cell r="D1814">
            <v>38663</v>
          </cell>
          <cell r="E1814">
            <v>11.4</v>
          </cell>
          <cell r="G1814">
            <v>38663</v>
          </cell>
          <cell r="H1814">
            <v>14</v>
          </cell>
          <cell r="J1814">
            <v>38659</v>
          </cell>
          <cell r="K1814">
            <v>17.93</v>
          </cell>
          <cell r="M1814">
            <v>38622</v>
          </cell>
          <cell r="N1814">
            <v>4.79</v>
          </cell>
          <cell r="P1814">
            <v>38663</v>
          </cell>
          <cell r="Q1814">
            <v>21.703330000000001</v>
          </cell>
        </row>
        <row r="1815">
          <cell r="D1815">
            <v>38660</v>
          </cell>
          <cell r="E1815">
            <v>11.42</v>
          </cell>
          <cell r="G1815">
            <v>38660</v>
          </cell>
          <cell r="H1815">
            <v>13.88</v>
          </cell>
          <cell r="J1815">
            <v>38658</v>
          </cell>
          <cell r="K1815">
            <v>18.8</v>
          </cell>
          <cell r="M1815">
            <v>38621</v>
          </cell>
          <cell r="N1815">
            <v>4.79</v>
          </cell>
          <cell r="P1815">
            <v>38660</v>
          </cell>
          <cell r="Q1815">
            <v>20.966670000000001</v>
          </cell>
        </row>
        <row r="1816">
          <cell r="D1816">
            <v>38659</v>
          </cell>
          <cell r="E1816">
            <v>11.29</v>
          </cell>
          <cell r="G1816">
            <v>38659</v>
          </cell>
          <cell r="H1816">
            <v>13.19</v>
          </cell>
          <cell r="J1816">
            <v>38657</v>
          </cell>
          <cell r="K1816">
            <v>18.8</v>
          </cell>
          <cell r="M1816">
            <v>38618</v>
          </cell>
          <cell r="N1816">
            <v>4.66</v>
          </cell>
          <cell r="P1816">
            <v>38659</v>
          </cell>
          <cell r="Q1816">
            <v>20.373329999999999</v>
          </cell>
        </row>
        <row r="1817">
          <cell r="D1817">
            <v>38658</v>
          </cell>
          <cell r="E1817">
            <v>11.4</v>
          </cell>
          <cell r="G1817">
            <v>38658</v>
          </cell>
          <cell r="H1817">
            <v>12.84</v>
          </cell>
          <cell r="J1817">
            <v>38656</v>
          </cell>
          <cell r="K1817">
            <v>18.78</v>
          </cell>
          <cell r="M1817">
            <v>38617</v>
          </cell>
          <cell r="N1817">
            <v>4.6500000000000004</v>
          </cell>
          <cell r="P1817">
            <v>38658</v>
          </cell>
          <cell r="Q1817">
            <v>20.41667</v>
          </cell>
        </row>
        <row r="1818">
          <cell r="D1818">
            <v>38657</v>
          </cell>
          <cell r="E1818">
            <v>11.02</v>
          </cell>
          <cell r="G1818">
            <v>38657</v>
          </cell>
          <cell r="H1818">
            <v>12.49</v>
          </cell>
          <cell r="J1818">
            <v>38653</v>
          </cell>
          <cell r="K1818">
            <v>18.45</v>
          </cell>
          <cell r="M1818">
            <v>38616</v>
          </cell>
          <cell r="N1818">
            <v>4.5999999999999996</v>
          </cell>
          <cell r="P1818">
            <v>38657</v>
          </cell>
          <cell r="Q1818">
            <v>20.17333</v>
          </cell>
        </row>
        <row r="1819">
          <cell r="D1819">
            <v>38656</v>
          </cell>
          <cell r="E1819">
            <v>11.02</v>
          </cell>
          <cell r="G1819">
            <v>38656</v>
          </cell>
          <cell r="H1819">
            <v>12.7</v>
          </cell>
          <cell r="J1819">
            <v>38652</v>
          </cell>
          <cell r="K1819">
            <v>18.13</v>
          </cell>
          <cell r="M1819">
            <v>38615</v>
          </cell>
          <cell r="N1819">
            <v>4.74</v>
          </cell>
          <cell r="P1819">
            <v>38656</v>
          </cell>
          <cell r="Q1819">
            <v>20.496670000000002</v>
          </cell>
        </row>
        <row r="1820">
          <cell r="D1820">
            <v>38653</v>
          </cell>
          <cell r="E1820">
            <v>11.26</v>
          </cell>
          <cell r="G1820">
            <v>38653</v>
          </cell>
          <cell r="H1820">
            <v>12.57</v>
          </cell>
          <cell r="J1820">
            <v>38651</v>
          </cell>
          <cell r="K1820">
            <v>18.63</v>
          </cell>
          <cell r="M1820">
            <v>38614</v>
          </cell>
          <cell r="N1820">
            <v>4.75</v>
          </cell>
          <cell r="P1820">
            <v>38653</v>
          </cell>
          <cell r="Q1820">
            <v>20.803329999999999</v>
          </cell>
        </row>
        <row r="1821">
          <cell r="D1821">
            <v>38652</v>
          </cell>
          <cell r="E1821">
            <v>11.25</v>
          </cell>
          <cell r="G1821">
            <v>38652</v>
          </cell>
          <cell r="H1821">
            <v>12.63</v>
          </cell>
          <cell r="J1821">
            <v>38650</v>
          </cell>
          <cell r="K1821">
            <v>18.809999999999999</v>
          </cell>
          <cell r="M1821">
            <v>38611</v>
          </cell>
          <cell r="N1821">
            <v>4.8099999999999996</v>
          </cell>
          <cell r="P1821">
            <v>38652</v>
          </cell>
          <cell r="Q1821">
            <v>20.476669999999999</v>
          </cell>
        </row>
        <row r="1822">
          <cell r="D1822">
            <v>38651</v>
          </cell>
          <cell r="E1822">
            <v>10.98</v>
          </cell>
          <cell r="G1822">
            <v>38651</v>
          </cell>
          <cell r="H1822">
            <v>12.24</v>
          </cell>
          <cell r="J1822">
            <v>38649</v>
          </cell>
          <cell r="K1822">
            <v>18.489999999999998</v>
          </cell>
          <cell r="M1822">
            <v>38610</v>
          </cell>
          <cell r="N1822">
            <v>4.96</v>
          </cell>
          <cell r="P1822">
            <v>38651</v>
          </cell>
          <cell r="Q1822">
            <v>19.440000000000001</v>
          </cell>
        </row>
        <row r="1823">
          <cell r="D1823">
            <v>38650</v>
          </cell>
          <cell r="E1823">
            <v>10.31</v>
          </cell>
          <cell r="G1823">
            <v>38650</v>
          </cell>
          <cell r="H1823">
            <v>11.97</v>
          </cell>
          <cell r="J1823">
            <v>38646</v>
          </cell>
          <cell r="K1823">
            <v>18.399999999999999</v>
          </cell>
          <cell r="M1823">
            <v>38609</v>
          </cell>
          <cell r="N1823">
            <v>4.75</v>
          </cell>
          <cell r="P1823">
            <v>38650</v>
          </cell>
          <cell r="Q1823">
            <v>19.133330000000001</v>
          </cell>
        </row>
        <row r="1824">
          <cell r="D1824">
            <v>38649</v>
          </cell>
          <cell r="E1824">
            <v>10.14</v>
          </cell>
          <cell r="G1824">
            <v>38649</v>
          </cell>
          <cell r="H1824">
            <v>12.13</v>
          </cell>
          <cell r="J1824">
            <v>38645</v>
          </cell>
          <cell r="K1824">
            <v>18.03</v>
          </cell>
          <cell r="M1824">
            <v>38608</v>
          </cell>
          <cell r="N1824">
            <v>4.75</v>
          </cell>
          <cell r="P1824">
            <v>38649</v>
          </cell>
          <cell r="Q1824">
            <v>20.036670000000001</v>
          </cell>
        </row>
        <row r="1825">
          <cell r="D1825">
            <v>38646</v>
          </cell>
          <cell r="E1825">
            <v>9.9600000000000009</v>
          </cell>
          <cell r="G1825">
            <v>38646</v>
          </cell>
          <cell r="H1825">
            <v>12.56</v>
          </cell>
          <cell r="J1825">
            <v>38644</v>
          </cell>
          <cell r="K1825">
            <v>18.100000000000001</v>
          </cell>
          <cell r="M1825">
            <v>38607</v>
          </cell>
          <cell r="N1825">
            <v>4.95</v>
          </cell>
          <cell r="P1825">
            <v>38646</v>
          </cell>
          <cell r="Q1825">
            <v>20.78</v>
          </cell>
        </row>
        <row r="1826">
          <cell r="D1826">
            <v>38645</v>
          </cell>
          <cell r="E1826">
            <v>10.37</v>
          </cell>
          <cell r="G1826">
            <v>38645</v>
          </cell>
          <cell r="H1826">
            <v>13.16</v>
          </cell>
          <cell r="J1826">
            <v>38643</v>
          </cell>
          <cell r="K1826">
            <v>18.21</v>
          </cell>
          <cell r="M1826">
            <v>38604</v>
          </cell>
          <cell r="N1826">
            <v>5.09</v>
          </cell>
          <cell r="P1826">
            <v>38645</v>
          </cell>
          <cell r="Q1826">
            <v>21.553329999999999</v>
          </cell>
        </row>
        <row r="1827">
          <cell r="D1827">
            <v>38644</v>
          </cell>
          <cell r="E1827">
            <v>10.79</v>
          </cell>
          <cell r="G1827">
            <v>38644</v>
          </cell>
          <cell r="H1827">
            <v>13.66</v>
          </cell>
          <cell r="J1827">
            <v>38642</v>
          </cell>
          <cell r="K1827">
            <v>17.75</v>
          </cell>
          <cell r="M1827">
            <v>38603</v>
          </cell>
          <cell r="N1827">
            <v>5.0599999999999996</v>
          </cell>
          <cell r="P1827">
            <v>38644</v>
          </cell>
          <cell r="Q1827">
            <v>21.733329999999999</v>
          </cell>
        </row>
        <row r="1828">
          <cell r="D1828">
            <v>38643</v>
          </cell>
          <cell r="E1828">
            <v>10.89</v>
          </cell>
          <cell r="G1828">
            <v>38643</v>
          </cell>
          <cell r="H1828">
            <v>13.53</v>
          </cell>
          <cell r="J1828">
            <v>38639</v>
          </cell>
          <cell r="K1828">
            <v>17.329999999999998</v>
          </cell>
          <cell r="M1828">
            <v>38602</v>
          </cell>
          <cell r="N1828">
            <v>5.24</v>
          </cell>
          <cell r="P1828">
            <v>38643</v>
          </cell>
          <cell r="Q1828">
            <v>21.526669999999999</v>
          </cell>
        </row>
        <row r="1829">
          <cell r="D1829">
            <v>38642</v>
          </cell>
          <cell r="E1829">
            <v>10.91</v>
          </cell>
          <cell r="G1829">
            <v>38642</v>
          </cell>
          <cell r="H1829">
            <v>13.72</v>
          </cell>
          <cell r="J1829">
            <v>38638</v>
          </cell>
          <cell r="K1829">
            <v>16.27</v>
          </cell>
          <cell r="M1829">
            <v>38601</v>
          </cell>
          <cell r="N1829">
            <v>5.09</v>
          </cell>
          <cell r="P1829">
            <v>38642</v>
          </cell>
          <cell r="Q1829">
            <v>21.656669999999998</v>
          </cell>
        </row>
        <row r="1830">
          <cell r="D1830">
            <v>38639</v>
          </cell>
          <cell r="E1830">
            <v>11.08</v>
          </cell>
          <cell r="G1830">
            <v>38639</v>
          </cell>
          <cell r="H1830">
            <v>13.92</v>
          </cell>
          <cell r="J1830">
            <v>38637</v>
          </cell>
          <cell r="K1830">
            <v>16.73</v>
          </cell>
          <cell r="M1830">
            <v>38597</v>
          </cell>
          <cell r="N1830">
            <v>5.09</v>
          </cell>
          <cell r="P1830">
            <v>38639</v>
          </cell>
          <cell r="Q1830">
            <v>21.336670000000002</v>
          </cell>
        </row>
        <row r="1831">
          <cell r="D1831">
            <v>38638</v>
          </cell>
          <cell r="E1831">
            <v>10.43</v>
          </cell>
          <cell r="G1831">
            <v>38638</v>
          </cell>
          <cell r="H1831">
            <v>13.85</v>
          </cell>
          <cell r="J1831">
            <v>38636</v>
          </cell>
          <cell r="K1831">
            <v>17.3</v>
          </cell>
          <cell r="M1831">
            <v>38596</v>
          </cell>
          <cell r="N1831">
            <v>5.12</v>
          </cell>
          <cell r="P1831">
            <v>38638</v>
          </cell>
          <cell r="Q1831">
            <v>21.81</v>
          </cell>
        </row>
        <row r="1832">
          <cell r="D1832">
            <v>38637</v>
          </cell>
          <cell r="E1832">
            <v>10.49</v>
          </cell>
          <cell r="G1832">
            <v>38637</v>
          </cell>
          <cell r="H1832">
            <v>13.5</v>
          </cell>
          <cell r="J1832">
            <v>38635</v>
          </cell>
          <cell r="K1832">
            <v>17.8</v>
          </cell>
          <cell r="M1832">
            <v>38595</v>
          </cell>
          <cell r="N1832">
            <v>5.4</v>
          </cell>
          <cell r="P1832">
            <v>38637</v>
          </cell>
          <cell r="Q1832">
            <v>21.35</v>
          </cell>
        </row>
        <row r="1833">
          <cell r="D1833">
            <v>38636</v>
          </cell>
          <cell r="E1833">
            <v>10.68</v>
          </cell>
          <cell r="G1833">
            <v>38636</v>
          </cell>
          <cell r="H1833">
            <v>13.66</v>
          </cell>
          <cell r="J1833">
            <v>38632</v>
          </cell>
          <cell r="K1833">
            <v>17.7</v>
          </cell>
          <cell r="M1833">
            <v>38594</v>
          </cell>
          <cell r="N1833">
            <v>5.09</v>
          </cell>
          <cell r="P1833">
            <v>38636</v>
          </cell>
          <cell r="Q1833">
            <v>21.00667</v>
          </cell>
        </row>
        <row r="1834">
          <cell r="D1834">
            <v>38635</v>
          </cell>
          <cell r="E1834">
            <v>10.83</v>
          </cell>
          <cell r="G1834">
            <v>38635</v>
          </cell>
          <cell r="H1834">
            <v>13.79</v>
          </cell>
          <cell r="J1834">
            <v>38631</v>
          </cell>
          <cell r="K1834">
            <v>18.190000000000001</v>
          </cell>
          <cell r="M1834">
            <v>38593</v>
          </cell>
          <cell r="N1834">
            <v>5.1100000000000003</v>
          </cell>
          <cell r="P1834">
            <v>38635</v>
          </cell>
          <cell r="Q1834">
            <v>21.436669999999999</v>
          </cell>
        </row>
        <row r="1835">
          <cell r="D1835">
            <v>38632</v>
          </cell>
          <cell r="E1835">
            <v>11.16</v>
          </cell>
          <cell r="G1835">
            <v>38632</v>
          </cell>
          <cell r="H1835">
            <v>13.64</v>
          </cell>
          <cell r="J1835">
            <v>38630</v>
          </cell>
          <cell r="K1835">
            <v>19.64</v>
          </cell>
          <cell r="M1835">
            <v>38590</v>
          </cell>
          <cell r="N1835">
            <v>5.28</v>
          </cell>
          <cell r="P1835">
            <v>38632</v>
          </cell>
          <cell r="Q1835">
            <v>21.516670000000001</v>
          </cell>
        </row>
        <row r="1836">
          <cell r="D1836">
            <v>38631</v>
          </cell>
          <cell r="E1836">
            <v>10.37</v>
          </cell>
          <cell r="G1836">
            <v>38631</v>
          </cell>
          <cell r="H1836">
            <v>13.87</v>
          </cell>
          <cell r="J1836">
            <v>38629</v>
          </cell>
          <cell r="K1836">
            <v>19.75</v>
          </cell>
          <cell r="M1836">
            <v>38589</v>
          </cell>
          <cell r="N1836">
            <v>5.3</v>
          </cell>
          <cell r="P1836">
            <v>38631</v>
          </cell>
          <cell r="Q1836">
            <v>22.323329999999999</v>
          </cell>
        </row>
        <row r="1837">
          <cell r="D1837">
            <v>38630</v>
          </cell>
          <cell r="E1837">
            <v>10.56</v>
          </cell>
          <cell r="G1837">
            <v>38630</v>
          </cell>
          <cell r="H1837">
            <v>14.28</v>
          </cell>
          <cell r="J1837">
            <v>38628</v>
          </cell>
          <cell r="K1837">
            <v>19.8</v>
          </cell>
          <cell r="M1837">
            <v>38588</v>
          </cell>
          <cell r="N1837">
            <v>5.42</v>
          </cell>
          <cell r="P1837">
            <v>38630</v>
          </cell>
          <cell r="Q1837">
            <v>22.233329999999999</v>
          </cell>
        </row>
        <row r="1838">
          <cell r="D1838">
            <v>38629</v>
          </cell>
          <cell r="E1838">
            <v>10.76</v>
          </cell>
          <cell r="G1838">
            <v>38629</v>
          </cell>
          <cell r="H1838">
            <v>14.095000000000001</v>
          </cell>
          <cell r="J1838">
            <v>38625</v>
          </cell>
          <cell r="K1838">
            <v>19.829999999999998</v>
          </cell>
          <cell r="M1838">
            <v>38587</v>
          </cell>
          <cell r="N1838">
            <v>5.41</v>
          </cell>
          <cell r="P1838">
            <v>38629</v>
          </cell>
          <cell r="Q1838">
            <v>21.933330000000002</v>
          </cell>
        </row>
        <row r="1839">
          <cell r="D1839">
            <v>38628</v>
          </cell>
          <cell r="E1839">
            <v>10.81</v>
          </cell>
          <cell r="G1839">
            <v>38628</v>
          </cell>
          <cell r="H1839">
            <v>14.48</v>
          </cell>
          <cell r="J1839">
            <v>38624</v>
          </cell>
          <cell r="K1839">
            <v>19.79</v>
          </cell>
          <cell r="M1839">
            <v>38586</v>
          </cell>
          <cell r="N1839">
            <v>5.165</v>
          </cell>
          <cell r="P1839">
            <v>38628</v>
          </cell>
          <cell r="Q1839">
            <v>22.7</v>
          </cell>
        </row>
        <row r="1840">
          <cell r="D1840">
            <v>38625</v>
          </cell>
          <cell r="E1840">
            <v>11.36</v>
          </cell>
          <cell r="G1840">
            <v>38625</v>
          </cell>
          <cell r="H1840">
            <v>14.47</v>
          </cell>
          <cell r="J1840">
            <v>38623</v>
          </cell>
          <cell r="K1840">
            <v>19.559999999999999</v>
          </cell>
          <cell r="M1840">
            <v>38583</v>
          </cell>
          <cell r="N1840">
            <v>5.3</v>
          </cell>
          <cell r="P1840">
            <v>38625</v>
          </cell>
          <cell r="Q1840">
            <v>22.766670000000001</v>
          </cell>
        </row>
        <row r="1841">
          <cell r="D1841">
            <v>38624</v>
          </cell>
          <cell r="E1841">
            <v>11.7</v>
          </cell>
          <cell r="G1841">
            <v>38624</v>
          </cell>
          <cell r="H1841">
            <v>15.22</v>
          </cell>
          <cell r="J1841">
            <v>38622</v>
          </cell>
          <cell r="K1841">
            <v>18.98</v>
          </cell>
          <cell r="M1841">
            <v>38582</v>
          </cell>
          <cell r="N1841">
            <v>5.28</v>
          </cell>
          <cell r="P1841">
            <v>38624</v>
          </cell>
          <cell r="Q1841">
            <v>23.33333</v>
          </cell>
        </row>
        <row r="1842">
          <cell r="D1842">
            <v>38623</v>
          </cell>
          <cell r="E1842">
            <v>11.74</v>
          </cell>
          <cell r="G1842">
            <v>38623</v>
          </cell>
          <cell r="H1842">
            <v>15.54</v>
          </cell>
          <cell r="J1842">
            <v>38621</v>
          </cell>
          <cell r="K1842">
            <v>18.45</v>
          </cell>
          <cell r="M1842">
            <v>38581</v>
          </cell>
          <cell r="N1842">
            <v>5</v>
          </cell>
          <cell r="P1842">
            <v>38623</v>
          </cell>
          <cell r="Q1842">
            <v>25.75</v>
          </cell>
        </row>
        <row r="1843">
          <cell r="D1843">
            <v>38622</v>
          </cell>
          <cell r="E1843">
            <v>10.92</v>
          </cell>
          <cell r="G1843">
            <v>38622</v>
          </cell>
          <cell r="H1843">
            <v>15.12</v>
          </cell>
          <cell r="J1843">
            <v>38618</v>
          </cell>
          <cell r="K1843">
            <v>18.37</v>
          </cell>
          <cell r="M1843">
            <v>38580</v>
          </cell>
          <cell r="N1843">
            <v>4.99</v>
          </cell>
          <cell r="P1843">
            <v>38622</v>
          </cell>
          <cell r="Q1843">
            <v>25.81</v>
          </cell>
        </row>
        <row r="1844">
          <cell r="D1844">
            <v>38621</v>
          </cell>
          <cell r="E1844">
            <v>11.02</v>
          </cell>
          <cell r="G1844">
            <v>38621</v>
          </cell>
          <cell r="H1844">
            <v>15.19</v>
          </cell>
          <cell r="J1844">
            <v>38617</v>
          </cell>
          <cell r="K1844">
            <v>18.2</v>
          </cell>
          <cell r="M1844">
            <v>38579</v>
          </cell>
          <cell r="N1844">
            <v>5.05</v>
          </cell>
          <cell r="P1844">
            <v>38621</v>
          </cell>
          <cell r="Q1844">
            <v>25.863330000000001</v>
          </cell>
        </row>
        <row r="1845">
          <cell r="D1845">
            <v>38618</v>
          </cell>
          <cell r="E1845">
            <v>11.09</v>
          </cell>
          <cell r="G1845">
            <v>38618</v>
          </cell>
          <cell r="H1845">
            <v>14.9</v>
          </cell>
          <cell r="J1845">
            <v>38616</v>
          </cell>
          <cell r="K1845">
            <v>18.73</v>
          </cell>
          <cell r="M1845">
            <v>38576</v>
          </cell>
          <cell r="N1845">
            <v>5.22</v>
          </cell>
          <cell r="P1845">
            <v>38618</v>
          </cell>
          <cell r="Q1845">
            <v>26.22</v>
          </cell>
        </row>
        <row r="1846">
          <cell r="D1846">
            <v>38617</v>
          </cell>
          <cell r="E1846">
            <v>11</v>
          </cell>
          <cell r="G1846">
            <v>38617</v>
          </cell>
          <cell r="H1846">
            <v>14.1</v>
          </cell>
          <cell r="J1846">
            <v>38615</v>
          </cell>
          <cell r="K1846">
            <v>19.54</v>
          </cell>
          <cell r="M1846">
            <v>38575</v>
          </cell>
          <cell r="N1846">
            <v>4.95</v>
          </cell>
          <cell r="P1846">
            <v>38617</v>
          </cell>
          <cell r="Q1846">
            <v>25.526669999999999</v>
          </cell>
        </row>
        <row r="1847">
          <cell r="D1847">
            <v>38616</v>
          </cell>
          <cell r="E1847">
            <v>11.15</v>
          </cell>
          <cell r="G1847">
            <v>38616</v>
          </cell>
          <cell r="H1847">
            <v>13.3</v>
          </cell>
          <cell r="J1847">
            <v>38614</v>
          </cell>
          <cell r="K1847">
            <v>19.600000000000001</v>
          </cell>
          <cell r="M1847">
            <v>38574</v>
          </cell>
          <cell r="N1847">
            <v>5.3</v>
          </cell>
          <cell r="P1847">
            <v>38616</v>
          </cell>
          <cell r="Q1847">
            <v>25.546669999999999</v>
          </cell>
        </row>
        <row r="1848">
          <cell r="D1848">
            <v>38615</v>
          </cell>
          <cell r="E1848">
            <v>9.3000000000000007</v>
          </cell>
          <cell r="G1848">
            <v>38615</v>
          </cell>
          <cell r="H1848">
            <v>12.66</v>
          </cell>
          <cell r="J1848">
            <v>38611</v>
          </cell>
          <cell r="K1848">
            <v>18.850000000000001</v>
          </cell>
          <cell r="M1848">
            <v>38573</v>
          </cell>
          <cell r="N1848">
            <v>5.38</v>
          </cell>
          <cell r="P1848">
            <v>38615</v>
          </cell>
          <cell r="Q1848">
            <v>25.15333</v>
          </cell>
        </row>
        <row r="1849">
          <cell r="D1849">
            <v>38614</v>
          </cell>
          <cell r="E1849">
            <v>7.92</v>
          </cell>
          <cell r="G1849">
            <v>38614</v>
          </cell>
          <cell r="H1849">
            <v>12.38</v>
          </cell>
          <cell r="J1849">
            <v>38610</v>
          </cell>
          <cell r="K1849">
            <v>18.52</v>
          </cell>
          <cell r="M1849">
            <v>38572</v>
          </cell>
          <cell r="N1849">
            <v>5.4</v>
          </cell>
          <cell r="P1849">
            <v>38614</v>
          </cell>
          <cell r="Q1849">
            <v>25.89667</v>
          </cell>
        </row>
        <row r="1850">
          <cell r="D1850">
            <v>38611</v>
          </cell>
          <cell r="E1850">
            <v>8.17</v>
          </cell>
          <cell r="G1850">
            <v>38611</v>
          </cell>
          <cell r="H1850">
            <v>12.55</v>
          </cell>
          <cell r="J1850">
            <v>38609</v>
          </cell>
          <cell r="K1850">
            <v>18.12</v>
          </cell>
          <cell r="M1850">
            <v>38569</v>
          </cell>
          <cell r="N1850">
            <v>5.37</v>
          </cell>
          <cell r="P1850">
            <v>38611</v>
          </cell>
          <cell r="Q1850">
            <v>26.29</v>
          </cell>
        </row>
        <row r="1851">
          <cell r="D1851">
            <v>38610</v>
          </cell>
          <cell r="E1851">
            <v>8.2799999999999994</v>
          </cell>
          <cell r="G1851">
            <v>38610</v>
          </cell>
          <cell r="H1851">
            <v>11.76</v>
          </cell>
          <cell r="J1851">
            <v>38608</v>
          </cell>
          <cell r="K1851">
            <v>18.809999999999999</v>
          </cell>
          <cell r="M1851">
            <v>38568</v>
          </cell>
          <cell r="N1851">
            <v>5.61</v>
          </cell>
          <cell r="P1851">
            <v>38610</v>
          </cell>
          <cell r="Q1851">
            <v>26.07</v>
          </cell>
        </row>
        <row r="1852">
          <cell r="D1852">
            <v>38609</v>
          </cell>
          <cell r="E1852">
            <v>8.1999999999999993</v>
          </cell>
          <cell r="G1852">
            <v>38609</v>
          </cell>
          <cell r="H1852">
            <v>11.75</v>
          </cell>
          <cell r="J1852">
            <v>38607</v>
          </cell>
          <cell r="K1852">
            <v>18.55</v>
          </cell>
          <cell r="M1852">
            <v>38567</v>
          </cell>
          <cell r="N1852">
            <v>5.68</v>
          </cell>
          <cell r="P1852">
            <v>38609</v>
          </cell>
          <cell r="Q1852">
            <v>26.69</v>
          </cell>
        </row>
        <row r="1853">
          <cell r="D1853">
            <v>38608</v>
          </cell>
          <cell r="E1853">
            <v>8.2899999999999991</v>
          </cell>
          <cell r="G1853">
            <v>38608</v>
          </cell>
          <cell r="H1853">
            <v>11.63</v>
          </cell>
          <cell r="J1853">
            <v>38604</v>
          </cell>
          <cell r="K1853">
            <v>17.7</v>
          </cell>
          <cell r="M1853">
            <v>38566</v>
          </cell>
          <cell r="N1853">
            <v>5.5</v>
          </cell>
          <cell r="P1853">
            <v>38608</v>
          </cell>
          <cell r="Q1853">
            <v>27.196670000000001</v>
          </cell>
        </row>
        <row r="1854">
          <cell r="D1854">
            <v>38607</v>
          </cell>
          <cell r="E1854">
            <v>8.15</v>
          </cell>
          <cell r="G1854">
            <v>38607</v>
          </cell>
          <cell r="H1854">
            <v>11.76</v>
          </cell>
          <cell r="J1854">
            <v>38603</v>
          </cell>
          <cell r="K1854">
            <v>17.649999999999999</v>
          </cell>
          <cell r="M1854">
            <v>38565</v>
          </cell>
          <cell r="N1854">
            <v>5.79</v>
          </cell>
          <cell r="P1854">
            <v>38607</v>
          </cell>
          <cell r="Q1854">
            <v>26.51</v>
          </cell>
        </row>
        <row r="1855">
          <cell r="D1855">
            <v>38604</v>
          </cell>
          <cell r="E1855">
            <v>8.1199999999999992</v>
          </cell>
          <cell r="G1855">
            <v>38604</v>
          </cell>
          <cell r="H1855">
            <v>12.25</v>
          </cell>
          <cell r="J1855">
            <v>38602</v>
          </cell>
          <cell r="K1855">
            <v>17.71</v>
          </cell>
          <cell r="M1855">
            <v>38562</v>
          </cell>
          <cell r="N1855">
            <v>6</v>
          </cell>
          <cell r="P1855">
            <v>38604</v>
          </cell>
          <cell r="Q1855">
            <v>26.86</v>
          </cell>
        </row>
        <row r="1856">
          <cell r="D1856">
            <v>38603</v>
          </cell>
          <cell r="E1856">
            <v>7.97</v>
          </cell>
          <cell r="G1856">
            <v>38603</v>
          </cell>
          <cell r="H1856">
            <v>12.08</v>
          </cell>
          <cell r="J1856">
            <v>38601</v>
          </cell>
          <cell r="K1856">
            <v>17.47</v>
          </cell>
          <cell r="M1856">
            <v>38561</v>
          </cell>
          <cell r="N1856">
            <v>5.2</v>
          </cell>
          <cell r="P1856">
            <v>38603</v>
          </cell>
          <cell r="Q1856">
            <v>26.26</v>
          </cell>
        </row>
        <row r="1857">
          <cell r="D1857">
            <v>38602</v>
          </cell>
          <cell r="E1857">
            <v>7.78</v>
          </cell>
          <cell r="G1857">
            <v>38602</v>
          </cell>
          <cell r="H1857">
            <v>11.96</v>
          </cell>
          <cell r="J1857">
            <v>38597</v>
          </cell>
          <cell r="K1857">
            <v>17.7</v>
          </cell>
          <cell r="M1857">
            <v>38560</v>
          </cell>
          <cell r="N1857">
            <v>5.0199999999999996</v>
          </cell>
          <cell r="P1857">
            <v>38602</v>
          </cell>
          <cell r="Q1857">
            <v>26.483329999999999</v>
          </cell>
        </row>
        <row r="1858">
          <cell r="D1858">
            <v>38601</v>
          </cell>
          <cell r="E1858">
            <v>7.49</v>
          </cell>
          <cell r="G1858">
            <v>38601</v>
          </cell>
          <cell r="H1858">
            <v>12.39</v>
          </cell>
          <cell r="J1858">
            <v>38596</v>
          </cell>
          <cell r="K1858">
            <v>17.68</v>
          </cell>
          <cell r="M1858">
            <v>38559</v>
          </cell>
          <cell r="N1858">
            <v>5.05</v>
          </cell>
          <cell r="P1858">
            <v>38601</v>
          </cell>
          <cell r="Q1858">
            <v>26.1</v>
          </cell>
        </row>
        <row r="1859">
          <cell r="D1859">
            <v>38597</v>
          </cell>
          <cell r="E1859">
            <v>7.2</v>
          </cell>
          <cell r="G1859">
            <v>38597</v>
          </cell>
          <cell r="H1859">
            <v>12.36</v>
          </cell>
          <cell r="J1859">
            <v>38595</v>
          </cell>
          <cell r="K1859">
            <v>17.46</v>
          </cell>
          <cell r="M1859">
            <v>38558</v>
          </cell>
          <cell r="N1859">
            <v>5.0199999999999996</v>
          </cell>
          <cell r="P1859">
            <v>38597</v>
          </cell>
          <cell r="Q1859">
            <v>26.57</v>
          </cell>
        </row>
        <row r="1860">
          <cell r="D1860">
            <v>38596</v>
          </cell>
          <cell r="E1860">
            <v>7.23</v>
          </cell>
          <cell r="G1860">
            <v>38596</v>
          </cell>
          <cell r="H1860">
            <v>12.09</v>
          </cell>
          <cell r="J1860">
            <v>38594</v>
          </cell>
          <cell r="K1860">
            <v>17.41</v>
          </cell>
          <cell r="M1860">
            <v>38555</v>
          </cell>
          <cell r="N1860">
            <v>5.0199999999999996</v>
          </cell>
          <cell r="P1860">
            <v>38596</v>
          </cell>
          <cell r="Q1860">
            <v>26.84</v>
          </cell>
        </row>
        <row r="1861">
          <cell r="D1861">
            <v>38595</v>
          </cell>
          <cell r="E1861">
            <v>7.26</v>
          </cell>
          <cell r="G1861">
            <v>38595</v>
          </cell>
          <cell r="H1861">
            <v>12.07</v>
          </cell>
          <cell r="J1861">
            <v>38593</v>
          </cell>
          <cell r="K1861">
            <v>17.71</v>
          </cell>
          <cell r="M1861">
            <v>38554</v>
          </cell>
          <cell r="N1861">
            <v>5.03</v>
          </cell>
          <cell r="P1861">
            <v>38595</v>
          </cell>
          <cell r="Q1861">
            <v>26.1</v>
          </cell>
        </row>
        <row r="1862">
          <cell r="D1862">
            <v>38594</v>
          </cell>
          <cell r="E1862">
            <v>7.33</v>
          </cell>
          <cell r="G1862">
            <v>38594</v>
          </cell>
          <cell r="H1862">
            <v>12.03</v>
          </cell>
          <cell r="J1862">
            <v>38590</v>
          </cell>
          <cell r="K1862">
            <v>17.59</v>
          </cell>
          <cell r="M1862">
            <v>38553</v>
          </cell>
          <cell r="N1862">
            <v>5.18</v>
          </cell>
          <cell r="P1862">
            <v>38594</v>
          </cell>
          <cell r="Q1862">
            <v>25.616669999999999</v>
          </cell>
        </row>
        <row r="1863">
          <cell r="D1863">
            <v>38593</v>
          </cell>
          <cell r="E1863">
            <v>7.44</v>
          </cell>
          <cell r="G1863">
            <v>38593</v>
          </cell>
          <cell r="H1863">
            <v>11.61</v>
          </cell>
          <cell r="J1863">
            <v>38589</v>
          </cell>
          <cell r="K1863">
            <v>18.149999999999999</v>
          </cell>
          <cell r="M1863">
            <v>38552</v>
          </cell>
          <cell r="N1863">
            <v>5.19</v>
          </cell>
          <cell r="P1863">
            <v>38593</v>
          </cell>
          <cell r="Q1863">
            <v>25.83</v>
          </cell>
        </row>
        <row r="1864">
          <cell r="D1864">
            <v>38590</v>
          </cell>
          <cell r="E1864">
            <v>7.46</v>
          </cell>
          <cell r="G1864">
            <v>38590</v>
          </cell>
          <cell r="H1864">
            <v>11.3</v>
          </cell>
          <cell r="J1864">
            <v>38588</v>
          </cell>
          <cell r="K1864">
            <v>18.25</v>
          </cell>
          <cell r="M1864">
            <v>38551</v>
          </cell>
          <cell r="N1864">
            <v>5.19</v>
          </cell>
          <cell r="P1864">
            <v>38590</v>
          </cell>
          <cell r="Q1864">
            <v>25.726669999999999</v>
          </cell>
        </row>
        <row r="1865">
          <cell r="D1865">
            <v>38589</v>
          </cell>
          <cell r="E1865">
            <v>7.56</v>
          </cell>
          <cell r="G1865">
            <v>38589</v>
          </cell>
          <cell r="H1865">
            <v>11.27</v>
          </cell>
          <cell r="J1865">
            <v>38587</v>
          </cell>
          <cell r="K1865">
            <v>18.34</v>
          </cell>
          <cell r="M1865">
            <v>38548</v>
          </cell>
          <cell r="N1865">
            <v>5.1100000000000003</v>
          </cell>
          <cell r="P1865">
            <v>38589</v>
          </cell>
          <cell r="Q1865">
            <v>26.106670000000001</v>
          </cell>
        </row>
        <row r="1866">
          <cell r="D1866">
            <v>38588</v>
          </cell>
          <cell r="E1866">
            <v>7.54</v>
          </cell>
          <cell r="G1866">
            <v>38588</v>
          </cell>
          <cell r="H1866">
            <v>10.8</v>
          </cell>
          <cell r="J1866">
            <v>38586</v>
          </cell>
          <cell r="K1866">
            <v>18.350000000000001</v>
          </cell>
          <cell r="M1866">
            <v>38547</v>
          </cell>
          <cell r="N1866">
            <v>5.16</v>
          </cell>
          <cell r="P1866">
            <v>38588</v>
          </cell>
          <cell r="Q1866">
            <v>25.316669999999998</v>
          </cell>
        </row>
        <row r="1867">
          <cell r="D1867">
            <v>38587</v>
          </cell>
          <cell r="E1867">
            <v>7.53</v>
          </cell>
          <cell r="G1867">
            <v>38587</v>
          </cell>
          <cell r="H1867">
            <v>10.84</v>
          </cell>
          <cell r="J1867">
            <v>38583</v>
          </cell>
          <cell r="K1867">
            <v>18.190000000000001</v>
          </cell>
          <cell r="M1867">
            <v>38546</v>
          </cell>
          <cell r="N1867">
            <v>5.13</v>
          </cell>
          <cell r="P1867">
            <v>38587</v>
          </cell>
          <cell r="Q1867">
            <v>25.586670000000002</v>
          </cell>
        </row>
        <row r="1868">
          <cell r="D1868">
            <v>38586</v>
          </cell>
          <cell r="E1868">
            <v>7.53</v>
          </cell>
          <cell r="G1868">
            <v>38586</v>
          </cell>
          <cell r="H1868">
            <v>11.01</v>
          </cell>
          <cell r="J1868">
            <v>38582</v>
          </cell>
          <cell r="K1868">
            <v>17.899999999999999</v>
          </cell>
          <cell r="M1868">
            <v>38545</v>
          </cell>
          <cell r="N1868">
            <v>5.15</v>
          </cell>
          <cell r="P1868">
            <v>38586</v>
          </cell>
          <cell r="Q1868">
            <v>25.83</v>
          </cell>
        </row>
        <row r="1869">
          <cell r="D1869">
            <v>38583</v>
          </cell>
          <cell r="E1869">
            <v>7.47</v>
          </cell>
          <cell r="G1869">
            <v>38583</v>
          </cell>
          <cell r="H1869">
            <v>11.43</v>
          </cell>
          <cell r="J1869">
            <v>38581</v>
          </cell>
          <cell r="K1869">
            <v>17.82</v>
          </cell>
          <cell r="M1869">
            <v>38544</v>
          </cell>
          <cell r="N1869">
            <v>4.75</v>
          </cell>
          <cell r="P1869">
            <v>38583</v>
          </cell>
          <cell r="Q1869">
            <v>24.426670000000001</v>
          </cell>
        </row>
        <row r="1870">
          <cell r="D1870">
            <v>38582</v>
          </cell>
          <cell r="E1870">
            <v>7.36</v>
          </cell>
          <cell r="G1870">
            <v>38582</v>
          </cell>
          <cell r="H1870">
            <v>11.58</v>
          </cell>
          <cell r="J1870">
            <v>38580</v>
          </cell>
          <cell r="K1870">
            <v>17.63</v>
          </cell>
          <cell r="M1870">
            <v>38541</v>
          </cell>
          <cell r="N1870">
            <v>4.6500000000000004</v>
          </cell>
          <cell r="P1870">
            <v>38582</v>
          </cell>
          <cell r="Q1870">
            <v>23.35</v>
          </cell>
        </row>
        <row r="1871">
          <cell r="D1871">
            <v>38581</v>
          </cell>
          <cell r="E1871">
            <v>7.35</v>
          </cell>
          <cell r="G1871">
            <v>38581</v>
          </cell>
          <cell r="H1871">
            <v>11.51</v>
          </cell>
          <cell r="J1871">
            <v>38579</v>
          </cell>
          <cell r="K1871">
            <v>17.36</v>
          </cell>
          <cell r="M1871">
            <v>38540</v>
          </cell>
          <cell r="N1871">
            <v>4.6500000000000004</v>
          </cell>
          <cell r="P1871">
            <v>38581</v>
          </cell>
          <cell r="Q1871">
            <v>23.343330000000002</v>
          </cell>
        </row>
        <row r="1872">
          <cell r="D1872">
            <v>38580</v>
          </cell>
          <cell r="E1872">
            <v>7.35</v>
          </cell>
          <cell r="G1872">
            <v>38580</v>
          </cell>
          <cell r="H1872">
            <v>11</v>
          </cell>
          <cell r="J1872">
            <v>38576</v>
          </cell>
          <cell r="K1872">
            <v>17.100000000000001</v>
          </cell>
          <cell r="M1872">
            <v>38539</v>
          </cell>
          <cell r="N1872">
            <v>4.67</v>
          </cell>
          <cell r="P1872">
            <v>38580</v>
          </cell>
          <cell r="Q1872">
            <v>23.003329999999998</v>
          </cell>
        </row>
        <row r="1873">
          <cell r="D1873">
            <v>38579</v>
          </cell>
          <cell r="E1873">
            <v>7.32</v>
          </cell>
          <cell r="G1873">
            <v>38579</v>
          </cell>
          <cell r="H1873">
            <v>10.89</v>
          </cell>
          <cell r="J1873">
            <v>38575</v>
          </cell>
          <cell r="K1873">
            <v>17.03</v>
          </cell>
          <cell r="M1873">
            <v>38538</v>
          </cell>
          <cell r="N1873">
            <v>4.6100000000000003</v>
          </cell>
          <cell r="P1873">
            <v>38579</v>
          </cell>
          <cell r="Q1873">
            <v>23.25</v>
          </cell>
        </row>
        <row r="1874">
          <cell r="D1874">
            <v>38576</v>
          </cell>
          <cell r="E1874">
            <v>7.23</v>
          </cell>
          <cell r="G1874">
            <v>38576</v>
          </cell>
          <cell r="H1874">
            <v>10.81</v>
          </cell>
          <cell r="J1874">
            <v>38574</v>
          </cell>
          <cell r="K1874">
            <v>16.98</v>
          </cell>
          <cell r="M1874">
            <v>38534</v>
          </cell>
          <cell r="N1874">
            <v>5.05</v>
          </cell>
          <cell r="P1874">
            <v>38576</v>
          </cell>
          <cell r="Q1874">
            <v>23.003329999999998</v>
          </cell>
        </row>
        <row r="1875">
          <cell r="D1875">
            <v>38575</v>
          </cell>
          <cell r="E1875">
            <v>7.29</v>
          </cell>
          <cell r="G1875">
            <v>38575</v>
          </cell>
          <cell r="H1875">
            <v>10.74</v>
          </cell>
          <cell r="J1875">
            <v>38573</v>
          </cell>
          <cell r="K1875">
            <v>16.95</v>
          </cell>
          <cell r="M1875">
            <v>38533</v>
          </cell>
          <cell r="N1875">
            <v>5.0999999999999996</v>
          </cell>
          <cell r="P1875">
            <v>38575</v>
          </cell>
          <cell r="Q1875">
            <v>23.106999999999999</v>
          </cell>
        </row>
        <row r="1876">
          <cell r="D1876">
            <v>38574</v>
          </cell>
          <cell r="E1876">
            <v>7.27</v>
          </cell>
          <cell r="G1876">
            <v>38574</v>
          </cell>
          <cell r="H1876">
            <v>10.42</v>
          </cell>
          <cell r="J1876">
            <v>38572</v>
          </cell>
          <cell r="K1876">
            <v>17.09</v>
          </cell>
          <cell r="M1876">
            <v>38532</v>
          </cell>
          <cell r="N1876">
            <v>5.05</v>
          </cell>
          <cell r="P1876">
            <v>38574</v>
          </cell>
          <cell r="Q1876">
            <v>23.033329999999999</v>
          </cell>
        </row>
        <row r="1877">
          <cell r="D1877">
            <v>38573</v>
          </cell>
          <cell r="E1877">
            <v>7.37</v>
          </cell>
          <cell r="G1877">
            <v>38573</v>
          </cell>
          <cell r="H1877">
            <v>10.67</v>
          </cell>
          <cell r="J1877">
            <v>38569</v>
          </cell>
          <cell r="K1877">
            <v>17.3</v>
          </cell>
          <cell r="M1877">
            <v>38531</v>
          </cell>
          <cell r="N1877">
            <v>5.09</v>
          </cell>
          <cell r="P1877">
            <v>38573</v>
          </cell>
          <cell r="Q1877">
            <v>23.183330000000002</v>
          </cell>
        </row>
        <row r="1878">
          <cell r="D1878">
            <v>38572</v>
          </cell>
          <cell r="E1878">
            <v>7.3</v>
          </cell>
          <cell r="G1878">
            <v>38572</v>
          </cell>
          <cell r="H1878">
            <v>10.64</v>
          </cell>
          <cell r="J1878">
            <v>38568</v>
          </cell>
          <cell r="K1878">
            <v>17.38</v>
          </cell>
          <cell r="M1878">
            <v>38530</v>
          </cell>
          <cell r="N1878">
            <v>5.04</v>
          </cell>
          <cell r="P1878">
            <v>38572</v>
          </cell>
          <cell r="Q1878">
            <v>22.97</v>
          </cell>
        </row>
        <row r="1879">
          <cell r="D1879">
            <v>38569</v>
          </cell>
          <cell r="E1879">
            <v>7.48</v>
          </cell>
          <cell r="G1879">
            <v>38569</v>
          </cell>
          <cell r="H1879">
            <v>10.9</v>
          </cell>
          <cell r="J1879">
            <v>38567</v>
          </cell>
          <cell r="K1879">
            <v>17.059999999999999</v>
          </cell>
          <cell r="M1879">
            <v>38527</v>
          </cell>
          <cell r="N1879">
            <v>5.05</v>
          </cell>
          <cell r="P1879">
            <v>38569</v>
          </cell>
          <cell r="Q1879">
            <v>22.98667</v>
          </cell>
        </row>
        <row r="1880">
          <cell r="D1880">
            <v>38568</v>
          </cell>
          <cell r="E1880">
            <v>7.53</v>
          </cell>
          <cell r="G1880">
            <v>38568</v>
          </cell>
          <cell r="H1880">
            <v>11.06</v>
          </cell>
          <cell r="J1880">
            <v>38566</v>
          </cell>
          <cell r="K1880">
            <v>15.6</v>
          </cell>
          <cell r="M1880">
            <v>38526</v>
          </cell>
          <cell r="N1880">
            <v>4.99</v>
          </cell>
          <cell r="P1880">
            <v>38568</v>
          </cell>
          <cell r="Q1880">
            <v>23.216670000000001</v>
          </cell>
        </row>
        <row r="1881">
          <cell r="D1881">
            <v>38567</v>
          </cell>
          <cell r="E1881">
            <v>7.51</v>
          </cell>
          <cell r="G1881">
            <v>38567</v>
          </cell>
          <cell r="H1881">
            <v>11.42</v>
          </cell>
          <cell r="J1881">
            <v>38565</v>
          </cell>
          <cell r="K1881">
            <v>15.42</v>
          </cell>
          <cell r="M1881">
            <v>38525</v>
          </cell>
          <cell r="N1881">
            <v>5.14</v>
          </cell>
          <cell r="P1881">
            <v>38567</v>
          </cell>
          <cell r="Q1881">
            <v>23.636669999999999</v>
          </cell>
        </row>
        <row r="1882">
          <cell r="D1882">
            <v>38566</v>
          </cell>
          <cell r="E1882">
            <v>7.48</v>
          </cell>
          <cell r="G1882">
            <v>38566</v>
          </cell>
          <cell r="H1882">
            <v>11.86</v>
          </cell>
          <cell r="J1882">
            <v>38562</v>
          </cell>
          <cell r="K1882">
            <v>16</v>
          </cell>
          <cell r="M1882">
            <v>38524</v>
          </cell>
          <cell r="N1882">
            <v>5.13</v>
          </cell>
          <cell r="P1882">
            <v>38566</v>
          </cell>
          <cell r="Q1882">
            <v>23.996670000000002</v>
          </cell>
        </row>
        <row r="1883">
          <cell r="D1883">
            <v>38565</v>
          </cell>
          <cell r="E1883">
            <v>7.49</v>
          </cell>
          <cell r="G1883">
            <v>38565</v>
          </cell>
          <cell r="H1883">
            <v>11.98</v>
          </cell>
          <cell r="J1883">
            <v>38561</v>
          </cell>
          <cell r="K1883">
            <v>15.97</v>
          </cell>
          <cell r="M1883">
            <v>38523</v>
          </cell>
          <cell r="N1883">
            <v>5.13</v>
          </cell>
          <cell r="P1883">
            <v>38565</v>
          </cell>
          <cell r="Q1883">
            <v>23.433330000000002</v>
          </cell>
        </row>
        <row r="1884">
          <cell r="D1884">
            <v>38562</v>
          </cell>
          <cell r="E1884">
            <v>7.5</v>
          </cell>
          <cell r="G1884">
            <v>38562</v>
          </cell>
          <cell r="H1884">
            <v>12.03</v>
          </cell>
          <cell r="J1884">
            <v>38560</v>
          </cell>
          <cell r="K1884">
            <v>16.3</v>
          </cell>
          <cell r="M1884">
            <v>38520</v>
          </cell>
          <cell r="N1884">
            <v>5.15</v>
          </cell>
          <cell r="P1884">
            <v>38562</v>
          </cell>
          <cell r="Q1884">
            <v>23.553329999999999</v>
          </cell>
        </row>
        <row r="1885">
          <cell r="D1885">
            <v>38561</v>
          </cell>
          <cell r="E1885">
            <v>7.54</v>
          </cell>
          <cell r="G1885">
            <v>38561</v>
          </cell>
          <cell r="H1885">
            <v>12.24</v>
          </cell>
          <cell r="J1885">
            <v>38559</v>
          </cell>
          <cell r="K1885">
            <v>16.75</v>
          </cell>
          <cell r="M1885">
            <v>38519</v>
          </cell>
          <cell r="N1885">
            <v>5.03</v>
          </cell>
          <cell r="P1885">
            <v>38561</v>
          </cell>
          <cell r="Q1885">
            <v>23.83</v>
          </cell>
        </row>
        <row r="1886">
          <cell r="D1886">
            <v>38560</v>
          </cell>
          <cell r="E1886">
            <v>7.88</v>
          </cell>
          <cell r="G1886">
            <v>38560</v>
          </cell>
          <cell r="H1886">
            <v>12.22</v>
          </cell>
          <cell r="J1886">
            <v>38558</v>
          </cell>
          <cell r="K1886">
            <v>16.760000000000002</v>
          </cell>
          <cell r="M1886">
            <v>38518</v>
          </cell>
          <cell r="N1886">
            <v>5.03</v>
          </cell>
          <cell r="P1886">
            <v>38560</v>
          </cell>
          <cell r="Q1886">
            <v>23.336670000000002</v>
          </cell>
        </row>
        <row r="1887">
          <cell r="D1887">
            <v>38559</v>
          </cell>
          <cell r="E1887">
            <v>7.95</v>
          </cell>
          <cell r="G1887">
            <v>38559</v>
          </cell>
          <cell r="H1887">
            <v>13.34</v>
          </cell>
          <cell r="J1887">
            <v>38555</v>
          </cell>
          <cell r="K1887">
            <v>16.829999999999998</v>
          </cell>
          <cell r="M1887">
            <v>38517</v>
          </cell>
          <cell r="N1887">
            <v>5.03</v>
          </cell>
          <cell r="P1887">
            <v>38559</v>
          </cell>
          <cell r="Q1887">
            <v>23.376670000000001</v>
          </cell>
        </row>
        <row r="1888">
          <cell r="D1888">
            <v>38558</v>
          </cell>
          <cell r="E1888">
            <v>8.1199999999999992</v>
          </cell>
          <cell r="G1888">
            <v>38558</v>
          </cell>
          <cell r="H1888">
            <v>13.62</v>
          </cell>
          <cell r="J1888">
            <v>38554</v>
          </cell>
          <cell r="K1888">
            <v>16.71</v>
          </cell>
          <cell r="M1888">
            <v>38516</v>
          </cell>
          <cell r="N1888">
            <v>5.05</v>
          </cell>
          <cell r="P1888">
            <v>38558</v>
          </cell>
          <cell r="Q1888">
            <v>22.66667</v>
          </cell>
        </row>
        <row r="1889">
          <cell r="D1889">
            <v>38555</v>
          </cell>
          <cell r="E1889">
            <v>7.93</v>
          </cell>
          <cell r="G1889">
            <v>38555</v>
          </cell>
          <cell r="H1889">
            <v>13.87</v>
          </cell>
          <cell r="J1889">
            <v>38553</v>
          </cell>
          <cell r="K1889">
            <v>16.96</v>
          </cell>
          <cell r="M1889">
            <v>38513</v>
          </cell>
          <cell r="N1889">
            <v>4.82</v>
          </cell>
          <cell r="P1889">
            <v>38555</v>
          </cell>
          <cell r="Q1889">
            <v>23.793330000000001</v>
          </cell>
        </row>
        <row r="1890">
          <cell r="D1890">
            <v>38554</v>
          </cell>
          <cell r="E1890">
            <v>7.97</v>
          </cell>
          <cell r="G1890">
            <v>38554</v>
          </cell>
          <cell r="H1890">
            <v>13.88</v>
          </cell>
          <cell r="J1890">
            <v>38552</v>
          </cell>
          <cell r="K1890">
            <v>17</v>
          </cell>
          <cell r="M1890">
            <v>38512</v>
          </cell>
          <cell r="N1890">
            <v>4.84</v>
          </cell>
          <cell r="P1890">
            <v>38554</v>
          </cell>
          <cell r="Q1890">
            <v>23.553329999999999</v>
          </cell>
        </row>
        <row r="1891">
          <cell r="D1891">
            <v>38553</v>
          </cell>
          <cell r="E1891">
            <v>7.12</v>
          </cell>
          <cell r="G1891">
            <v>38553</v>
          </cell>
          <cell r="H1891">
            <v>13.67</v>
          </cell>
          <cell r="J1891">
            <v>38551</v>
          </cell>
          <cell r="K1891">
            <v>16.829999999999998</v>
          </cell>
          <cell r="M1891">
            <v>38511</v>
          </cell>
          <cell r="N1891">
            <v>4.9000000000000004</v>
          </cell>
          <cell r="P1891">
            <v>38553</v>
          </cell>
          <cell r="Q1891">
            <v>24.296669999999999</v>
          </cell>
        </row>
        <row r="1892">
          <cell r="D1892">
            <v>38552</v>
          </cell>
          <cell r="E1892">
            <v>7.35</v>
          </cell>
          <cell r="G1892">
            <v>38552</v>
          </cell>
          <cell r="H1892">
            <v>13.58</v>
          </cell>
          <cell r="J1892">
            <v>38548</v>
          </cell>
          <cell r="K1892">
            <v>16.55</v>
          </cell>
          <cell r="M1892">
            <v>38510</v>
          </cell>
          <cell r="N1892">
            <v>4.9400000000000004</v>
          </cell>
          <cell r="P1892">
            <v>38552</v>
          </cell>
          <cell r="Q1892">
            <v>23.87</v>
          </cell>
        </row>
        <row r="1893">
          <cell r="D1893">
            <v>38551</v>
          </cell>
          <cell r="E1893">
            <v>7.3</v>
          </cell>
          <cell r="G1893">
            <v>38551</v>
          </cell>
          <cell r="H1893">
            <v>13.51</v>
          </cell>
          <cell r="J1893">
            <v>38547</v>
          </cell>
          <cell r="K1893">
            <v>16.350000000000001</v>
          </cell>
          <cell r="M1893">
            <v>38509</v>
          </cell>
          <cell r="N1893">
            <v>5</v>
          </cell>
          <cell r="P1893">
            <v>38551</v>
          </cell>
          <cell r="Q1893">
            <v>23.64667</v>
          </cell>
        </row>
        <row r="1894">
          <cell r="D1894">
            <v>38548</v>
          </cell>
          <cell r="E1894">
            <v>7.59</v>
          </cell>
          <cell r="G1894">
            <v>38548</v>
          </cell>
          <cell r="H1894">
            <v>13.55</v>
          </cell>
          <cell r="J1894">
            <v>38546</v>
          </cell>
          <cell r="K1894">
            <v>17.04</v>
          </cell>
          <cell r="M1894">
            <v>38506</v>
          </cell>
          <cell r="N1894">
            <v>4.67</v>
          </cell>
          <cell r="P1894">
            <v>38548</v>
          </cell>
          <cell r="Q1894">
            <v>24.09</v>
          </cell>
        </row>
        <row r="1895">
          <cell r="D1895">
            <v>38547</v>
          </cell>
          <cell r="E1895">
            <v>7.57</v>
          </cell>
          <cell r="G1895">
            <v>38547</v>
          </cell>
          <cell r="H1895">
            <v>13.34</v>
          </cell>
          <cell r="J1895">
            <v>38545</v>
          </cell>
          <cell r="K1895">
            <v>17.190000000000001</v>
          </cell>
          <cell r="M1895">
            <v>38505</v>
          </cell>
          <cell r="N1895">
            <v>4.601</v>
          </cell>
          <cell r="P1895">
            <v>38547</v>
          </cell>
          <cell r="Q1895">
            <v>24.233329999999999</v>
          </cell>
        </row>
        <row r="1896">
          <cell r="D1896">
            <v>38546</v>
          </cell>
          <cell r="E1896">
            <v>7.31</v>
          </cell>
          <cell r="G1896">
            <v>38546</v>
          </cell>
          <cell r="H1896">
            <v>13.27</v>
          </cell>
          <cell r="J1896">
            <v>38544</v>
          </cell>
          <cell r="K1896">
            <v>17.21</v>
          </cell>
          <cell r="M1896">
            <v>38504</v>
          </cell>
          <cell r="N1896">
            <v>4.7</v>
          </cell>
          <cell r="P1896">
            <v>38546</v>
          </cell>
          <cell r="Q1896">
            <v>23.366669999999999</v>
          </cell>
        </row>
        <row r="1897">
          <cell r="D1897">
            <v>38545</v>
          </cell>
          <cell r="E1897">
            <v>7.66</v>
          </cell>
          <cell r="G1897">
            <v>38545</v>
          </cell>
          <cell r="H1897">
            <v>13.04</v>
          </cell>
          <cell r="J1897">
            <v>38541</v>
          </cell>
          <cell r="K1897">
            <v>17.28</v>
          </cell>
          <cell r="M1897">
            <v>38503</v>
          </cell>
          <cell r="N1897">
            <v>4.8099999999999996</v>
          </cell>
          <cell r="P1897">
            <v>38545</v>
          </cell>
          <cell r="Q1897">
            <v>23.89667</v>
          </cell>
        </row>
        <row r="1898">
          <cell r="D1898">
            <v>38544</v>
          </cell>
          <cell r="E1898">
            <v>7.62</v>
          </cell>
          <cell r="G1898">
            <v>38544</v>
          </cell>
          <cell r="H1898">
            <v>13.17</v>
          </cell>
          <cell r="J1898">
            <v>38540</v>
          </cell>
          <cell r="K1898">
            <v>17.02</v>
          </cell>
          <cell r="M1898">
            <v>38499</v>
          </cell>
          <cell r="N1898">
            <v>4.5</v>
          </cell>
          <cell r="P1898">
            <v>38544</v>
          </cell>
          <cell r="Q1898">
            <v>23.856670000000001</v>
          </cell>
        </row>
        <row r="1899">
          <cell r="D1899">
            <v>38541</v>
          </cell>
          <cell r="E1899">
            <v>7.35</v>
          </cell>
          <cell r="G1899">
            <v>38541</v>
          </cell>
          <cell r="H1899">
            <v>12.92</v>
          </cell>
          <cell r="J1899">
            <v>38539</v>
          </cell>
          <cell r="K1899">
            <v>16.3</v>
          </cell>
          <cell r="M1899">
            <v>38498</v>
          </cell>
          <cell r="N1899">
            <v>4.62</v>
          </cell>
          <cell r="P1899">
            <v>38541</v>
          </cell>
          <cell r="Q1899">
            <v>24.19</v>
          </cell>
        </row>
        <row r="1900">
          <cell r="D1900">
            <v>38540</v>
          </cell>
          <cell r="E1900">
            <v>7.24</v>
          </cell>
          <cell r="G1900">
            <v>38540</v>
          </cell>
          <cell r="H1900">
            <v>12.32</v>
          </cell>
          <cell r="J1900">
            <v>38538</v>
          </cell>
          <cell r="K1900">
            <v>16.3</v>
          </cell>
          <cell r="M1900">
            <v>38497</v>
          </cell>
          <cell r="N1900">
            <v>4.7</v>
          </cell>
          <cell r="P1900">
            <v>38540</v>
          </cell>
          <cell r="Q1900">
            <v>24.25</v>
          </cell>
        </row>
        <row r="1901">
          <cell r="D1901">
            <v>38539</v>
          </cell>
          <cell r="E1901">
            <v>7.28</v>
          </cell>
          <cell r="G1901">
            <v>38539</v>
          </cell>
          <cell r="H1901">
            <v>12.31</v>
          </cell>
          <cell r="J1901">
            <v>38534</v>
          </cell>
          <cell r="K1901">
            <v>15.55</v>
          </cell>
          <cell r="M1901">
            <v>38496</v>
          </cell>
          <cell r="N1901">
            <v>4.46</v>
          </cell>
          <cell r="P1901">
            <v>38539</v>
          </cell>
          <cell r="Q1901">
            <v>24.186669999999999</v>
          </cell>
        </row>
        <row r="1902">
          <cell r="D1902">
            <v>38538</v>
          </cell>
          <cell r="E1902">
            <v>7.36</v>
          </cell>
          <cell r="G1902">
            <v>38538</v>
          </cell>
          <cell r="H1902">
            <v>12.53</v>
          </cell>
          <cell r="J1902">
            <v>38533</v>
          </cell>
          <cell r="K1902">
            <v>15.81</v>
          </cell>
          <cell r="M1902">
            <v>38495</v>
          </cell>
          <cell r="N1902">
            <v>4.51</v>
          </cell>
          <cell r="P1902">
            <v>38538</v>
          </cell>
          <cell r="Q1902">
            <v>24.633330000000001</v>
          </cell>
        </row>
        <row r="1903">
          <cell r="D1903">
            <v>38534</v>
          </cell>
          <cell r="E1903">
            <v>7.38</v>
          </cell>
          <cell r="G1903">
            <v>38534</v>
          </cell>
          <cell r="H1903">
            <v>12.47</v>
          </cell>
          <cell r="J1903">
            <v>38532</v>
          </cell>
          <cell r="K1903">
            <v>15.56</v>
          </cell>
          <cell r="M1903">
            <v>38492</v>
          </cell>
          <cell r="N1903">
            <v>4.6500000000000004</v>
          </cell>
          <cell r="P1903">
            <v>38534</v>
          </cell>
          <cell r="Q1903">
            <v>24.43</v>
          </cell>
        </row>
        <row r="1904">
          <cell r="D1904">
            <v>38533</v>
          </cell>
          <cell r="E1904">
            <v>7.33</v>
          </cell>
          <cell r="G1904">
            <v>38533</v>
          </cell>
          <cell r="H1904">
            <v>12.47</v>
          </cell>
          <cell r="J1904">
            <v>38531</v>
          </cell>
          <cell r="K1904">
            <v>15.32</v>
          </cell>
          <cell r="M1904">
            <v>38491</v>
          </cell>
          <cell r="N1904">
            <v>4.51</v>
          </cell>
          <cell r="P1904">
            <v>38533</v>
          </cell>
          <cell r="Q1904">
            <v>24.59667</v>
          </cell>
        </row>
        <row r="1905">
          <cell r="D1905">
            <v>38532</v>
          </cell>
          <cell r="E1905">
            <v>7.45</v>
          </cell>
          <cell r="G1905">
            <v>38532</v>
          </cell>
          <cell r="H1905">
            <v>12.62</v>
          </cell>
          <cell r="J1905">
            <v>38530</v>
          </cell>
          <cell r="K1905">
            <v>15.33</v>
          </cell>
          <cell r="M1905">
            <v>38490</v>
          </cell>
          <cell r="N1905">
            <v>4.5</v>
          </cell>
          <cell r="P1905">
            <v>38532</v>
          </cell>
          <cell r="Q1905">
            <v>25.303329999999999</v>
          </cell>
        </row>
        <row r="1906">
          <cell r="D1906">
            <v>38531</v>
          </cell>
          <cell r="E1906">
            <v>7.61</v>
          </cell>
          <cell r="G1906">
            <v>38531</v>
          </cell>
          <cell r="H1906">
            <v>12.44</v>
          </cell>
          <cell r="J1906">
            <v>38527</v>
          </cell>
          <cell r="K1906">
            <v>15.51</v>
          </cell>
          <cell r="M1906">
            <v>38489</v>
          </cell>
          <cell r="N1906">
            <v>4.74</v>
          </cell>
          <cell r="P1906">
            <v>38531</v>
          </cell>
          <cell r="Q1906">
            <v>25.533329999999999</v>
          </cell>
        </row>
        <row r="1907">
          <cell r="D1907">
            <v>38530</v>
          </cell>
          <cell r="E1907">
            <v>7.44</v>
          </cell>
          <cell r="G1907">
            <v>38530</v>
          </cell>
          <cell r="H1907">
            <v>12.04</v>
          </cell>
          <cell r="J1907">
            <v>38526</v>
          </cell>
          <cell r="K1907">
            <v>15.66</v>
          </cell>
          <cell r="M1907">
            <v>38488</v>
          </cell>
          <cell r="N1907">
            <v>4.3499999999999996</v>
          </cell>
          <cell r="P1907">
            <v>38530</v>
          </cell>
          <cell r="Q1907">
            <v>25.15333</v>
          </cell>
        </row>
        <row r="1908">
          <cell r="D1908">
            <v>38527</v>
          </cell>
          <cell r="E1908">
            <v>7.76</v>
          </cell>
          <cell r="G1908">
            <v>38527</v>
          </cell>
          <cell r="H1908">
            <v>11.63</v>
          </cell>
          <cell r="J1908">
            <v>38525</v>
          </cell>
          <cell r="K1908">
            <v>15.64</v>
          </cell>
          <cell r="M1908">
            <v>38485</v>
          </cell>
          <cell r="N1908">
            <v>4.28</v>
          </cell>
          <cell r="P1908">
            <v>38527</v>
          </cell>
          <cell r="Q1908">
            <v>25.703330000000001</v>
          </cell>
        </row>
        <row r="1909">
          <cell r="D1909">
            <v>38526</v>
          </cell>
          <cell r="E1909">
            <v>8.23</v>
          </cell>
          <cell r="G1909">
            <v>38526</v>
          </cell>
          <cell r="H1909">
            <v>11.68</v>
          </cell>
          <cell r="J1909">
            <v>38524</v>
          </cell>
          <cell r="K1909">
            <v>15.33</v>
          </cell>
          <cell r="M1909">
            <v>38484</v>
          </cell>
          <cell r="N1909">
            <v>4.25</v>
          </cell>
          <cell r="P1909">
            <v>38526</v>
          </cell>
          <cell r="Q1909">
            <v>25.866669999999999</v>
          </cell>
        </row>
        <row r="1910">
          <cell r="D1910">
            <v>38525</v>
          </cell>
          <cell r="E1910">
            <v>8.3000000000000007</v>
          </cell>
          <cell r="G1910">
            <v>38525</v>
          </cell>
          <cell r="H1910">
            <v>12.02</v>
          </cell>
          <cell r="J1910">
            <v>38523</v>
          </cell>
          <cell r="K1910">
            <v>15.64</v>
          </cell>
          <cell r="M1910">
            <v>38483</v>
          </cell>
          <cell r="N1910">
            <v>4.33</v>
          </cell>
          <cell r="P1910">
            <v>38525</v>
          </cell>
          <cell r="Q1910">
            <v>26.116669999999999</v>
          </cell>
        </row>
        <row r="1911">
          <cell r="D1911">
            <v>38524</v>
          </cell>
          <cell r="E1911">
            <v>8.4</v>
          </cell>
          <cell r="G1911">
            <v>38524</v>
          </cell>
          <cell r="H1911">
            <v>11.8</v>
          </cell>
          <cell r="J1911">
            <v>38520</v>
          </cell>
          <cell r="K1911">
            <v>15.91</v>
          </cell>
          <cell r="M1911">
            <v>38482</v>
          </cell>
          <cell r="N1911">
            <v>4.43</v>
          </cell>
          <cell r="P1911">
            <v>38524</v>
          </cell>
          <cell r="Q1911">
            <v>24.69333</v>
          </cell>
        </row>
        <row r="1912">
          <cell r="D1912">
            <v>38523</v>
          </cell>
          <cell r="E1912">
            <v>8.23</v>
          </cell>
          <cell r="G1912">
            <v>38523</v>
          </cell>
          <cell r="H1912">
            <v>12.25</v>
          </cell>
          <cell r="J1912">
            <v>38519</v>
          </cell>
          <cell r="K1912">
            <v>15.746</v>
          </cell>
          <cell r="M1912">
            <v>38481</v>
          </cell>
          <cell r="N1912">
            <v>4.46</v>
          </cell>
          <cell r="P1912">
            <v>38523</v>
          </cell>
          <cell r="Q1912">
            <v>24.67333</v>
          </cell>
        </row>
        <row r="1913">
          <cell r="D1913">
            <v>38520</v>
          </cell>
          <cell r="E1913">
            <v>8.2200000000000006</v>
          </cell>
          <cell r="G1913">
            <v>38520</v>
          </cell>
          <cell r="H1913">
            <v>12.55</v>
          </cell>
          <cell r="J1913">
            <v>38518</v>
          </cell>
          <cell r="K1913">
            <v>15.69</v>
          </cell>
          <cell r="M1913">
            <v>38478</v>
          </cell>
          <cell r="N1913">
            <v>4.3600000000000003</v>
          </cell>
          <cell r="P1913">
            <v>38520</v>
          </cell>
          <cell r="Q1913">
            <v>24.67333</v>
          </cell>
        </row>
        <row r="1914">
          <cell r="D1914">
            <v>38519</v>
          </cell>
          <cell r="E1914">
            <v>8.56</v>
          </cell>
          <cell r="G1914">
            <v>38519</v>
          </cell>
          <cell r="H1914">
            <v>13.34</v>
          </cell>
          <cell r="J1914">
            <v>38517</v>
          </cell>
          <cell r="K1914">
            <v>15.45</v>
          </cell>
          <cell r="M1914">
            <v>38477</v>
          </cell>
          <cell r="N1914">
            <v>4.4000000000000004</v>
          </cell>
          <cell r="P1914">
            <v>38519</v>
          </cell>
          <cell r="Q1914">
            <v>24.593330000000002</v>
          </cell>
        </row>
        <row r="1915">
          <cell r="D1915">
            <v>38518</v>
          </cell>
          <cell r="E1915">
            <v>8.68</v>
          </cell>
          <cell r="G1915">
            <v>38518</v>
          </cell>
          <cell r="H1915">
            <v>13.71</v>
          </cell>
          <cell r="J1915">
            <v>38516</v>
          </cell>
          <cell r="K1915">
            <v>15.26</v>
          </cell>
          <cell r="M1915">
            <v>38476</v>
          </cell>
          <cell r="N1915">
            <v>4.3959999999999999</v>
          </cell>
          <cell r="P1915">
            <v>38518</v>
          </cell>
          <cell r="Q1915">
            <v>24.003329999999998</v>
          </cell>
        </row>
        <row r="1916">
          <cell r="D1916">
            <v>38517</v>
          </cell>
          <cell r="E1916">
            <v>8.81</v>
          </cell>
          <cell r="G1916">
            <v>38517</v>
          </cell>
          <cell r="H1916">
            <v>13.65</v>
          </cell>
          <cell r="J1916">
            <v>38513</v>
          </cell>
          <cell r="K1916">
            <v>15.36</v>
          </cell>
          <cell r="M1916">
            <v>38475</v>
          </cell>
          <cell r="N1916">
            <v>4.25</v>
          </cell>
          <cell r="P1916">
            <v>38517</v>
          </cell>
          <cell r="Q1916">
            <v>24.15</v>
          </cell>
        </row>
        <row r="1917">
          <cell r="D1917">
            <v>38516</v>
          </cell>
          <cell r="E1917">
            <v>8.9700000000000006</v>
          </cell>
          <cell r="G1917">
            <v>38516</v>
          </cell>
          <cell r="H1917">
            <v>13.88</v>
          </cell>
          <cell r="J1917">
            <v>38512</v>
          </cell>
          <cell r="K1917">
            <v>14.94</v>
          </cell>
          <cell r="M1917">
            <v>38474</v>
          </cell>
          <cell r="N1917">
            <v>4.3499999999999996</v>
          </cell>
          <cell r="P1917">
            <v>38516</v>
          </cell>
          <cell r="Q1917">
            <v>24.196670000000001</v>
          </cell>
        </row>
        <row r="1918">
          <cell r="D1918">
            <v>38513</v>
          </cell>
          <cell r="E1918">
            <v>8.66</v>
          </cell>
          <cell r="G1918">
            <v>38513</v>
          </cell>
          <cell r="H1918">
            <v>13.65</v>
          </cell>
          <cell r="J1918">
            <v>38511</v>
          </cell>
          <cell r="K1918">
            <v>14.78</v>
          </cell>
          <cell r="M1918">
            <v>38471</v>
          </cell>
          <cell r="N1918">
            <v>4.45</v>
          </cell>
          <cell r="P1918">
            <v>38513</v>
          </cell>
          <cell r="Q1918">
            <v>24.00667</v>
          </cell>
        </row>
        <row r="1919">
          <cell r="D1919">
            <v>38512</v>
          </cell>
          <cell r="E1919">
            <v>8.76</v>
          </cell>
          <cell r="G1919">
            <v>38512</v>
          </cell>
          <cell r="H1919">
            <v>14.21</v>
          </cell>
          <cell r="J1919">
            <v>38510</v>
          </cell>
          <cell r="K1919">
            <v>14.55</v>
          </cell>
          <cell r="M1919">
            <v>38470</v>
          </cell>
          <cell r="N1919">
            <v>4.3499999999999996</v>
          </cell>
          <cell r="P1919">
            <v>38512</v>
          </cell>
          <cell r="Q1919">
            <v>24.516670000000001</v>
          </cell>
        </row>
        <row r="1920">
          <cell r="D1920">
            <v>38511</v>
          </cell>
          <cell r="E1920">
            <v>9.4</v>
          </cell>
          <cell r="G1920">
            <v>38511</v>
          </cell>
          <cell r="H1920">
            <v>13.35</v>
          </cell>
          <cell r="J1920">
            <v>38509</v>
          </cell>
          <cell r="K1920">
            <v>14.5</v>
          </cell>
          <cell r="M1920">
            <v>38469</v>
          </cell>
          <cell r="N1920">
            <v>4.3499999999999996</v>
          </cell>
          <cell r="P1920">
            <v>38511</v>
          </cell>
          <cell r="Q1920">
            <v>25.813330000000001</v>
          </cell>
        </row>
        <row r="1921">
          <cell r="D1921">
            <v>38510</v>
          </cell>
          <cell r="E1921">
            <v>8.02</v>
          </cell>
          <cell r="G1921">
            <v>38510</v>
          </cell>
          <cell r="H1921">
            <v>13.68</v>
          </cell>
          <cell r="J1921">
            <v>38506</v>
          </cell>
          <cell r="K1921">
            <v>15.04</v>
          </cell>
          <cell r="M1921">
            <v>38468</v>
          </cell>
          <cell r="N1921">
            <v>4.25</v>
          </cell>
          <cell r="P1921">
            <v>38510</v>
          </cell>
          <cell r="Q1921">
            <v>25.786670000000001</v>
          </cell>
        </row>
        <row r="1922">
          <cell r="D1922">
            <v>38509</v>
          </cell>
          <cell r="E1922">
            <v>8.1</v>
          </cell>
          <cell r="G1922">
            <v>38509</v>
          </cell>
          <cell r="H1922">
            <v>13.85</v>
          </cell>
          <cell r="J1922">
            <v>38505</v>
          </cell>
          <cell r="K1922">
            <v>14.85</v>
          </cell>
          <cell r="M1922">
            <v>38467</v>
          </cell>
          <cell r="N1922">
            <v>4.2699999999999996</v>
          </cell>
          <cell r="P1922">
            <v>38509</v>
          </cell>
          <cell r="Q1922">
            <v>26.41667</v>
          </cell>
        </row>
        <row r="1923">
          <cell r="D1923">
            <v>38506</v>
          </cell>
          <cell r="E1923">
            <v>8.34</v>
          </cell>
          <cell r="G1923">
            <v>38506</v>
          </cell>
          <cell r="H1923">
            <v>13.95</v>
          </cell>
          <cell r="J1923">
            <v>38504</v>
          </cell>
          <cell r="K1923">
            <v>14.71</v>
          </cell>
          <cell r="M1923">
            <v>38464</v>
          </cell>
          <cell r="N1923">
            <v>4.2</v>
          </cell>
          <cell r="P1923">
            <v>38506</v>
          </cell>
          <cell r="Q1923">
            <v>26.76</v>
          </cell>
        </row>
        <row r="1924">
          <cell r="D1924">
            <v>38505</v>
          </cell>
          <cell r="E1924">
            <v>8.68</v>
          </cell>
          <cell r="G1924">
            <v>38505</v>
          </cell>
          <cell r="H1924">
            <v>13.83</v>
          </cell>
          <cell r="J1924">
            <v>38503</v>
          </cell>
          <cell r="K1924">
            <v>14.86</v>
          </cell>
          <cell r="M1924">
            <v>38463</v>
          </cell>
          <cell r="N1924">
            <v>4.4000000000000004</v>
          </cell>
          <cell r="P1924">
            <v>38505</v>
          </cell>
          <cell r="Q1924">
            <v>27.71</v>
          </cell>
        </row>
        <row r="1925">
          <cell r="D1925">
            <v>38504</v>
          </cell>
          <cell r="E1925">
            <v>8.6199999999999992</v>
          </cell>
          <cell r="G1925">
            <v>38504</v>
          </cell>
          <cell r="H1925">
            <v>13.04</v>
          </cell>
          <cell r="J1925">
            <v>38499</v>
          </cell>
          <cell r="K1925">
            <v>14.12</v>
          </cell>
          <cell r="M1925">
            <v>38462</v>
          </cell>
          <cell r="N1925">
            <v>4.3899999999999997</v>
          </cell>
          <cell r="P1925">
            <v>38504</v>
          </cell>
          <cell r="Q1925">
            <v>27.966670000000001</v>
          </cell>
        </row>
        <row r="1926">
          <cell r="D1926">
            <v>38503</v>
          </cell>
          <cell r="E1926">
            <v>8.9</v>
          </cell>
          <cell r="G1926">
            <v>38503</v>
          </cell>
          <cell r="H1926">
            <v>12.47</v>
          </cell>
          <cell r="J1926">
            <v>38498</v>
          </cell>
          <cell r="K1926">
            <v>13.78</v>
          </cell>
          <cell r="M1926">
            <v>38461</v>
          </cell>
          <cell r="N1926">
            <v>4.7</v>
          </cell>
          <cell r="P1926">
            <v>38503</v>
          </cell>
          <cell r="Q1926">
            <v>27.606670000000001</v>
          </cell>
        </row>
        <row r="1927">
          <cell r="D1927">
            <v>38499</v>
          </cell>
          <cell r="E1927">
            <v>8.99</v>
          </cell>
          <cell r="G1927">
            <v>38499</v>
          </cell>
          <cell r="H1927">
            <v>13.03</v>
          </cell>
          <cell r="J1927">
            <v>38497</v>
          </cell>
          <cell r="K1927">
            <v>13.71</v>
          </cell>
          <cell r="M1927">
            <v>38460</v>
          </cell>
          <cell r="N1927">
            <v>4.8</v>
          </cell>
          <cell r="P1927">
            <v>38499</v>
          </cell>
          <cell r="Q1927">
            <v>26.79</v>
          </cell>
        </row>
        <row r="1928">
          <cell r="D1928">
            <v>38498</v>
          </cell>
          <cell r="E1928">
            <v>8.73</v>
          </cell>
          <cell r="G1928">
            <v>38498</v>
          </cell>
          <cell r="H1928">
            <v>12.95</v>
          </cell>
          <cell r="J1928">
            <v>38496</v>
          </cell>
          <cell r="K1928">
            <v>13.68</v>
          </cell>
          <cell r="M1928">
            <v>38457</v>
          </cell>
          <cell r="N1928">
            <v>4.91</v>
          </cell>
          <cell r="P1928">
            <v>38498</v>
          </cell>
          <cell r="Q1928">
            <v>26.483329999999999</v>
          </cell>
        </row>
        <row r="1929">
          <cell r="D1929">
            <v>38497</v>
          </cell>
          <cell r="E1929">
            <v>8.98</v>
          </cell>
          <cell r="G1929">
            <v>38497</v>
          </cell>
          <cell r="H1929">
            <v>12.98</v>
          </cell>
          <cell r="J1929">
            <v>38495</v>
          </cell>
          <cell r="K1929">
            <v>13.5</v>
          </cell>
          <cell r="M1929">
            <v>38456</v>
          </cell>
          <cell r="N1929">
            <v>4.8600000000000003</v>
          </cell>
          <cell r="P1929">
            <v>38497</v>
          </cell>
          <cell r="Q1929">
            <v>26.36</v>
          </cell>
        </row>
        <row r="1930">
          <cell r="D1930">
            <v>38496</v>
          </cell>
          <cell r="E1930">
            <v>8.8000000000000007</v>
          </cell>
          <cell r="G1930">
            <v>38496</v>
          </cell>
          <cell r="H1930">
            <v>12.1</v>
          </cell>
          <cell r="J1930">
            <v>38492</v>
          </cell>
          <cell r="K1930">
            <v>13.23</v>
          </cell>
          <cell r="M1930">
            <v>38455</v>
          </cell>
          <cell r="N1930">
            <v>4.9000000000000004</v>
          </cell>
          <cell r="P1930">
            <v>38496</v>
          </cell>
          <cell r="Q1930">
            <v>27.158329999999999</v>
          </cell>
        </row>
        <row r="1931">
          <cell r="D1931">
            <v>38495</v>
          </cell>
          <cell r="E1931">
            <v>7.97</v>
          </cell>
          <cell r="G1931">
            <v>38495</v>
          </cell>
          <cell r="H1931">
            <v>10.99</v>
          </cell>
          <cell r="J1931">
            <v>38491</v>
          </cell>
          <cell r="K1931">
            <v>13.23</v>
          </cell>
          <cell r="M1931">
            <v>38454</v>
          </cell>
          <cell r="N1931">
            <v>4.97</v>
          </cell>
          <cell r="P1931">
            <v>38495</v>
          </cell>
          <cell r="Q1931">
            <v>26.29</v>
          </cell>
        </row>
        <row r="1932">
          <cell r="D1932">
            <v>38492</v>
          </cell>
          <cell r="E1932">
            <v>7.91</v>
          </cell>
          <cell r="G1932">
            <v>38492</v>
          </cell>
          <cell r="H1932">
            <v>11.33</v>
          </cell>
          <cell r="J1932">
            <v>38490</v>
          </cell>
          <cell r="K1932">
            <v>13.55</v>
          </cell>
          <cell r="M1932">
            <v>38453</v>
          </cell>
          <cell r="N1932">
            <v>4.87</v>
          </cell>
          <cell r="P1932">
            <v>38492</v>
          </cell>
          <cell r="Q1932">
            <v>25.66667</v>
          </cell>
        </row>
        <row r="1933">
          <cell r="D1933">
            <v>38491</v>
          </cell>
          <cell r="E1933">
            <v>8.0299999999999994</v>
          </cell>
          <cell r="G1933">
            <v>38491</v>
          </cell>
          <cell r="H1933">
            <v>11.08</v>
          </cell>
          <cell r="J1933">
            <v>38489</v>
          </cell>
          <cell r="K1933">
            <v>13.25</v>
          </cell>
          <cell r="M1933">
            <v>38450</v>
          </cell>
          <cell r="N1933">
            <v>5</v>
          </cell>
          <cell r="P1933">
            <v>38491</v>
          </cell>
          <cell r="Q1933">
            <v>25.796669999999999</v>
          </cell>
        </row>
        <row r="1934">
          <cell r="D1934">
            <v>38490</v>
          </cell>
          <cell r="E1934">
            <v>7.8</v>
          </cell>
          <cell r="G1934">
            <v>38490</v>
          </cell>
          <cell r="H1934">
            <v>9.81</v>
          </cell>
          <cell r="J1934">
            <v>38488</v>
          </cell>
          <cell r="K1934">
            <v>13.22</v>
          </cell>
          <cell r="M1934">
            <v>38449</v>
          </cell>
          <cell r="N1934">
            <v>5</v>
          </cell>
          <cell r="P1934">
            <v>38490</v>
          </cell>
          <cell r="Q1934">
            <v>25.163329999999998</v>
          </cell>
        </row>
        <row r="1935">
          <cell r="D1935">
            <v>38489</v>
          </cell>
          <cell r="E1935">
            <v>8.07</v>
          </cell>
          <cell r="G1935">
            <v>38489</v>
          </cell>
          <cell r="H1935">
            <v>9.7200000000000006</v>
          </cell>
          <cell r="J1935">
            <v>38485</v>
          </cell>
          <cell r="K1935">
            <v>13.07</v>
          </cell>
          <cell r="M1935">
            <v>38448</v>
          </cell>
          <cell r="N1935">
            <v>5.05</v>
          </cell>
          <cell r="P1935">
            <v>38489</v>
          </cell>
          <cell r="Q1935">
            <v>24.15</v>
          </cell>
        </row>
        <row r="1936">
          <cell r="D1936">
            <v>38488</v>
          </cell>
          <cell r="E1936">
            <v>8.0399999999999991</v>
          </cell>
          <cell r="G1936">
            <v>38488</v>
          </cell>
          <cell r="H1936">
            <v>9.58</v>
          </cell>
          <cell r="J1936">
            <v>38484</v>
          </cell>
          <cell r="K1936">
            <v>13.15</v>
          </cell>
          <cell r="M1936">
            <v>38447</v>
          </cell>
          <cell r="N1936">
            <v>5.01</v>
          </cell>
          <cell r="P1936">
            <v>38488</v>
          </cell>
          <cell r="Q1936">
            <v>23.303329999999999</v>
          </cell>
        </row>
        <row r="1937">
          <cell r="D1937">
            <v>38485</v>
          </cell>
          <cell r="E1937">
            <v>7.61</v>
          </cell>
          <cell r="G1937">
            <v>38485</v>
          </cell>
          <cell r="H1937">
            <v>9.36</v>
          </cell>
          <cell r="J1937">
            <v>38483</v>
          </cell>
          <cell r="K1937">
            <v>13.13</v>
          </cell>
          <cell r="M1937">
            <v>38446</v>
          </cell>
          <cell r="N1937">
            <v>5.01</v>
          </cell>
          <cell r="P1937">
            <v>38485</v>
          </cell>
          <cell r="Q1937">
            <v>23.526669999999999</v>
          </cell>
        </row>
        <row r="1938">
          <cell r="D1938">
            <v>38484</v>
          </cell>
          <cell r="E1938">
            <v>7.25</v>
          </cell>
          <cell r="G1938">
            <v>38484</v>
          </cell>
          <cell r="H1938">
            <v>9.08</v>
          </cell>
          <cell r="J1938">
            <v>38482</v>
          </cell>
          <cell r="K1938">
            <v>11.48</v>
          </cell>
          <cell r="M1938">
            <v>38443</v>
          </cell>
          <cell r="N1938">
            <v>5.01</v>
          </cell>
          <cell r="P1938">
            <v>38484</v>
          </cell>
          <cell r="Q1938">
            <v>23.016670000000001</v>
          </cell>
        </row>
        <row r="1939">
          <cell r="D1939">
            <v>38483</v>
          </cell>
          <cell r="E1939">
            <v>7.31</v>
          </cell>
          <cell r="G1939">
            <v>38483</v>
          </cell>
          <cell r="H1939">
            <v>9.11</v>
          </cell>
          <cell r="J1939">
            <v>38481</v>
          </cell>
          <cell r="K1939">
            <v>10.18</v>
          </cell>
          <cell r="M1939">
            <v>38442</v>
          </cell>
          <cell r="N1939">
            <v>4.95</v>
          </cell>
          <cell r="P1939">
            <v>38483</v>
          </cell>
          <cell r="Q1939">
            <v>23.713329999999999</v>
          </cell>
        </row>
        <row r="1940">
          <cell r="D1940">
            <v>38482</v>
          </cell>
          <cell r="E1940">
            <v>6.69</v>
          </cell>
          <cell r="G1940">
            <v>38482</v>
          </cell>
          <cell r="H1940">
            <v>9.07</v>
          </cell>
          <cell r="J1940">
            <v>38478</v>
          </cell>
          <cell r="K1940">
            <v>10.28</v>
          </cell>
          <cell r="M1940">
            <v>38441</v>
          </cell>
          <cell r="N1940">
            <v>4.95</v>
          </cell>
          <cell r="P1940">
            <v>38482</v>
          </cell>
          <cell r="Q1940">
            <v>23.573329999999999</v>
          </cell>
        </row>
        <row r="1941">
          <cell r="D1941">
            <v>38481</v>
          </cell>
          <cell r="E1941">
            <v>6.9</v>
          </cell>
          <cell r="G1941">
            <v>38481</v>
          </cell>
          <cell r="H1941">
            <v>8.74</v>
          </cell>
          <cell r="J1941">
            <v>38477</v>
          </cell>
          <cell r="K1941">
            <v>10.599</v>
          </cell>
          <cell r="M1941">
            <v>38440</v>
          </cell>
          <cell r="N1941">
            <v>5</v>
          </cell>
          <cell r="P1941">
            <v>38481</v>
          </cell>
          <cell r="Q1941">
            <v>23.34</v>
          </cell>
        </row>
        <row r="1942">
          <cell r="D1942">
            <v>38478</v>
          </cell>
          <cell r="E1942">
            <v>6.95</v>
          </cell>
          <cell r="G1942">
            <v>38478</v>
          </cell>
          <cell r="H1942">
            <v>8.7799999999999994</v>
          </cell>
          <cell r="J1942">
            <v>38476</v>
          </cell>
          <cell r="K1942">
            <v>10.589</v>
          </cell>
          <cell r="M1942">
            <v>38439</v>
          </cell>
          <cell r="N1942">
            <v>4.95</v>
          </cell>
          <cell r="P1942">
            <v>38478</v>
          </cell>
          <cell r="Q1942">
            <v>22.64667</v>
          </cell>
        </row>
        <row r="1943">
          <cell r="D1943">
            <v>38477</v>
          </cell>
          <cell r="E1943">
            <v>6.89</v>
          </cell>
          <cell r="G1943">
            <v>38477</v>
          </cell>
          <cell r="H1943">
            <v>8.76</v>
          </cell>
          <cell r="J1943">
            <v>38475</v>
          </cell>
          <cell r="K1943">
            <v>10.050000000000001</v>
          </cell>
          <cell r="M1943">
            <v>38435</v>
          </cell>
          <cell r="N1943">
            <v>4.95</v>
          </cell>
          <cell r="P1943">
            <v>38477</v>
          </cell>
          <cell r="Q1943">
            <v>22.713329999999999</v>
          </cell>
        </row>
        <row r="1944">
          <cell r="D1944">
            <v>38476</v>
          </cell>
          <cell r="E1944">
            <v>6.63</v>
          </cell>
          <cell r="G1944">
            <v>38476</v>
          </cell>
          <cell r="H1944">
            <v>8.8249999999999993</v>
          </cell>
          <cell r="J1944">
            <v>38474</v>
          </cell>
          <cell r="K1944">
            <v>10.039999999999999</v>
          </cell>
          <cell r="M1944">
            <v>38434</v>
          </cell>
          <cell r="N1944">
            <v>4.95</v>
          </cell>
          <cell r="P1944">
            <v>38476</v>
          </cell>
          <cell r="Q1944">
            <v>21.64667</v>
          </cell>
        </row>
        <row r="1945">
          <cell r="D1945">
            <v>38475</v>
          </cell>
          <cell r="E1945">
            <v>6.54</v>
          </cell>
          <cell r="G1945">
            <v>38475</v>
          </cell>
          <cell r="H1945">
            <v>8.6999999999999993</v>
          </cell>
          <cell r="J1945">
            <v>38471</v>
          </cell>
          <cell r="K1945">
            <v>10.49</v>
          </cell>
          <cell r="M1945">
            <v>38433</v>
          </cell>
          <cell r="N1945">
            <v>4.95</v>
          </cell>
          <cell r="P1945">
            <v>38475</v>
          </cell>
          <cell r="Q1945">
            <v>21.39</v>
          </cell>
        </row>
        <row r="1946">
          <cell r="D1946">
            <v>38474</v>
          </cell>
          <cell r="E1946">
            <v>6.51</v>
          </cell>
          <cell r="G1946">
            <v>38474</v>
          </cell>
          <cell r="H1946">
            <v>8.93</v>
          </cell>
          <cell r="J1946">
            <v>38470</v>
          </cell>
          <cell r="K1946">
            <v>10.71</v>
          </cell>
          <cell r="M1946">
            <v>38432</v>
          </cell>
          <cell r="N1946">
            <v>5</v>
          </cell>
          <cell r="P1946">
            <v>38474</v>
          </cell>
          <cell r="Q1946">
            <v>21.83</v>
          </cell>
        </row>
        <row r="1947">
          <cell r="D1947">
            <v>38471</v>
          </cell>
          <cell r="E1947">
            <v>6.63</v>
          </cell>
          <cell r="G1947">
            <v>38471</v>
          </cell>
          <cell r="H1947">
            <v>8.9600000000000009</v>
          </cell>
          <cell r="J1947">
            <v>38469</v>
          </cell>
          <cell r="K1947">
            <v>11</v>
          </cell>
          <cell r="M1947">
            <v>38429</v>
          </cell>
          <cell r="N1947">
            <v>5.04</v>
          </cell>
          <cell r="P1947">
            <v>38471</v>
          </cell>
          <cell r="Q1947">
            <v>21.47</v>
          </cell>
        </row>
        <row r="1948">
          <cell r="D1948">
            <v>38470</v>
          </cell>
          <cell r="E1948">
            <v>6.64</v>
          </cell>
          <cell r="G1948">
            <v>38470</v>
          </cell>
          <cell r="H1948">
            <v>9.2100000000000009</v>
          </cell>
          <cell r="J1948">
            <v>38468</v>
          </cell>
          <cell r="K1948">
            <v>11.29</v>
          </cell>
          <cell r="M1948">
            <v>38428</v>
          </cell>
          <cell r="N1948">
            <v>4.95</v>
          </cell>
          <cell r="P1948">
            <v>38470</v>
          </cell>
          <cell r="Q1948">
            <v>21.2</v>
          </cell>
        </row>
        <row r="1949">
          <cell r="D1949">
            <v>38469</v>
          </cell>
          <cell r="E1949">
            <v>6.98</v>
          </cell>
          <cell r="G1949">
            <v>38469</v>
          </cell>
          <cell r="H1949">
            <v>9.84</v>
          </cell>
          <cell r="J1949">
            <v>38467</v>
          </cell>
          <cell r="K1949">
            <v>11.07</v>
          </cell>
          <cell r="M1949">
            <v>38427</v>
          </cell>
          <cell r="N1949">
            <v>4.95</v>
          </cell>
          <cell r="P1949">
            <v>38469</v>
          </cell>
          <cell r="Q1949">
            <v>21.62</v>
          </cell>
        </row>
        <row r="1950">
          <cell r="D1950">
            <v>38468</v>
          </cell>
          <cell r="E1950">
            <v>7.14</v>
          </cell>
          <cell r="G1950">
            <v>38468</v>
          </cell>
          <cell r="H1950">
            <v>9.5</v>
          </cell>
          <cell r="J1950">
            <v>38464</v>
          </cell>
          <cell r="K1950">
            <v>10.99</v>
          </cell>
          <cell r="M1950">
            <v>38426</v>
          </cell>
          <cell r="N1950">
            <v>4.9509999999999996</v>
          </cell>
          <cell r="P1950">
            <v>38468</v>
          </cell>
          <cell r="Q1950">
            <v>21.84</v>
          </cell>
        </row>
        <row r="1951">
          <cell r="D1951">
            <v>38467</v>
          </cell>
          <cell r="E1951">
            <v>7.21</v>
          </cell>
          <cell r="G1951">
            <v>38467</v>
          </cell>
          <cell r="H1951">
            <v>9.36</v>
          </cell>
          <cell r="J1951">
            <v>38463</v>
          </cell>
          <cell r="K1951">
            <v>11.47</v>
          </cell>
          <cell r="M1951">
            <v>38425</v>
          </cell>
          <cell r="N1951">
            <v>5.01</v>
          </cell>
          <cell r="P1951">
            <v>38467</v>
          </cell>
          <cell r="Q1951">
            <v>23.01</v>
          </cell>
        </row>
        <row r="1952">
          <cell r="D1952">
            <v>38464</v>
          </cell>
          <cell r="E1952">
            <v>7.39</v>
          </cell>
          <cell r="G1952">
            <v>38464</v>
          </cell>
          <cell r="H1952">
            <v>9.02</v>
          </cell>
          <cell r="J1952">
            <v>38462</v>
          </cell>
          <cell r="K1952">
            <v>11.23</v>
          </cell>
          <cell r="M1952">
            <v>38422</v>
          </cell>
          <cell r="N1952">
            <v>4.95</v>
          </cell>
          <cell r="P1952">
            <v>38464</v>
          </cell>
          <cell r="Q1952">
            <v>21.84</v>
          </cell>
        </row>
        <row r="1953">
          <cell r="D1953">
            <v>38463</v>
          </cell>
          <cell r="E1953">
            <v>7.53</v>
          </cell>
          <cell r="G1953">
            <v>38463</v>
          </cell>
          <cell r="H1953">
            <v>9.27</v>
          </cell>
          <cell r="J1953">
            <v>38461</v>
          </cell>
          <cell r="K1953">
            <v>11.01</v>
          </cell>
          <cell r="M1953">
            <v>38421</v>
          </cell>
          <cell r="N1953">
            <v>4.95</v>
          </cell>
          <cell r="P1953">
            <v>38463</v>
          </cell>
          <cell r="Q1953">
            <v>22.36</v>
          </cell>
        </row>
        <row r="1954">
          <cell r="D1954">
            <v>38462</v>
          </cell>
          <cell r="E1954">
            <v>7.43</v>
          </cell>
          <cell r="G1954">
            <v>38462</v>
          </cell>
          <cell r="H1954">
            <v>8.86</v>
          </cell>
          <cell r="J1954">
            <v>38460</v>
          </cell>
          <cell r="K1954">
            <v>10.96</v>
          </cell>
          <cell r="M1954">
            <v>38420</v>
          </cell>
          <cell r="N1954">
            <v>4.9000000000000004</v>
          </cell>
          <cell r="P1954">
            <v>38462</v>
          </cell>
          <cell r="Q1954">
            <v>22.59</v>
          </cell>
        </row>
        <row r="1955">
          <cell r="D1955">
            <v>38461</v>
          </cell>
          <cell r="E1955">
            <v>7.9</v>
          </cell>
          <cell r="G1955">
            <v>38461</v>
          </cell>
          <cell r="H1955">
            <v>9.34</v>
          </cell>
          <cell r="J1955">
            <v>38457</v>
          </cell>
          <cell r="K1955">
            <v>11.08</v>
          </cell>
          <cell r="M1955">
            <v>38419</v>
          </cell>
          <cell r="N1955">
            <v>5</v>
          </cell>
          <cell r="P1955">
            <v>38461</v>
          </cell>
          <cell r="Q1955">
            <v>23.066669999999998</v>
          </cell>
        </row>
        <row r="1956">
          <cell r="D1956">
            <v>38460</v>
          </cell>
          <cell r="E1956">
            <v>7.11</v>
          </cell>
          <cell r="G1956">
            <v>38460</v>
          </cell>
          <cell r="H1956">
            <v>9.61</v>
          </cell>
          <cell r="J1956">
            <v>38456</v>
          </cell>
          <cell r="K1956">
            <v>11.47</v>
          </cell>
          <cell r="M1956">
            <v>38418</v>
          </cell>
          <cell r="N1956">
            <v>4.87</v>
          </cell>
          <cell r="P1956">
            <v>38460</v>
          </cell>
          <cell r="Q1956">
            <v>22.92333</v>
          </cell>
        </row>
        <row r="1957">
          <cell r="D1957">
            <v>38457</v>
          </cell>
          <cell r="E1957">
            <v>7.09</v>
          </cell>
          <cell r="G1957">
            <v>38457</v>
          </cell>
          <cell r="H1957">
            <v>9.9499999999999993</v>
          </cell>
          <cell r="J1957">
            <v>38455</v>
          </cell>
          <cell r="K1957">
            <v>11.49</v>
          </cell>
          <cell r="M1957">
            <v>38415</v>
          </cell>
          <cell r="N1957">
            <v>4.806</v>
          </cell>
          <cell r="P1957">
            <v>38457</v>
          </cell>
          <cell r="Q1957">
            <v>23.233329999999999</v>
          </cell>
        </row>
        <row r="1958">
          <cell r="D1958">
            <v>38456</v>
          </cell>
          <cell r="E1958">
            <v>7.06</v>
          </cell>
          <cell r="G1958">
            <v>38456</v>
          </cell>
          <cell r="H1958">
            <v>10.24</v>
          </cell>
          <cell r="J1958">
            <v>38454</v>
          </cell>
          <cell r="K1958">
            <v>11.209</v>
          </cell>
          <cell r="M1958">
            <v>38414</v>
          </cell>
          <cell r="N1958">
            <v>4.5709999999999997</v>
          </cell>
          <cell r="P1958">
            <v>38456</v>
          </cell>
          <cell r="Q1958">
            <v>23.776669999999999</v>
          </cell>
        </row>
        <row r="1959">
          <cell r="D1959">
            <v>38455</v>
          </cell>
          <cell r="E1959">
            <v>7.31</v>
          </cell>
          <cell r="G1959">
            <v>38455</v>
          </cell>
          <cell r="H1959">
            <v>10.48</v>
          </cell>
          <cell r="J1959">
            <v>38453</v>
          </cell>
          <cell r="K1959">
            <v>11.56</v>
          </cell>
          <cell r="M1959">
            <v>38413</v>
          </cell>
          <cell r="N1959">
            <v>4.59</v>
          </cell>
          <cell r="P1959">
            <v>38455</v>
          </cell>
          <cell r="Q1959">
            <v>24.85</v>
          </cell>
        </row>
        <row r="1960">
          <cell r="D1960">
            <v>38454</v>
          </cell>
          <cell r="E1960">
            <v>7.4</v>
          </cell>
          <cell r="G1960">
            <v>38454</v>
          </cell>
          <cell r="H1960">
            <v>10.42</v>
          </cell>
          <cell r="J1960">
            <v>38450</v>
          </cell>
          <cell r="K1960">
            <v>10.86</v>
          </cell>
          <cell r="M1960">
            <v>38412</v>
          </cell>
          <cell r="N1960">
            <v>4.4000000000000004</v>
          </cell>
          <cell r="P1960">
            <v>38454</v>
          </cell>
          <cell r="Q1960">
            <v>25.133330000000001</v>
          </cell>
        </row>
        <row r="1961">
          <cell r="D1961">
            <v>38453</v>
          </cell>
          <cell r="E1961">
            <v>7.36</v>
          </cell>
          <cell r="G1961">
            <v>38453</v>
          </cell>
          <cell r="H1961">
            <v>10.27</v>
          </cell>
          <cell r="J1961">
            <v>38449</v>
          </cell>
          <cell r="K1961">
            <v>11.01</v>
          </cell>
          <cell r="M1961">
            <v>38411</v>
          </cell>
          <cell r="N1961">
            <v>4.46</v>
          </cell>
          <cell r="P1961">
            <v>38453</v>
          </cell>
          <cell r="Q1961">
            <v>25.24</v>
          </cell>
        </row>
        <row r="1962">
          <cell r="D1962">
            <v>38450</v>
          </cell>
          <cell r="E1962">
            <v>7.58</v>
          </cell>
          <cell r="G1962">
            <v>38450</v>
          </cell>
          <cell r="H1962">
            <v>10.31</v>
          </cell>
          <cell r="J1962">
            <v>38448</v>
          </cell>
          <cell r="K1962">
            <v>11.32</v>
          </cell>
          <cell r="M1962">
            <v>38408</v>
          </cell>
          <cell r="N1962">
            <v>4.5</v>
          </cell>
          <cell r="P1962">
            <v>38450</v>
          </cell>
          <cell r="Q1962">
            <v>25.74</v>
          </cell>
        </row>
        <row r="1963">
          <cell r="D1963">
            <v>38449</v>
          </cell>
          <cell r="E1963">
            <v>7.66</v>
          </cell>
          <cell r="G1963">
            <v>38449</v>
          </cell>
          <cell r="H1963">
            <v>10.67</v>
          </cell>
          <cell r="J1963">
            <v>38447</v>
          </cell>
          <cell r="K1963">
            <v>11.3</v>
          </cell>
          <cell r="M1963">
            <v>38407</v>
          </cell>
          <cell r="N1963">
            <v>4.51</v>
          </cell>
          <cell r="P1963">
            <v>38449</v>
          </cell>
          <cell r="Q1963">
            <v>25.02</v>
          </cell>
        </row>
        <row r="1964">
          <cell r="D1964">
            <v>38448</v>
          </cell>
          <cell r="E1964">
            <v>7.87</v>
          </cell>
          <cell r="G1964">
            <v>38448</v>
          </cell>
          <cell r="H1964">
            <v>10.46</v>
          </cell>
          <cell r="J1964">
            <v>38446</v>
          </cell>
          <cell r="K1964">
            <v>11.37</v>
          </cell>
          <cell r="M1964">
            <v>38406</v>
          </cell>
          <cell r="N1964">
            <v>4.66</v>
          </cell>
          <cell r="P1964">
            <v>38448</v>
          </cell>
          <cell r="Q1964">
            <v>24.30667</v>
          </cell>
        </row>
        <row r="1965">
          <cell r="D1965">
            <v>38447</v>
          </cell>
          <cell r="E1965">
            <v>7.84</v>
          </cell>
          <cell r="G1965">
            <v>38447</v>
          </cell>
          <cell r="H1965">
            <v>10.62</v>
          </cell>
          <cell r="J1965">
            <v>38443</v>
          </cell>
          <cell r="K1965">
            <v>11.06</v>
          </cell>
          <cell r="M1965">
            <v>38405</v>
          </cell>
          <cell r="N1965">
            <v>4.5999999999999996</v>
          </cell>
          <cell r="P1965">
            <v>38447</v>
          </cell>
          <cell r="Q1965">
            <v>24.8</v>
          </cell>
        </row>
        <row r="1966">
          <cell r="D1966">
            <v>38446</v>
          </cell>
          <cell r="E1966">
            <v>8.08</v>
          </cell>
          <cell r="G1966">
            <v>38446</v>
          </cell>
          <cell r="H1966">
            <v>10.47</v>
          </cell>
          <cell r="J1966">
            <v>38442</v>
          </cell>
          <cell r="K1966">
            <v>11.08</v>
          </cell>
          <cell r="M1966">
            <v>38401</v>
          </cell>
          <cell r="N1966">
            <v>4.5999999999999996</v>
          </cell>
          <cell r="P1966">
            <v>38446</v>
          </cell>
          <cell r="Q1966">
            <v>25.05</v>
          </cell>
        </row>
        <row r="1967">
          <cell r="D1967">
            <v>38443</v>
          </cell>
          <cell r="E1967">
            <v>8.15</v>
          </cell>
          <cell r="G1967">
            <v>38443</v>
          </cell>
          <cell r="H1967">
            <v>10.55</v>
          </cell>
          <cell r="J1967">
            <v>38441</v>
          </cell>
          <cell r="K1967">
            <v>10.51</v>
          </cell>
          <cell r="M1967">
            <v>38400</v>
          </cell>
          <cell r="N1967">
            <v>4.5999999999999996</v>
          </cell>
          <cell r="P1967">
            <v>38443</v>
          </cell>
          <cell r="Q1967">
            <v>25.036670000000001</v>
          </cell>
        </row>
        <row r="1968">
          <cell r="D1968">
            <v>38442</v>
          </cell>
          <cell r="E1968">
            <v>8.1999999999999993</v>
          </cell>
          <cell r="G1968">
            <v>38442</v>
          </cell>
          <cell r="H1968">
            <v>10.75</v>
          </cell>
          <cell r="J1968">
            <v>38440</v>
          </cell>
          <cell r="K1968">
            <v>10.65</v>
          </cell>
          <cell r="M1968">
            <v>38399</v>
          </cell>
          <cell r="N1968">
            <v>4.7300000000000004</v>
          </cell>
          <cell r="P1968">
            <v>38442</v>
          </cell>
          <cell r="Q1968">
            <v>25.473330000000001</v>
          </cell>
        </row>
        <row r="1969">
          <cell r="D1969">
            <v>38441</v>
          </cell>
          <cell r="E1969">
            <v>8.2200000000000006</v>
          </cell>
          <cell r="G1969">
            <v>38441</v>
          </cell>
          <cell r="H1969">
            <v>10.83</v>
          </cell>
          <cell r="J1969">
            <v>38439</v>
          </cell>
          <cell r="K1969">
            <v>10.99</v>
          </cell>
          <cell r="M1969">
            <v>38398</v>
          </cell>
          <cell r="N1969">
            <v>4.9889999999999999</v>
          </cell>
          <cell r="P1969">
            <v>38441</v>
          </cell>
          <cell r="Q1969">
            <v>25.706669999999999</v>
          </cell>
        </row>
        <row r="1970">
          <cell r="D1970">
            <v>38440</v>
          </cell>
          <cell r="E1970">
            <v>8.14</v>
          </cell>
          <cell r="G1970">
            <v>38440</v>
          </cell>
          <cell r="H1970">
            <v>10.61</v>
          </cell>
          <cell r="J1970">
            <v>38435</v>
          </cell>
          <cell r="K1970">
            <v>11.31</v>
          </cell>
          <cell r="M1970">
            <v>38397</v>
          </cell>
          <cell r="N1970">
            <v>4.8499999999999996</v>
          </cell>
          <cell r="P1970">
            <v>38440</v>
          </cell>
          <cell r="Q1970">
            <v>24.4</v>
          </cell>
        </row>
        <row r="1971">
          <cell r="D1971">
            <v>38439</v>
          </cell>
          <cell r="E1971">
            <v>8.3000000000000007</v>
          </cell>
          <cell r="G1971">
            <v>38439</v>
          </cell>
          <cell r="H1971">
            <v>10.99</v>
          </cell>
          <cell r="J1971">
            <v>38434</v>
          </cell>
          <cell r="K1971">
            <v>10.55</v>
          </cell>
          <cell r="M1971">
            <v>38394</v>
          </cell>
          <cell r="N1971">
            <v>4.7699999999999996</v>
          </cell>
          <cell r="P1971">
            <v>38439</v>
          </cell>
          <cell r="Q1971">
            <v>24.83333</v>
          </cell>
        </row>
        <row r="1972">
          <cell r="D1972">
            <v>38435</v>
          </cell>
          <cell r="E1972">
            <v>8.5</v>
          </cell>
          <cell r="G1972">
            <v>38435</v>
          </cell>
          <cell r="H1972">
            <v>10.86</v>
          </cell>
          <cell r="J1972">
            <v>38433</v>
          </cell>
          <cell r="K1972">
            <v>11.05</v>
          </cell>
          <cell r="M1972">
            <v>38393</v>
          </cell>
          <cell r="N1972">
            <v>5.09</v>
          </cell>
          <cell r="P1972">
            <v>38435</v>
          </cell>
          <cell r="Q1972">
            <v>24.83333</v>
          </cell>
        </row>
        <row r="1973">
          <cell r="D1973">
            <v>38434</v>
          </cell>
          <cell r="E1973">
            <v>8.65</v>
          </cell>
          <cell r="G1973">
            <v>38434</v>
          </cell>
          <cell r="H1973">
            <v>11.15</v>
          </cell>
          <cell r="J1973">
            <v>38432</v>
          </cell>
          <cell r="K1973">
            <v>9.35</v>
          </cell>
          <cell r="M1973">
            <v>38392</v>
          </cell>
          <cell r="N1973">
            <v>4.76</v>
          </cell>
          <cell r="P1973">
            <v>38434</v>
          </cell>
          <cell r="Q1973">
            <v>25.503329999999998</v>
          </cell>
        </row>
        <row r="1974">
          <cell r="D1974">
            <v>38433</v>
          </cell>
          <cell r="E1974">
            <v>8.8000000000000007</v>
          </cell>
          <cell r="G1974">
            <v>38433</v>
          </cell>
          <cell r="H1974">
            <v>10.130000000000001</v>
          </cell>
          <cell r="J1974">
            <v>38429</v>
          </cell>
          <cell r="K1974">
            <v>9.8800000000000008</v>
          </cell>
          <cell r="M1974">
            <v>38391</v>
          </cell>
          <cell r="N1974">
            <v>5.0599999999999996</v>
          </cell>
          <cell r="P1974">
            <v>38433</v>
          </cell>
          <cell r="Q1974">
            <v>25.783329999999999</v>
          </cell>
        </row>
        <row r="1975">
          <cell r="D1975">
            <v>38432</v>
          </cell>
          <cell r="E1975">
            <v>8.9</v>
          </cell>
          <cell r="G1975">
            <v>38432</v>
          </cell>
          <cell r="H1975">
            <v>10.029999999999999</v>
          </cell>
          <cell r="J1975">
            <v>38428</v>
          </cell>
          <cell r="K1975">
            <v>10.29</v>
          </cell>
          <cell r="M1975">
            <v>38390</v>
          </cell>
          <cell r="N1975">
            <v>4.8</v>
          </cell>
          <cell r="P1975">
            <v>38432</v>
          </cell>
          <cell r="Q1975">
            <v>27.38</v>
          </cell>
        </row>
        <row r="1976">
          <cell r="D1976">
            <v>38429</v>
          </cell>
          <cell r="E1976">
            <v>8.8699999999999992</v>
          </cell>
          <cell r="G1976">
            <v>38429</v>
          </cell>
          <cell r="H1976">
            <v>10.130000000000001</v>
          </cell>
          <cell r="J1976">
            <v>38427</v>
          </cell>
          <cell r="K1976">
            <v>10.7</v>
          </cell>
          <cell r="M1976">
            <v>38387</v>
          </cell>
          <cell r="N1976">
            <v>4.8</v>
          </cell>
          <cell r="P1976">
            <v>38429</v>
          </cell>
          <cell r="Q1976">
            <v>27.71</v>
          </cell>
        </row>
        <row r="1977">
          <cell r="D1977">
            <v>38428</v>
          </cell>
          <cell r="E1977">
            <v>9.23</v>
          </cell>
          <cell r="G1977">
            <v>38428</v>
          </cell>
          <cell r="H1977">
            <v>10.5</v>
          </cell>
          <cell r="J1977">
            <v>38426</v>
          </cell>
          <cell r="K1977">
            <v>10.68</v>
          </cell>
          <cell r="M1977">
            <v>38386</v>
          </cell>
          <cell r="N1977">
            <v>4.8</v>
          </cell>
          <cell r="P1977">
            <v>38428</v>
          </cell>
          <cell r="Q1977">
            <v>27.07</v>
          </cell>
        </row>
        <row r="1978">
          <cell r="D1978">
            <v>38427</v>
          </cell>
          <cell r="E1978">
            <v>9.3279999999999994</v>
          </cell>
          <cell r="G1978">
            <v>38427</v>
          </cell>
          <cell r="H1978">
            <v>11.18</v>
          </cell>
          <cell r="J1978">
            <v>38425</v>
          </cell>
          <cell r="K1978">
            <v>10.7</v>
          </cell>
          <cell r="M1978">
            <v>38385</v>
          </cell>
          <cell r="N1978">
            <v>5.05</v>
          </cell>
          <cell r="P1978">
            <v>38427</v>
          </cell>
          <cell r="Q1978">
            <v>26.32</v>
          </cell>
        </row>
        <row r="1979">
          <cell r="D1979">
            <v>38426</v>
          </cell>
          <cell r="E1979">
            <v>8.4700000000000006</v>
          </cell>
          <cell r="G1979">
            <v>38426</v>
          </cell>
          <cell r="H1979">
            <v>11.21</v>
          </cell>
          <cell r="J1979">
            <v>38422</v>
          </cell>
          <cell r="K1979">
            <v>10.73</v>
          </cell>
          <cell r="M1979">
            <v>38384</v>
          </cell>
          <cell r="N1979">
            <v>5</v>
          </cell>
          <cell r="P1979">
            <v>38426</v>
          </cell>
          <cell r="Q1979">
            <v>22.363330000000001</v>
          </cell>
        </row>
        <row r="1980">
          <cell r="D1980">
            <v>38425</v>
          </cell>
          <cell r="E1980">
            <v>8.4</v>
          </cell>
          <cell r="G1980">
            <v>38425</v>
          </cell>
          <cell r="H1980">
            <v>11.08</v>
          </cell>
          <cell r="J1980">
            <v>38421</v>
          </cell>
          <cell r="K1980">
            <v>10.77</v>
          </cell>
          <cell r="M1980">
            <v>38383</v>
          </cell>
          <cell r="N1980">
            <v>5.23</v>
          </cell>
          <cell r="P1980">
            <v>38425</v>
          </cell>
          <cell r="Q1980">
            <v>22.10333</v>
          </cell>
        </row>
        <row r="1981">
          <cell r="D1981">
            <v>38422</v>
          </cell>
          <cell r="E1981">
            <v>8.18</v>
          </cell>
          <cell r="G1981">
            <v>38422</v>
          </cell>
          <cell r="H1981">
            <v>11.18</v>
          </cell>
          <cell r="J1981">
            <v>38420</v>
          </cell>
          <cell r="K1981">
            <v>10.88</v>
          </cell>
          <cell r="M1981">
            <v>38380</v>
          </cell>
          <cell r="N1981">
            <v>5.3</v>
          </cell>
          <cell r="P1981">
            <v>38422</v>
          </cell>
          <cell r="Q1981">
            <v>20.21</v>
          </cell>
        </row>
        <row r="1982">
          <cell r="D1982">
            <v>38421</v>
          </cell>
          <cell r="E1982">
            <v>8.26</v>
          </cell>
          <cell r="G1982">
            <v>38421</v>
          </cell>
          <cell r="H1982">
            <v>11.7</v>
          </cell>
          <cell r="J1982">
            <v>38419</v>
          </cell>
          <cell r="K1982">
            <v>10.88</v>
          </cell>
          <cell r="M1982">
            <v>38379</v>
          </cell>
          <cell r="N1982">
            <v>5.25</v>
          </cell>
          <cell r="P1982">
            <v>38421</v>
          </cell>
          <cell r="Q1982">
            <v>20.703330000000001</v>
          </cell>
        </row>
        <row r="1983">
          <cell r="D1983">
            <v>38420</v>
          </cell>
          <cell r="E1983">
            <v>8.5</v>
          </cell>
          <cell r="G1983">
            <v>38420</v>
          </cell>
          <cell r="H1983">
            <v>11.36</v>
          </cell>
          <cell r="J1983">
            <v>38418</v>
          </cell>
          <cell r="K1983">
            <v>10.9</v>
          </cell>
          <cell r="M1983">
            <v>38378</v>
          </cell>
          <cell r="N1983">
            <v>5.2</v>
          </cell>
          <cell r="P1983">
            <v>38420</v>
          </cell>
          <cell r="Q1983">
            <v>21.18</v>
          </cell>
        </row>
        <row r="1984">
          <cell r="D1984">
            <v>38419</v>
          </cell>
          <cell r="E1984">
            <v>8.66</v>
          </cell>
          <cell r="G1984">
            <v>38419</v>
          </cell>
          <cell r="H1984">
            <v>10.58</v>
          </cell>
          <cell r="J1984">
            <v>38415</v>
          </cell>
          <cell r="K1984">
            <v>11.56</v>
          </cell>
          <cell r="M1984">
            <v>38377</v>
          </cell>
          <cell r="N1984">
            <v>5.15</v>
          </cell>
          <cell r="P1984">
            <v>38419</v>
          </cell>
          <cell r="Q1984">
            <v>21.383330000000001</v>
          </cell>
        </row>
        <row r="1985">
          <cell r="D1985">
            <v>38418</v>
          </cell>
          <cell r="E1985">
            <v>8.59</v>
          </cell>
          <cell r="G1985">
            <v>38418</v>
          </cell>
          <cell r="H1985">
            <v>11.04</v>
          </cell>
          <cell r="J1985">
            <v>38414</v>
          </cell>
          <cell r="K1985">
            <v>11.35</v>
          </cell>
          <cell r="M1985">
            <v>38376</v>
          </cell>
          <cell r="N1985">
            <v>5.13</v>
          </cell>
          <cell r="P1985">
            <v>38418</v>
          </cell>
          <cell r="Q1985">
            <v>20.74</v>
          </cell>
        </row>
        <row r="1986">
          <cell r="D1986">
            <v>38415</v>
          </cell>
          <cell r="E1986">
            <v>8.6590000000000007</v>
          </cell>
          <cell r="G1986">
            <v>38415</v>
          </cell>
          <cell r="H1986">
            <v>10.46</v>
          </cell>
          <cell r="J1986">
            <v>38413</v>
          </cell>
          <cell r="K1986">
            <v>11.47</v>
          </cell>
          <cell r="M1986">
            <v>38373</v>
          </cell>
          <cell r="N1986">
            <v>5</v>
          </cell>
          <cell r="P1986">
            <v>38415</v>
          </cell>
          <cell r="Q1986">
            <v>22.44</v>
          </cell>
        </row>
        <row r="1987">
          <cell r="D1987">
            <v>38414</v>
          </cell>
          <cell r="E1987">
            <v>8.6300000000000008</v>
          </cell>
          <cell r="G1987">
            <v>38414</v>
          </cell>
          <cell r="H1987">
            <v>10.45</v>
          </cell>
          <cell r="J1987">
            <v>38412</v>
          </cell>
          <cell r="K1987">
            <v>11.5</v>
          </cell>
          <cell r="M1987">
            <v>38372</v>
          </cell>
          <cell r="N1987">
            <v>5</v>
          </cell>
          <cell r="P1987">
            <v>38414</v>
          </cell>
          <cell r="Q1987">
            <v>22.36</v>
          </cell>
        </row>
        <row r="1988">
          <cell r="D1988">
            <v>38413</v>
          </cell>
          <cell r="E1988">
            <v>8.5399999999999991</v>
          </cell>
          <cell r="G1988">
            <v>38413</v>
          </cell>
          <cell r="H1988">
            <v>10.41</v>
          </cell>
          <cell r="J1988">
            <v>38411</v>
          </cell>
          <cell r="K1988">
            <v>11.8</v>
          </cell>
          <cell r="M1988">
            <v>38371</v>
          </cell>
          <cell r="N1988">
            <v>5</v>
          </cell>
          <cell r="P1988">
            <v>38413</v>
          </cell>
          <cell r="Q1988">
            <v>22.83333</v>
          </cell>
        </row>
        <row r="1989">
          <cell r="D1989">
            <v>38412</v>
          </cell>
          <cell r="E1989">
            <v>8.6199999999999992</v>
          </cell>
          <cell r="G1989">
            <v>38412</v>
          </cell>
          <cell r="H1989">
            <v>9.9700000000000006</v>
          </cell>
          <cell r="J1989">
            <v>38408</v>
          </cell>
          <cell r="K1989">
            <v>11.95</v>
          </cell>
          <cell r="M1989">
            <v>38370</v>
          </cell>
          <cell r="N1989">
            <v>5.0149999999999997</v>
          </cell>
          <cell r="P1989">
            <v>38412</v>
          </cell>
          <cell r="Q1989">
            <v>22.62</v>
          </cell>
        </row>
        <row r="1990">
          <cell r="D1990">
            <v>38411</v>
          </cell>
          <cell r="E1990">
            <v>8.65</v>
          </cell>
          <cell r="G1990">
            <v>38411</v>
          </cell>
          <cell r="H1990">
            <v>10.76</v>
          </cell>
          <cell r="J1990">
            <v>38407</v>
          </cell>
          <cell r="K1990">
            <v>11.47</v>
          </cell>
          <cell r="M1990">
            <v>38366</v>
          </cell>
          <cell r="N1990">
            <v>4.87</v>
          </cell>
          <cell r="P1990">
            <v>38411</v>
          </cell>
          <cell r="Q1990">
            <v>22.036670000000001</v>
          </cell>
        </row>
        <row r="1991">
          <cell r="D1991">
            <v>38408</v>
          </cell>
          <cell r="E1991">
            <v>8.92</v>
          </cell>
          <cell r="G1991">
            <v>38408</v>
          </cell>
          <cell r="H1991">
            <v>10.87</v>
          </cell>
          <cell r="J1991">
            <v>38406</v>
          </cell>
          <cell r="K1991">
            <v>11.4</v>
          </cell>
          <cell r="M1991">
            <v>38365</v>
          </cell>
          <cell r="N1991">
            <v>4.74</v>
          </cell>
          <cell r="P1991">
            <v>38408</v>
          </cell>
          <cell r="Q1991">
            <v>21.783329999999999</v>
          </cell>
        </row>
        <row r="1992">
          <cell r="D1992">
            <v>38407</v>
          </cell>
          <cell r="E1992">
            <v>8.84</v>
          </cell>
          <cell r="G1992">
            <v>38407</v>
          </cell>
          <cell r="H1992">
            <v>10.9</v>
          </cell>
          <cell r="J1992">
            <v>38405</v>
          </cell>
          <cell r="K1992">
            <v>11.2</v>
          </cell>
          <cell r="M1992">
            <v>38364</v>
          </cell>
          <cell r="N1992">
            <v>4.68</v>
          </cell>
          <cell r="P1992">
            <v>38407</v>
          </cell>
          <cell r="Q1992">
            <v>23.16</v>
          </cell>
        </row>
        <row r="1993">
          <cell r="D1993">
            <v>38406</v>
          </cell>
          <cell r="E1993">
            <v>8.76</v>
          </cell>
          <cell r="G1993">
            <v>38406</v>
          </cell>
          <cell r="H1993">
            <v>10.74</v>
          </cell>
          <cell r="J1993">
            <v>38401</v>
          </cell>
          <cell r="K1993">
            <v>11.9</v>
          </cell>
          <cell r="M1993">
            <v>38363</v>
          </cell>
          <cell r="N1993">
            <v>4.7</v>
          </cell>
          <cell r="P1993">
            <v>38406</v>
          </cell>
          <cell r="Q1993">
            <v>23.11</v>
          </cell>
        </row>
        <row r="1994">
          <cell r="D1994">
            <v>38405</v>
          </cell>
          <cell r="E1994">
            <v>9.02</v>
          </cell>
          <cell r="G1994">
            <v>38405</v>
          </cell>
          <cell r="H1994">
            <v>11.43</v>
          </cell>
          <cell r="J1994">
            <v>38400</v>
          </cell>
          <cell r="K1994">
            <v>12.47</v>
          </cell>
          <cell r="M1994">
            <v>38362</v>
          </cell>
          <cell r="N1994">
            <v>4.7210000000000001</v>
          </cell>
          <cell r="P1994">
            <v>38405</v>
          </cell>
          <cell r="Q1994">
            <v>23.633330000000001</v>
          </cell>
        </row>
        <row r="1995">
          <cell r="D1995">
            <v>38401</v>
          </cell>
          <cell r="E1995">
            <v>9.1300000000000008</v>
          </cell>
          <cell r="G1995">
            <v>38401</v>
          </cell>
          <cell r="H1995">
            <v>11.99</v>
          </cell>
          <cell r="J1995">
            <v>38399</v>
          </cell>
          <cell r="K1995">
            <v>13.74</v>
          </cell>
          <cell r="M1995">
            <v>38359</v>
          </cell>
          <cell r="N1995">
            <v>4.7699999999999996</v>
          </cell>
          <cell r="P1995">
            <v>38401</v>
          </cell>
          <cell r="Q1995">
            <v>24.593330000000002</v>
          </cell>
        </row>
        <row r="1996">
          <cell r="D1996">
            <v>38400</v>
          </cell>
          <cell r="E1996">
            <v>9.43</v>
          </cell>
          <cell r="G1996">
            <v>38400</v>
          </cell>
          <cell r="H1996">
            <v>12.26</v>
          </cell>
          <cell r="J1996">
            <v>38398</v>
          </cell>
          <cell r="K1996">
            <v>13.3</v>
          </cell>
          <cell r="M1996">
            <v>38358</v>
          </cell>
          <cell r="N1996">
            <v>4.74</v>
          </cell>
          <cell r="P1996">
            <v>38400</v>
          </cell>
          <cell r="Q1996">
            <v>25.18</v>
          </cell>
        </row>
        <row r="1997">
          <cell r="D1997">
            <v>38399</v>
          </cell>
          <cell r="E1997">
            <v>9.4499999999999993</v>
          </cell>
          <cell r="G1997">
            <v>38399</v>
          </cell>
          <cell r="H1997">
            <v>12.9</v>
          </cell>
          <cell r="J1997">
            <v>38397</v>
          </cell>
          <cell r="K1997">
            <v>12.31</v>
          </cell>
          <cell r="M1997">
            <v>38357</v>
          </cell>
          <cell r="N1997">
            <v>4.88</v>
          </cell>
          <cell r="P1997">
            <v>38399</v>
          </cell>
          <cell r="Q1997">
            <v>25.793330000000001</v>
          </cell>
        </row>
        <row r="1998">
          <cell r="D1998">
            <v>38398</v>
          </cell>
          <cell r="E1998">
            <v>9.6199999999999992</v>
          </cell>
          <cell r="G1998">
            <v>38398</v>
          </cell>
          <cell r="H1998">
            <v>13.15</v>
          </cell>
          <cell r="J1998">
            <v>38394</v>
          </cell>
          <cell r="K1998">
            <v>13.611000000000001</v>
          </cell>
          <cell r="M1998">
            <v>38356</v>
          </cell>
          <cell r="N1998">
            <v>4.66</v>
          </cell>
          <cell r="P1998">
            <v>38398</v>
          </cell>
          <cell r="Q1998">
            <v>25.966670000000001</v>
          </cell>
        </row>
        <row r="1999">
          <cell r="D1999">
            <v>38397</v>
          </cell>
          <cell r="E1999">
            <v>9.27</v>
          </cell>
          <cell r="G1999">
            <v>38397</v>
          </cell>
          <cell r="H1999">
            <v>13.68</v>
          </cell>
          <cell r="J1999">
            <v>38393</v>
          </cell>
          <cell r="K1999">
            <v>14.25</v>
          </cell>
          <cell r="M1999">
            <v>38355</v>
          </cell>
          <cell r="N1999">
            <v>4.68</v>
          </cell>
          <cell r="P1999">
            <v>38397</v>
          </cell>
          <cell r="Q1999">
            <v>25.713329999999999</v>
          </cell>
        </row>
        <row r="2000">
          <cell r="D2000">
            <v>38394</v>
          </cell>
          <cell r="E2000">
            <v>9.31</v>
          </cell>
          <cell r="G2000">
            <v>38394</v>
          </cell>
          <cell r="H2000">
            <v>13.17</v>
          </cell>
          <cell r="J2000">
            <v>38392</v>
          </cell>
          <cell r="K2000">
            <v>14.29</v>
          </cell>
          <cell r="M2000">
            <v>38352</v>
          </cell>
          <cell r="N2000">
            <v>4.7</v>
          </cell>
          <cell r="P2000">
            <v>38394</v>
          </cell>
          <cell r="Q2000">
            <v>25.32667</v>
          </cell>
        </row>
        <row r="2001">
          <cell r="D2001">
            <v>38393</v>
          </cell>
          <cell r="E2001">
            <v>9.2200000000000006</v>
          </cell>
          <cell r="G2001">
            <v>38393</v>
          </cell>
          <cell r="H2001">
            <v>12.03</v>
          </cell>
          <cell r="J2001">
            <v>38391</v>
          </cell>
          <cell r="K2001">
            <v>14.42</v>
          </cell>
          <cell r="M2001">
            <v>38351</v>
          </cell>
          <cell r="N2001">
            <v>4.6369999999999996</v>
          </cell>
          <cell r="P2001">
            <v>38393</v>
          </cell>
          <cell r="Q2001">
            <v>24.816669999999998</v>
          </cell>
        </row>
        <row r="2002">
          <cell r="D2002">
            <v>38392</v>
          </cell>
          <cell r="E2002">
            <v>9.23</v>
          </cell>
          <cell r="G2002">
            <v>38392</v>
          </cell>
          <cell r="H2002">
            <v>12.06</v>
          </cell>
          <cell r="J2002">
            <v>38390</v>
          </cell>
          <cell r="K2002">
            <v>14.5</v>
          </cell>
          <cell r="M2002">
            <v>38350</v>
          </cell>
          <cell r="N2002">
            <v>4.43</v>
          </cell>
          <cell r="P2002">
            <v>38392</v>
          </cell>
          <cell r="Q2002">
            <v>25.45</v>
          </cell>
        </row>
        <row r="2003">
          <cell r="D2003">
            <v>38391</v>
          </cell>
          <cell r="E2003">
            <v>9.59</v>
          </cell>
          <cell r="G2003">
            <v>38391</v>
          </cell>
          <cell r="H2003">
            <v>12.33</v>
          </cell>
          <cell r="J2003">
            <v>38387</v>
          </cell>
          <cell r="K2003">
            <v>14.9</v>
          </cell>
          <cell r="M2003">
            <v>38349</v>
          </cell>
          <cell r="N2003">
            <v>4.3</v>
          </cell>
          <cell r="P2003">
            <v>38391</v>
          </cell>
          <cell r="Q2003">
            <v>25.436669999999999</v>
          </cell>
        </row>
        <row r="2004">
          <cell r="D2004">
            <v>38390</v>
          </cell>
          <cell r="E2004">
            <v>10</v>
          </cell>
          <cell r="G2004">
            <v>38390</v>
          </cell>
          <cell r="H2004">
            <v>11.7</v>
          </cell>
          <cell r="J2004">
            <v>38386</v>
          </cell>
          <cell r="K2004">
            <v>14.21</v>
          </cell>
          <cell r="M2004">
            <v>38348</v>
          </cell>
          <cell r="N2004">
            <v>4.45</v>
          </cell>
          <cell r="P2004">
            <v>38390</v>
          </cell>
          <cell r="Q2004">
            <v>25.1</v>
          </cell>
        </row>
        <row r="2005">
          <cell r="D2005">
            <v>38387</v>
          </cell>
          <cell r="E2005">
            <v>10.07</v>
          </cell>
          <cell r="G2005">
            <v>38387</v>
          </cell>
          <cell r="H2005">
            <v>11.68</v>
          </cell>
          <cell r="J2005">
            <v>38385</v>
          </cell>
          <cell r="K2005">
            <v>14.39</v>
          </cell>
          <cell r="M2005">
            <v>38344</v>
          </cell>
          <cell r="N2005">
            <v>4.6399999999999997</v>
          </cell>
          <cell r="P2005">
            <v>38387</v>
          </cell>
          <cell r="Q2005">
            <v>25.81</v>
          </cell>
        </row>
        <row r="2006">
          <cell r="D2006">
            <v>38386</v>
          </cell>
          <cell r="E2006">
            <v>9.9600000000000009</v>
          </cell>
          <cell r="G2006">
            <v>38386</v>
          </cell>
          <cell r="H2006">
            <v>11.78</v>
          </cell>
          <cell r="J2006">
            <v>38384</v>
          </cell>
          <cell r="K2006">
            <v>14.27</v>
          </cell>
          <cell r="M2006">
            <v>38343</v>
          </cell>
          <cell r="N2006">
            <v>4.66</v>
          </cell>
          <cell r="P2006">
            <v>38386</v>
          </cell>
          <cell r="Q2006">
            <v>24.94</v>
          </cell>
        </row>
        <row r="2007">
          <cell r="D2007">
            <v>38385</v>
          </cell>
          <cell r="E2007">
            <v>9.43</v>
          </cell>
          <cell r="G2007">
            <v>38385</v>
          </cell>
          <cell r="H2007">
            <v>11.94</v>
          </cell>
          <cell r="J2007">
            <v>38383</v>
          </cell>
          <cell r="K2007">
            <v>14.22</v>
          </cell>
          <cell r="M2007">
            <v>38342</v>
          </cell>
          <cell r="N2007">
            <v>4.8</v>
          </cell>
          <cell r="P2007">
            <v>38385</v>
          </cell>
          <cell r="Q2007">
            <v>25.406669999999998</v>
          </cell>
        </row>
        <row r="2008">
          <cell r="D2008">
            <v>38384</v>
          </cell>
          <cell r="E2008">
            <v>9.4</v>
          </cell>
          <cell r="G2008">
            <v>38384</v>
          </cell>
          <cell r="H2008">
            <v>11.9</v>
          </cell>
          <cell r="J2008">
            <v>38380</v>
          </cell>
          <cell r="K2008">
            <v>14.29</v>
          </cell>
          <cell r="M2008">
            <v>38341</v>
          </cell>
          <cell r="N2008">
            <v>4.8099999999999996</v>
          </cell>
          <cell r="P2008">
            <v>38384</v>
          </cell>
          <cell r="Q2008">
            <v>25.323329999999999</v>
          </cell>
        </row>
        <row r="2009">
          <cell r="D2009">
            <v>38383</v>
          </cell>
          <cell r="E2009">
            <v>9.06</v>
          </cell>
          <cell r="G2009">
            <v>38383</v>
          </cell>
          <cell r="H2009">
            <v>11.95</v>
          </cell>
          <cell r="J2009">
            <v>38379</v>
          </cell>
          <cell r="K2009">
            <v>14.75</v>
          </cell>
          <cell r="M2009">
            <v>38338</v>
          </cell>
          <cell r="N2009">
            <v>4.9400000000000004</v>
          </cell>
          <cell r="P2009">
            <v>38383</v>
          </cell>
          <cell r="Q2009">
            <v>23.76333</v>
          </cell>
        </row>
        <row r="2010">
          <cell r="D2010">
            <v>38380</v>
          </cell>
          <cell r="E2010">
            <v>9.2210000000000001</v>
          </cell>
          <cell r="G2010">
            <v>38380</v>
          </cell>
          <cell r="H2010">
            <v>12.1</v>
          </cell>
          <cell r="J2010">
            <v>38378</v>
          </cell>
          <cell r="K2010">
            <v>15.26</v>
          </cell>
          <cell r="M2010">
            <v>38337</v>
          </cell>
          <cell r="N2010">
            <v>4.83</v>
          </cell>
          <cell r="P2010">
            <v>38380</v>
          </cell>
          <cell r="Q2010">
            <v>23.453330000000001</v>
          </cell>
        </row>
        <row r="2011">
          <cell r="D2011">
            <v>38379</v>
          </cell>
          <cell r="E2011">
            <v>8.9700000000000006</v>
          </cell>
          <cell r="G2011">
            <v>38379</v>
          </cell>
          <cell r="H2011">
            <v>12.77</v>
          </cell>
          <cell r="J2011">
            <v>38377</v>
          </cell>
          <cell r="K2011">
            <v>15.423</v>
          </cell>
          <cell r="M2011">
            <v>38336</v>
          </cell>
          <cell r="N2011">
            <v>4.99</v>
          </cell>
          <cell r="P2011">
            <v>38379</v>
          </cell>
          <cell r="Q2011">
            <v>23.316669999999998</v>
          </cell>
        </row>
        <row r="2012">
          <cell r="D2012">
            <v>38378</v>
          </cell>
          <cell r="E2012">
            <v>14.5</v>
          </cell>
          <cell r="G2012">
            <v>38378</v>
          </cell>
          <cell r="H2012">
            <v>13.3</v>
          </cell>
          <cell r="J2012">
            <v>38376</v>
          </cell>
          <cell r="K2012">
            <v>16.23</v>
          </cell>
          <cell r="M2012">
            <v>38335</v>
          </cell>
          <cell r="N2012">
            <v>5</v>
          </cell>
          <cell r="P2012">
            <v>38378</v>
          </cell>
          <cell r="Q2012">
            <v>23.973330000000001</v>
          </cell>
        </row>
        <row r="2013">
          <cell r="D2013">
            <v>38377</v>
          </cell>
          <cell r="E2013">
            <v>13.81</v>
          </cell>
          <cell r="G2013">
            <v>38377</v>
          </cell>
          <cell r="H2013">
            <v>12.78</v>
          </cell>
          <cell r="J2013">
            <v>38373</v>
          </cell>
          <cell r="K2013">
            <v>17.09</v>
          </cell>
          <cell r="M2013">
            <v>38334</v>
          </cell>
          <cell r="N2013">
            <v>4.96</v>
          </cell>
          <cell r="P2013">
            <v>38377</v>
          </cell>
          <cell r="Q2013">
            <v>23.093330000000002</v>
          </cell>
        </row>
        <row r="2014">
          <cell r="D2014">
            <v>38376</v>
          </cell>
          <cell r="E2014">
            <v>14.45</v>
          </cell>
          <cell r="G2014">
            <v>38376</v>
          </cell>
          <cell r="H2014">
            <v>13.09</v>
          </cell>
          <cell r="J2014">
            <v>38372</v>
          </cell>
          <cell r="K2014">
            <v>17</v>
          </cell>
          <cell r="M2014">
            <v>38331</v>
          </cell>
          <cell r="N2014">
            <v>4.9809999999999999</v>
          </cell>
          <cell r="P2014">
            <v>38376</v>
          </cell>
          <cell r="Q2014">
            <v>22.04</v>
          </cell>
        </row>
        <row r="2015">
          <cell r="D2015">
            <v>38373</v>
          </cell>
          <cell r="E2015">
            <v>14.94</v>
          </cell>
          <cell r="G2015">
            <v>38373</v>
          </cell>
          <cell r="H2015">
            <v>13.6</v>
          </cell>
          <cell r="J2015">
            <v>38371</v>
          </cell>
          <cell r="K2015">
            <v>17.72</v>
          </cell>
          <cell r="M2015">
            <v>38330</v>
          </cell>
          <cell r="N2015">
            <v>4.9000000000000004</v>
          </cell>
          <cell r="P2015">
            <v>38373</v>
          </cell>
          <cell r="Q2015">
            <v>23.433330000000002</v>
          </cell>
        </row>
        <row r="2016">
          <cell r="D2016">
            <v>38372</v>
          </cell>
          <cell r="E2016">
            <v>15.03</v>
          </cell>
          <cell r="G2016">
            <v>38372</v>
          </cell>
          <cell r="H2016">
            <v>13.58</v>
          </cell>
          <cell r="J2016">
            <v>38370</v>
          </cell>
          <cell r="K2016">
            <v>18.45</v>
          </cell>
          <cell r="M2016">
            <v>38329</v>
          </cell>
          <cell r="N2016">
            <v>4.8</v>
          </cell>
          <cell r="P2016">
            <v>38372</v>
          </cell>
          <cell r="Q2016">
            <v>24.233329999999999</v>
          </cell>
        </row>
        <row r="2017">
          <cell r="D2017">
            <v>38371</v>
          </cell>
          <cell r="E2017">
            <v>15.64</v>
          </cell>
          <cell r="G2017">
            <v>38371</v>
          </cell>
          <cell r="H2017">
            <v>14.25</v>
          </cell>
          <cell r="J2017">
            <v>38366</v>
          </cell>
          <cell r="K2017">
            <v>16.8</v>
          </cell>
          <cell r="M2017">
            <v>38328</v>
          </cell>
          <cell r="N2017">
            <v>4.91</v>
          </cell>
          <cell r="P2017">
            <v>38371</v>
          </cell>
          <cell r="Q2017">
            <v>25.073329999999999</v>
          </cell>
        </row>
        <row r="2018">
          <cell r="D2018">
            <v>38370</v>
          </cell>
          <cell r="E2018">
            <v>16.21</v>
          </cell>
          <cell r="G2018">
            <v>38370</v>
          </cell>
          <cell r="H2018">
            <v>15.15</v>
          </cell>
          <cell r="J2018">
            <v>38365</v>
          </cell>
          <cell r="K2018">
            <v>16.91</v>
          </cell>
          <cell r="M2018">
            <v>38327</v>
          </cell>
          <cell r="N2018">
            <v>4.8600000000000003</v>
          </cell>
          <cell r="P2018">
            <v>38370</v>
          </cell>
          <cell r="Q2018">
            <v>25.496670000000002</v>
          </cell>
        </row>
        <row r="2019">
          <cell r="D2019">
            <v>38366</v>
          </cell>
          <cell r="E2019">
            <v>15.47</v>
          </cell>
          <cell r="G2019">
            <v>38366</v>
          </cell>
          <cell r="H2019">
            <v>14.52</v>
          </cell>
          <cell r="J2019">
            <v>38364</v>
          </cell>
          <cell r="K2019">
            <v>17.03</v>
          </cell>
          <cell r="M2019">
            <v>38324</v>
          </cell>
          <cell r="N2019">
            <v>4.99</v>
          </cell>
          <cell r="P2019">
            <v>38366</v>
          </cell>
          <cell r="Q2019">
            <v>25.463329999999999</v>
          </cell>
        </row>
        <row r="2020">
          <cell r="D2020">
            <v>38365</v>
          </cell>
          <cell r="E2020">
            <v>14.85</v>
          </cell>
          <cell r="G2020">
            <v>38365</v>
          </cell>
          <cell r="H2020">
            <v>14.01</v>
          </cell>
          <cell r="J2020">
            <v>38363</v>
          </cell>
          <cell r="K2020">
            <v>16.86</v>
          </cell>
          <cell r="M2020">
            <v>38323</v>
          </cell>
          <cell r="N2020">
            <v>4.74</v>
          </cell>
          <cell r="P2020">
            <v>38365</v>
          </cell>
          <cell r="Q2020">
            <v>25.053329999999999</v>
          </cell>
        </row>
        <row r="2021">
          <cell r="D2021">
            <v>38364</v>
          </cell>
          <cell r="E2021">
            <v>15.49</v>
          </cell>
          <cell r="G2021">
            <v>38364</v>
          </cell>
          <cell r="H2021">
            <v>15.08</v>
          </cell>
          <cell r="J2021">
            <v>38362</v>
          </cell>
          <cell r="K2021">
            <v>16.7</v>
          </cell>
          <cell r="M2021">
            <v>38322</v>
          </cell>
          <cell r="N2021">
            <v>4.63</v>
          </cell>
          <cell r="P2021">
            <v>38364</v>
          </cell>
          <cell r="Q2021">
            <v>26.145</v>
          </cell>
        </row>
        <row r="2022">
          <cell r="D2022">
            <v>38363</v>
          </cell>
          <cell r="E2022">
            <v>15.72</v>
          </cell>
          <cell r="G2022">
            <v>38363</v>
          </cell>
          <cell r="H2022">
            <v>14.9</v>
          </cell>
          <cell r="J2022">
            <v>38359</v>
          </cell>
          <cell r="K2022">
            <v>16.77</v>
          </cell>
          <cell r="M2022">
            <v>38321</v>
          </cell>
          <cell r="N2022">
            <v>4.8099999999999996</v>
          </cell>
          <cell r="P2022">
            <v>38363</v>
          </cell>
          <cell r="Q2022">
            <v>24.34</v>
          </cell>
        </row>
        <row r="2023">
          <cell r="D2023">
            <v>38362</v>
          </cell>
          <cell r="E2023">
            <v>16.21</v>
          </cell>
          <cell r="G2023">
            <v>38362</v>
          </cell>
          <cell r="H2023">
            <v>15.77</v>
          </cell>
          <cell r="J2023">
            <v>38358</v>
          </cell>
          <cell r="K2023">
            <v>17</v>
          </cell>
          <cell r="M2023">
            <v>38320</v>
          </cell>
          <cell r="N2023">
            <v>4.83</v>
          </cell>
          <cell r="P2023">
            <v>38362</v>
          </cell>
          <cell r="Q2023">
            <v>24.316669999999998</v>
          </cell>
        </row>
        <row r="2024">
          <cell r="D2024">
            <v>38359</v>
          </cell>
          <cell r="E2024">
            <v>16</v>
          </cell>
          <cell r="G2024">
            <v>38359</v>
          </cell>
          <cell r="H2024">
            <v>15.98</v>
          </cell>
          <cell r="J2024">
            <v>38357</v>
          </cell>
          <cell r="K2024">
            <v>17.11</v>
          </cell>
          <cell r="M2024">
            <v>38317</v>
          </cell>
          <cell r="N2024">
            <v>4.9800000000000004</v>
          </cell>
          <cell r="P2024">
            <v>38359</v>
          </cell>
          <cell r="Q2024">
            <v>24.766670000000001</v>
          </cell>
        </row>
        <row r="2025">
          <cell r="D2025">
            <v>38358</v>
          </cell>
          <cell r="E2025">
            <v>16.13</v>
          </cell>
          <cell r="G2025">
            <v>38358</v>
          </cell>
          <cell r="H2025">
            <v>15.57</v>
          </cell>
          <cell r="J2025">
            <v>38356</v>
          </cell>
          <cell r="K2025">
            <v>16.55</v>
          </cell>
          <cell r="M2025">
            <v>38315</v>
          </cell>
          <cell r="N2025">
            <v>4.67</v>
          </cell>
          <cell r="P2025">
            <v>38358</v>
          </cell>
          <cell r="Q2025">
            <v>24.91667</v>
          </cell>
        </row>
        <row r="2026">
          <cell r="D2026">
            <v>38357</v>
          </cell>
          <cell r="E2026">
            <v>16.239999999999998</v>
          </cell>
          <cell r="G2026">
            <v>38357</v>
          </cell>
          <cell r="H2026">
            <v>16.149999999999999</v>
          </cell>
          <cell r="J2026">
            <v>38355</v>
          </cell>
          <cell r="K2026">
            <v>16.87</v>
          </cell>
          <cell r="M2026">
            <v>38314</v>
          </cell>
          <cell r="N2026">
            <v>4.76</v>
          </cell>
          <cell r="P2026">
            <v>38357</v>
          </cell>
          <cell r="Q2026">
            <v>25.636669999999999</v>
          </cell>
        </row>
        <row r="2027">
          <cell r="D2027">
            <v>38356</v>
          </cell>
          <cell r="E2027">
            <v>15.68</v>
          </cell>
          <cell r="G2027">
            <v>38356</v>
          </cell>
          <cell r="H2027">
            <v>16.2</v>
          </cell>
          <cell r="J2027">
            <v>38352</v>
          </cell>
          <cell r="K2027">
            <v>18.66</v>
          </cell>
          <cell r="M2027">
            <v>38313</v>
          </cell>
          <cell r="N2027">
            <v>4.6500000000000004</v>
          </cell>
          <cell r="P2027">
            <v>38356</v>
          </cell>
          <cell r="Q2027">
            <v>25.62</v>
          </cell>
        </row>
        <row r="2028">
          <cell r="D2028">
            <v>38355</v>
          </cell>
          <cell r="E2028">
            <v>16.68</v>
          </cell>
          <cell r="G2028">
            <v>38355</v>
          </cell>
          <cell r="H2028">
            <v>17.46</v>
          </cell>
          <cell r="J2028">
            <v>38351</v>
          </cell>
          <cell r="K2028">
            <v>18.3</v>
          </cell>
          <cell r="M2028">
            <v>38310</v>
          </cell>
          <cell r="N2028">
            <v>4.5599999999999996</v>
          </cell>
          <cell r="P2028">
            <v>38355</v>
          </cell>
          <cell r="Q2028">
            <v>26.41667</v>
          </cell>
        </row>
        <row r="2029">
          <cell r="D2029">
            <v>38352</v>
          </cell>
          <cell r="E2029">
            <v>17.68</v>
          </cell>
          <cell r="G2029">
            <v>38352</v>
          </cell>
          <cell r="H2029">
            <v>19.41</v>
          </cell>
          <cell r="J2029">
            <v>38350</v>
          </cell>
          <cell r="K2029">
            <v>18.53</v>
          </cell>
          <cell r="M2029">
            <v>38309</v>
          </cell>
          <cell r="N2029">
            <v>4.2</v>
          </cell>
          <cell r="P2029">
            <v>38352</v>
          </cell>
          <cell r="Q2029">
            <v>27.473330000000001</v>
          </cell>
        </row>
        <row r="2030">
          <cell r="D2030">
            <v>38351</v>
          </cell>
          <cell r="E2030">
            <v>17.63</v>
          </cell>
          <cell r="G2030">
            <v>38351</v>
          </cell>
          <cell r="H2030">
            <v>19.329999999999998</v>
          </cell>
          <cell r="J2030">
            <v>38349</v>
          </cell>
          <cell r="K2030">
            <v>17.21</v>
          </cell>
          <cell r="M2030">
            <v>38308</v>
          </cell>
          <cell r="N2030">
            <v>4.1399999999999997</v>
          </cell>
          <cell r="P2030">
            <v>38351</v>
          </cell>
          <cell r="Q2030">
            <v>27.633330000000001</v>
          </cell>
        </row>
        <row r="2031">
          <cell r="D2031">
            <v>38350</v>
          </cell>
          <cell r="E2031">
            <v>17.46</v>
          </cell>
          <cell r="G2031">
            <v>38350</v>
          </cell>
          <cell r="H2031">
            <v>19.7</v>
          </cell>
          <cell r="J2031">
            <v>38348</v>
          </cell>
          <cell r="K2031">
            <v>17.28</v>
          </cell>
          <cell r="M2031">
            <v>38307</v>
          </cell>
          <cell r="N2031">
            <v>4.0599999999999996</v>
          </cell>
          <cell r="P2031">
            <v>38350</v>
          </cell>
          <cell r="Q2031">
            <v>27.873329999999999</v>
          </cell>
        </row>
        <row r="2032">
          <cell r="D2032">
            <v>38349</v>
          </cell>
          <cell r="E2032">
            <v>17.3</v>
          </cell>
          <cell r="G2032">
            <v>38349</v>
          </cell>
          <cell r="H2032">
            <v>20.059999999999999</v>
          </cell>
          <cell r="J2032">
            <v>38344</v>
          </cell>
          <cell r="K2032">
            <v>17.29</v>
          </cell>
          <cell r="M2032">
            <v>38306</v>
          </cell>
          <cell r="N2032">
            <v>4</v>
          </cell>
          <cell r="P2032">
            <v>38349</v>
          </cell>
          <cell r="Q2032">
            <v>28.336670000000002</v>
          </cell>
        </row>
        <row r="2033">
          <cell r="D2033">
            <v>38348</v>
          </cell>
          <cell r="E2033">
            <v>17.309999999999999</v>
          </cell>
          <cell r="G2033">
            <v>38348</v>
          </cell>
          <cell r="H2033">
            <v>19.489999999999998</v>
          </cell>
          <cell r="J2033">
            <v>38343</v>
          </cell>
          <cell r="K2033">
            <v>16.899999999999999</v>
          </cell>
          <cell r="M2033">
            <v>38303</v>
          </cell>
          <cell r="N2033">
            <v>3.94</v>
          </cell>
          <cell r="P2033">
            <v>38348</v>
          </cell>
          <cell r="Q2033">
            <v>28.063330000000001</v>
          </cell>
        </row>
        <row r="2034">
          <cell r="D2034">
            <v>38344</v>
          </cell>
          <cell r="E2034">
            <v>17.489999999999998</v>
          </cell>
          <cell r="G2034">
            <v>38344</v>
          </cell>
          <cell r="H2034">
            <v>20</v>
          </cell>
          <cell r="J2034">
            <v>38342</v>
          </cell>
          <cell r="K2034">
            <v>16.670000000000002</v>
          </cell>
          <cell r="M2034">
            <v>38302</v>
          </cell>
          <cell r="N2034">
            <v>3.93</v>
          </cell>
          <cell r="P2034">
            <v>38344</v>
          </cell>
          <cell r="Q2034">
            <v>27.98</v>
          </cell>
        </row>
        <row r="2035">
          <cell r="D2035">
            <v>38343</v>
          </cell>
          <cell r="E2035">
            <v>17.942</v>
          </cell>
          <cell r="G2035">
            <v>38343</v>
          </cell>
          <cell r="H2035">
            <v>20.89</v>
          </cell>
          <cell r="J2035">
            <v>38341</v>
          </cell>
          <cell r="K2035">
            <v>17.02</v>
          </cell>
          <cell r="M2035">
            <v>38301</v>
          </cell>
          <cell r="N2035">
            <v>3.9</v>
          </cell>
          <cell r="P2035">
            <v>38343</v>
          </cell>
          <cell r="Q2035">
            <v>27.83</v>
          </cell>
        </row>
        <row r="2036">
          <cell r="D2036">
            <v>38342</v>
          </cell>
          <cell r="E2036">
            <v>18.3</v>
          </cell>
          <cell r="G2036">
            <v>38342</v>
          </cell>
          <cell r="H2036">
            <v>20.84</v>
          </cell>
          <cell r="J2036">
            <v>38338</v>
          </cell>
          <cell r="K2036">
            <v>17.16</v>
          </cell>
          <cell r="M2036">
            <v>38300</v>
          </cell>
          <cell r="N2036">
            <v>4</v>
          </cell>
          <cell r="P2036">
            <v>38342</v>
          </cell>
          <cell r="Q2036">
            <v>29.01333</v>
          </cell>
        </row>
        <row r="2037">
          <cell r="D2037">
            <v>38341</v>
          </cell>
          <cell r="E2037">
            <v>18.609000000000002</v>
          </cell>
          <cell r="G2037">
            <v>38341</v>
          </cell>
          <cell r="H2037">
            <v>20.52</v>
          </cell>
          <cell r="J2037">
            <v>38337</v>
          </cell>
          <cell r="K2037">
            <v>17.93</v>
          </cell>
          <cell r="M2037">
            <v>38299</v>
          </cell>
          <cell r="N2037">
            <v>4</v>
          </cell>
          <cell r="P2037">
            <v>38341</v>
          </cell>
          <cell r="Q2037">
            <v>28.93</v>
          </cell>
        </row>
        <row r="2038">
          <cell r="D2038">
            <v>38338</v>
          </cell>
          <cell r="E2038">
            <v>19.71</v>
          </cell>
          <cell r="G2038">
            <v>38338</v>
          </cell>
          <cell r="H2038">
            <v>21.48</v>
          </cell>
          <cell r="J2038">
            <v>38336</v>
          </cell>
          <cell r="K2038">
            <v>17.8</v>
          </cell>
          <cell r="M2038">
            <v>38296</v>
          </cell>
          <cell r="N2038">
            <v>4</v>
          </cell>
          <cell r="P2038">
            <v>38338</v>
          </cell>
          <cell r="Q2038">
            <v>28.45</v>
          </cell>
        </row>
        <row r="2039">
          <cell r="D2039">
            <v>38337</v>
          </cell>
          <cell r="E2039">
            <v>19.98</v>
          </cell>
          <cell r="G2039">
            <v>38337</v>
          </cell>
          <cell r="H2039">
            <v>21.79</v>
          </cell>
          <cell r="J2039">
            <v>38335</v>
          </cell>
          <cell r="K2039">
            <v>17.989999999999998</v>
          </cell>
          <cell r="M2039">
            <v>38295</v>
          </cell>
          <cell r="N2039">
            <v>3.81</v>
          </cell>
          <cell r="P2039">
            <v>38337</v>
          </cell>
          <cell r="Q2039">
            <v>27.69</v>
          </cell>
        </row>
        <row r="2040">
          <cell r="D2040">
            <v>38336</v>
          </cell>
          <cell r="E2040">
            <v>20.27</v>
          </cell>
          <cell r="G2040">
            <v>38336</v>
          </cell>
          <cell r="H2040">
            <v>22.57</v>
          </cell>
          <cell r="J2040">
            <v>38334</v>
          </cell>
          <cell r="K2040">
            <v>17.29</v>
          </cell>
          <cell r="M2040">
            <v>38294</v>
          </cell>
          <cell r="N2040">
            <v>4</v>
          </cell>
          <cell r="P2040">
            <v>38336</v>
          </cell>
          <cell r="Q2040">
            <v>27.533329999999999</v>
          </cell>
        </row>
        <row r="2041">
          <cell r="D2041">
            <v>38335</v>
          </cell>
          <cell r="E2041">
            <v>20.87</v>
          </cell>
          <cell r="G2041">
            <v>38335</v>
          </cell>
          <cell r="H2041">
            <v>22.07</v>
          </cell>
          <cell r="J2041">
            <v>38331</v>
          </cell>
          <cell r="K2041">
            <v>16.98</v>
          </cell>
          <cell r="M2041">
            <v>38293</v>
          </cell>
          <cell r="N2041">
            <v>4.21</v>
          </cell>
          <cell r="P2041">
            <v>38335</v>
          </cell>
          <cell r="Q2041">
            <v>28.48</v>
          </cell>
        </row>
        <row r="2042">
          <cell r="D2042">
            <v>38334</v>
          </cell>
          <cell r="E2042">
            <v>21.4</v>
          </cell>
          <cell r="G2042">
            <v>38334</v>
          </cell>
          <cell r="H2042">
            <v>22.55</v>
          </cell>
          <cell r="J2042">
            <v>38330</v>
          </cell>
          <cell r="K2042">
            <v>17.05</v>
          </cell>
          <cell r="M2042">
            <v>38292</v>
          </cell>
          <cell r="N2042">
            <v>4</v>
          </cell>
          <cell r="P2042">
            <v>38334</v>
          </cell>
          <cell r="Q2042">
            <v>30.03</v>
          </cell>
        </row>
        <row r="2043">
          <cell r="D2043">
            <v>38331</v>
          </cell>
          <cell r="E2043">
            <v>20.78</v>
          </cell>
          <cell r="G2043">
            <v>38331</v>
          </cell>
          <cell r="H2043">
            <v>22.18</v>
          </cell>
          <cell r="J2043">
            <v>38329</v>
          </cell>
          <cell r="K2043">
            <v>16.73</v>
          </cell>
          <cell r="M2043">
            <v>38289</v>
          </cell>
          <cell r="N2043">
            <v>4.45</v>
          </cell>
          <cell r="P2043">
            <v>38331</v>
          </cell>
          <cell r="Q2043">
            <v>29.456669999999999</v>
          </cell>
        </row>
        <row r="2044">
          <cell r="D2044">
            <v>38330</v>
          </cell>
          <cell r="E2044">
            <v>20.76</v>
          </cell>
          <cell r="G2044">
            <v>38330</v>
          </cell>
          <cell r="H2044">
            <v>22.7</v>
          </cell>
          <cell r="J2044">
            <v>38328</v>
          </cell>
          <cell r="K2044">
            <v>17.559999999999999</v>
          </cell>
          <cell r="M2044">
            <v>38288</v>
          </cell>
          <cell r="N2044">
            <v>4</v>
          </cell>
          <cell r="P2044">
            <v>38330</v>
          </cell>
          <cell r="Q2044">
            <v>29.84667</v>
          </cell>
        </row>
        <row r="2045">
          <cell r="D2045">
            <v>38329</v>
          </cell>
          <cell r="E2045">
            <v>21.17</v>
          </cell>
          <cell r="G2045">
            <v>38329</v>
          </cell>
          <cell r="H2045">
            <v>22.64</v>
          </cell>
          <cell r="J2045">
            <v>38327</v>
          </cell>
          <cell r="K2045">
            <v>17.649999999999999</v>
          </cell>
          <cell r="M2045">
            <v>38287</v>
          </cell>
          <cell r="N2045">
            <v>3.75</v>
          </cell>
          <cell r="P2045">
            <v>38329</v>
          </cell>
          <cell r="Q2045">
            <v>30.573329999999999</v>
          </cell>
        </row>
        <row r="2046">
          <cell r="D2046">
            <v>38328</v>
          </cell>
          <cell r="E2046">
            <v>21.01</v>
          </cell>
          <cell r="G2046">
            <v>38328</v>
          </cell>
          <cell r="H2046">
            <v>22.45</v>
          </cell>
          <cell r="J2046">
            <v>38324</v>
          </cell>
          <cell r="K2046">
            <v>18.658999999999999</v>
          </cell>
          <cell r="M2046">
            <v>38286</v>
          </cell>
          <cell r="N2046">
            <v>4</v>
          </cell>
          <cell r="P2046">
            <v>38328</v>
          </cell>
          <cell r="Q2046">
            <v>29.87</v>
          </cell>
        </row>
        <row r="2047">
          <cell r="D2047">
            <v>38327</v>
          </cell>
          <cell r="E2047">
            <v>22.12</v>
          </cell>
          <cell r="G2047">
            <v>38327</v>
          </cell>
          <cell r="H2047">
            <v>22.8</v>
          </cell>
          <cell r="J2047">
            <v>38323</v>
          </cell>
          <cell r="K2047">
            <v>19.25</v>
          </cell>
          <cell r="M2047">
            <v>38285</v>
          </cell>
          <cell r="N2047">
            <v>4</v>
          </cell>
          <cell r="P2047">
            <v>38327</v>
          </cell>
          <cell r="Q2047">
            <v>29.94</v>
          </cell>
        </row>
        <row r="2048">
          <cell r="D2048">
            <v>38324</v>
          </cell>
          <cell r="E2048">
            <v>20.75</v>
          </cell>
          <cell r="G2048">
            <v>38324</v>
          </cell>
          <cell r="H2048">
            <v>22.55</v>
          </cell>
          <cell r="J2048">
            <v>38322</v>
          </cell>
          <cell r="K2048">
            <v>18.899999999999999</v>
          </cell>
          <cell r="M2048">
            <v>38282</v>
          </cell>
          <cell r="N2048">
            <v>4.25</v>
          </cell>
          <cell r="P2048">
            <v>38324</v>
          </cell>
          <cell r="Q2048">
            <v>30.66667</v>
          </cell>
        </row>
        <row r="2049">
          <cell r="D2049">
            <v>38323</v>
          </cell>
          <cell r="E2049">
            <v>21.33</v>
          </cell>
          <cell r="G2049">
            <v>38323</v>
          </cell>
          <cell r="H2049">
            <v>22.02</v>
          </cell>
          <cell r="J2049">
            <v>38321</v>
          </cell>
          <cell r="K2049">
            <v>18.2</v>
          </cell>
          <cell r="M2049">
            <v>38281</v>
          </cell>
          <cell r="N2049">
            <v>3.85</v>
          </cell>
          <cell r="P2049">
            <v>38323</v>
          </cell>
          <cell r="Q2049">
            <v>30.95</v>
          </cell>
        </row>
        <row r="2050">
          <cell r="D2050">
            <v>38322</v>
          </cell>
          <cell r="E2050">
            <v>21.24</v>
          </cell>
          <cell r="G2050">
            <v>38322</v>
          </cell>
          <cell r="H2050">
            <v>21.71</v>
          </cell>
          <cell r="J2050">
            <v>38320</v>
          </cell>
          <cell r="K2050">
            <v>18.18</v>
          </cell>
          <cell r="M2050">
            <v>38280</v>
          </cell>
          <cell r="N2050">
            <v>3.79</v>
          </cell>
          <cell r="P2050">
            <v>38322</v>
          </cell>
          <cell r="Q2050">
            <v>29.63</v>
          </cell>
        </row>
        <row r="2051">
          <cell r="D2051">
            <v>38321</v>
          </cell>
          <cell r="E2051">
            <v>18.89</v>
          </cell>
          <cell r="G2051">
            <v>38321</v>
          </cell>
          <cell r="H2051">
            <v>21.06</v>
          </cell>
          <cell r="J2051">
            <v>38317</v>
          </cell>
          <cell r="K2051">
            <v>18.809999999999999</v>
          </cell>
          <cell r="M2051">
            <v>38279</v>
          </cell>
          <cell r="N2051">
            <v>3.79</v>
          </cell>
          <cell r="P2051">
            <v>38321</v>
          </cell>
          <cell r="Q2051">
            <v>29.656669999999998</v>
          </cell>
        </row>
        <row r="2052">
          <cell r="D2052">
            <v>38320</v>
          </cell>
          <cell r="E2052">
            <v>19.27</v>
          </cell>
          <cell r="G2052">
            <v>38320</v>
          </cell>
          <cell r="H2052">
            <v>20.55</v>
          </cell>
          <cell r="J2052">
            <v>38315</v>
          </cell>
          <cell r="K2052">
            <v>18.989999999999998</v>
          </cell>
          <cell r="M2052">
            <v>38278</v>
          </cell>
          <cell r="N2052">
            <v>3.82</v>
          </cell>
          <cell r="P2052">
            <v>38320</v>
          </cell>
          <cell r="Q2052">
            <v>28.976669999999999</v>
          </cell>
        </row>
        <row r="2053">
          <cell r="D2053">
            <v>38317</v>
          </cell>
          <cell r="E2053">
            <v>19.52</v>
          </cell>
          <cell r="G2053">
            <v>38317</v>
          </cell>
          <cell r="H2053">
            <v>20.18</v>
          </cell>
          <cell r="J2053">
            <v>38314</v>
          </cell>
          <cell r="K2053">
            <v>16.579999999999998</v>
          </cell>
          <cell r="M2053">
            <v>38275</v>
          </cell>
          <cell r="N2053">
            <v>3.71</v>
          </cell>
          <cell r="P2053">
            <v>38317</v>
          </cell>
          <cell r="Q2053">
            <v>29.32</v>
          </cell>
        </row>
        <row r="2054">
          <cell r="D2054">
            <v>38315</v>
          </cell>
          <cell r="E2054">
            <v>19.451000000000001</v>
          </cell>
          <cell r="G2054">
            <v>38315</v>
          </cell>
          <cell r="H2054">
            <v>20.149999999999999</v>
          </cell>
          <cell r="J2054">
            <v>38313</v>
          </cell>
          <cell r="K2054">
            <v>17.100000000000001</v>
          </cell>
          <cell r="M2054">
            <v>38274</v>
          </cell>
          <cell r="N2054">
            <v>3.7</v>
          </cell>
          <cell r="P2054">
            <v>38315</v>
          </cell>
          <cell r="Q2054">
            <v>29.313330000000001</v>
          </cell>
        </row>
        <row r="2055">
          <cell r="D2055">
            <v>38314</v>
          </cell>
          <cell r="E2055">
            <v>19.2</v>
          </cell>
          <cell r="G2055">
            <v>38314</v>
          </cell>
          <cell r="H2055">
            <v>20.079999999999998</v>
          </cell>
          <cell r="J2055">
            <v>38310</v>
          </cell>
          <cell r="K2055">
            <v>16.66</v>
          </cell>
          <cell r="M2055">
            <v>38273</v>
          </cell>
          <cell r="N2055">
            <v>3.71</v>
          </cell>
          <cell r="P2055">
            <v>38314</v>
          </cell>
          <cell r="Q2055">
            <v>28.91667</v>
          </cell>
        </row>
        <row r="2056">
          <cell r="D2056">
            <v>38313</v>
          </cell>
          <cell r="E2056">
            <v>19.21</v>
          </cell>
          <cell r="G2056">
            <v>38313</v>
          </cell>
          <cell r="H2056">
            <v>20.8</v>
          </cell>
          <cell r="J2056">
            <v>38309</v>
          </cell>
          <cell r="K2056">
            <v>16.149999999999999</v>
          </cell>
          <cell r="M2056">
            <v>38272</v>
          </cell>
          <cell r="N2056">
            <v>3.6</v>
          </cell>
          <cell r="P2056">
            <v>38313</v>
          </cell>
          <cell r="Q2056">
            <v>28.803329999999999</v>
          </cell>
        </row>
        <row r="2057">
          <cell r="D2057">
            <v>38310</v>
          </cell>
          <cell r="E2057">
            <v>19.079999999999998</v>
          </cell>
          <cell r="G2057">
            <v>38310</v>
          </cell>
          <cell r="H2057">
            <v>20.63</v>
          </cell>
          <cell r="J2057">
            <v>38308</v>
          </cell>
          <cell r="K2057">
            <v>16.52</v>
          </cell>
          <cell r="M2057">
            <v>38271</v>
          </cell>
          <cell r="N2057">
            <v>3.52</v>
          </cell>
          <cell r="P2057">
            <v>38310</v>
          </cell>
          <cell r="Q2057">
            <v>28.336670000000002</v>
          </cell>
        </row>
        <row r="2058">
          <cell r="D2058">
            <v>38309</v>
          </cell>
          <cell r="E2058">
            <v>19.64</v>
          </cell>
          <cell r="G2058">
            <v>38309</v>
          </cell>
          <cell r="H2058">
            <v>21.5</v>
          </cell>
          <cell r="J2058">
            <v>38307</v>
          </cell>
          <cell r="K2058">
            <v>17.510000000000002</v>
          </cell>
          <cell r="M2058">
            <v>38268</v>
          </cell>
          <cell r="N2058">
            <v>3.5</v>
          </cell>
          <cell r="P2058">
            <v>38309</v>
          </cell>
          <cell r="Q2058">
            <v>28.35</v>
          </cell>
        </row>
        <row r="2059">
          <cell r="D2059">
            <v>38308</v>
          </cell>
          <cell r="E2059">
            <v>19.559999999999999</v>
          </cell>
          <cell r="G2059">
            <v>38308</v>
          </cell>
          <cell r="H2059">
            <v>21.41</v>
          </cell>
          <cell r="J2059">
            <v>38306</v>
          </cell>
          <cell r="K2059">
            <v>17.57</v>
          </cell>
          <cell r="M2059">
            <v>38267</v>
          </cell>
          <cell r="N2059">
            <v>3.51</v>
          </cell>
          <cell r="P2059">
            <v>38308</v>
          </cell>
          <cell r="Q2059">
            <v>29.113330000000001</v>
          </cell>
        </row>
        <row r="2060">
          <cell r="D2060">
            <v>38307</v>
          </cell>
          <cell r="E2060">
            <v>18.39</v>
          </cell>
          <cell r="G2060">
            <v>38307</v>
          </cell>
          <cell r="H2060">
            <v>20.93</v>
          </cell>
          <cell r="J2060">
            <v>38303</v>
          </cell>
          <cell r="K2060">
            <v>16.149999999999999</v>
          </cell>
          <cell r="M2060">
            <v>38266</v>
          </cell>
          <cell r="N2060">
            <v>3.65</v>
          </cell>
          <cell r="P2060">
            <v>38307</v>
          </cell>
          <cell r="Q2060">
            <v>27.276669999999999</v>
          </cell>
        </row>
        <row r="2061">
          <cell r="D2061">
            <v>38306</v>
          </cell>
          <cell r="E2061">
            <v>18.21</v>
          </cell>
          <cell r="G2061">
            <v>38306</v>
          </cell>
          <cell r="H2061">
            <v>20.55</v>
          </cell>
          <cell r="J2061">
            <v>38302</v>
          </cell>
          <cell r="K2061">
            <v>15.95</v>
          </cell>
          <cell r="M2061">
            <v>38265</v>
          </cell>
          <cell r="N2061">
            <v>3.6</v>
          </cell>
          <cell r="P2061">
            <v>38306</v>
          </cell>
          <cell r="Q2061">
            <v>27.52</v>
          </cell>
        </row>
        <row r="2062">
          <cell r="D2062">
            <v>38303</v>
          </cell>
          <cell r="E2062">
            <v>17.96</v>
          </cell>
          <cell r="G2062">
            <v>38303</v>
          </cell>
          <cell r="H2062">
            <v>20.16</v>
          </cell>
          <cell r="J2062">
            <v>38301</v>
          </cell>
          <cell r="K2062">
            <v>16.440000000000001</v>
          </cell>
          <cell r="M2062">
            <v>38264</v>
          </cell>
          <cell r="N2062">
            <v>3.59</v>
          </cell>
          <cell r="P2062">
            <v>38303</v>
          </cell>
          <cell r="Q2062">
            <v>27.66667</v>
          </cell>
        </row>
        <row r="2063">
          <cell r="D2063">
            <v>38302</v>
          </cell>
          <cell r="E2063">
            <v>18.59</v>
          </cell>
          <cell r="G2063">
            <v>38302</v>
          </cell>
          <cell r="H2063">
            <v>20.71</v>
          </cell>
          <cell r="J2063">
            <v>38300</v>
          </cell>
          <cell r="K2063">
            <v>16.45</v>
          </cell>
          <cell r="M2063">
            <v>38261</v>
          </cell>
          <cell r="N2063">
            <v>3.59</v>
          </cell>
          <cell r="P2063">
            <v>38302</v>
          </cell>
          <cell r="Q2063">
            <v>28</v>
          </cell>
        </row>
        <row r="2064">
          <cell r="D2064">
            <v>38301</v>
          </cell>
          <cell r="E2064">
            <v>19.21</v>
          </cell>
          <cell r="G2064">
            <v>38301</v>
          </cell>
          <cell r="H2064">
            <v>19.899999999999999</v>
          </cell>
          <cell r="J2064">
            <v>38299</v>
          </cell>
          <cell r="K2064">
            <v>17.149999999999999</v>
          </cell>
          <cell r="M2064">
            <v>38260</v>
          </cell>
          <cell r="N2064">
            <v>3.59</v>
          </cell>
          <cell r="P2064">
            <v>38301</v>
          </cell>
          <cell r="Q2064">
            <v>27.113330000000001</v>
          </cell>
        </row>
        <row r="2065">
          <cell r="D2065">
            <v>38300</v>
          </cell>
          <cell r="E2065">
            <v>18.940000000000001</v>
          </cell>
          <cell r="G2065">
            <v>38300</v>
          </cell>
          <cell r="H2065">
            <v>19.600000000000001</v>
          </cell>
          <cell r="J2065">
            <v>38296</v>
          </cell>
          <cell r="K2065">
            <v>15.85</v>
          </cell>
          <cell r="M2065">
            <v>38259</v>
          </cell>
          <cell r="N2065">
            <v>3.53</v>
          </cell>
          <cell r="P2065">
            <v>38300</v>
          </cell>
          <cell r="Q2065">
            <v>26.303329999999999</v>
          </cell>
        </row>
        <row r="2066">
          <cell r="D2066">
            <v>38299</v>
          </cell>
          <cell r="E2066">
            <v>19</v>
          </cell>
          <cell r="G2066">
            <v>38299</v>
          </cell>
          <cell r="H2066">
            <v>18.899999999999999</v>
          </cell>
          <cell r="J2066">
            <v>38295</v>
          </cell>
          <cell r="K2066">
            <v>15.37</v>
          </cell>
          <cell r="M2066">
            <v>38258</v>
          </cell>
          <cell r="N2066">
            <v>3.5</v>
          </cell>
          <cell r="P2066">
            <v>38299</v>
          </cell>
          <cell r="Q2066">
            <v>25.98667</v>
          </cell>
        </row>
        <row r="2067">
          <cell r="D2067">
            <v>38296</v>
          </cell>
          <cell r="E2067">
            <v>18.77</v>
          </cell>
          <cell r="G2067">
            <v>38296</v>
          </cell>
          <cell r="H2067">
            <v>20.13</v>
          </cell>
          <cell r="J2067">
            <v>38294</v>
          </cell>
          <cell r="K2067">
            <v>14.65</v>
          </cell>
          <cell r="M2067">
            <v>38257</v>
          </cell>
          <cell r="N2067">
            <v>3.61</v>
          </cell>
          <cell r="P2067">
            <v>38296</v>
          </cell>
          <cell r="Q2067">
            <v>25.91667</v>
          </cell>
        </row>
        <row r="2068">
          <cell r="D2068">
            <v>38295</v>
          </cell>
          <cell r="E2068">
            <v>19.34</v>
          </cell>
          <cell r="G2068">
            <v>38295</v>
          </cell>
          <cell r="H2068">
            <v>21.39</v>
          </cell>
          <cell r="J2068">
            <v>38293</v>
          </cell>
          <cell r="K2068">
            <v>14.75</v>
          </cell>
          <cell r="M2068">
            <v>38254</v>
          </cell>
          <cell r="N2068">
            <v>3.55</v>
          </cell>
          <cell r="P2068">
            <v>38295</v>
          </cell>
          <cell r="Q2068">
            <v>29.36</v>
          </cell>
        </row>
        <row r="2069">
          <cell r="D2069">
            <v>38294</v>
          </cell>
          <cell r="E2069">
            <v>18.239999999999998</v>
          </cell>
          <cell r="G2069">
            <v>38294</v>
          </cell>
          <cell r="H2069">
            <v>21.31</v>
          </cell>
          <cell r="J2069">
            <v>38292</v>
          </cell>
          <cell r="K2069">
            <v>14.7</v>
          </cell>
          <cell r="M2069">
            <v>38253</v>
          </cell>
          <cell r="N2069">
            <v>3.64</v>
          </cell>
          <cell r="P2069">
            <v>38294</v>
          </cell>
          <cell r="Q2069">
            <v>28.17333</v>
          </cell>
        </row>
        <row r="2070">
          <cell r="D2070">
            <v>38293</v>
          </cell>
          <cell r="E2070">
            <v>17.850000000000001</v>
          </cell>
          <cell r="G2070">
            <v>38293</v>
          </cell>
          <cell r="H2070">
            <v>20.56</v>
          </cell>
          <cell r="J2070">
            <v>38289</v>
          </cell>
          <cell r="K2070">
            <v>15.04</v>
          </cell>
          <cell r="M2070">
            <v>38252</v>
          </cell>
          <cell r="N2070">
            <v>3.55</v>
          </cell>
          <cell r="P2070">
            <v>38293</v>
          </cell>
          <cell r="Q2070">
            <v>31.32</v>
          </cell>
        </row>
        <row r="2071">
          <cell r="D2071">
            <v>38292</v>
          </cell>
          <cell r="E2071">
            <v>17.5</v>
          </cell>
          <cell r="G2071">
            <v>38292</v>
          </cell>
          <cell r="H2071">
            <v>20.36</v>
          </cell>
          <cell r="J2071">
            <v>38288</v>
          </cell>
          <cell r="K2071">
            <v>14.79</v>
          </cell>
          <cell r="M2071">
            <v>38251</v>
          </cell>
          <cell r="N2071">
            <v>3.5609999999999999</v>
          </cell>
          <cell r="P2071">
            <v>38292</v>
          </cell>
          <cell r="Q2071">
            <v>30.966670000000001</v>
          </cell>
        </row>
        <row r="2072">
          <cell r="D2072">
            <v>38289</v>
          </cell>
          <cell r="E2072">
            <v>17.059999999999999</v>
          </cell>
          <cell r="G2072">
            <v>38289</v>
          </cell>
          <cell r="H2072">
            <v>20.75</v>
          </cell>
          <cell r="J2072">
            <v>38287</v>
          </cell>
          <cell r="K2072">
            <v>14.89</v>
          </cell>
          <cell r="M2072">
            <v>38250</v>
          </cell>
          <cell r="N2072">
            <v>3.61</v>
          </cell>
          <cell r="P2072">
            <v>38289</v>
          </cell>
          <cell r="Q2072">
            <v>29.4</v>
          </cell>
        </row>
        <row r="2073">
          <cell r="D2073">
            <v>38288</v>
          </cell>
          <cell r="E2073">
            <v>17.378</v>
          </cell>
          <cell r="G2073">
            <v>38288</v>
          </cell>
          <cell r="H2073">
            <v>24.5</v>
          </cell>
          <cell r="J2073">
            <v>38286</v>
          </cell>
          <cell r="K2073">
            <v>14</v>
          </cell>
          <cell r="M2073">
            <v>38247</v>
          </cell>
          <cell r="N2073">
            <v>3.7</v>
          </cell>
          <cell r="P2073">
            <v>38288</v>
          </cell>
          <cell r="Q2073">
            <v>29.383330000000001</v>
          </cell>
        </row>
        <row r="2074">
          <cell r="D2074">
            <v>38287</v>
          </cell>
          <cell r="E2074">
            <v>18.149999999999999</v>
          </cell>
          <cell r="G2074">
            <v>38287</v>
          </cell>
          <cell r="H2074">
            <v>25</v>
          </cell>
          <cell r="J2074">
            <v>38285</v>
          </cell>
          <cell r="K2074">
            <v>14.1</v>
          </cell>
          <cell r="M2074">
            <v>38246</v>
          </cell>
          <cell r="N2074">
            <v>3.62</v>
          </cell>
          <cell r="P2074">
            <v>38287</v>
          </cell>
          <cell r="Q2074">
            <v>29.886669999999999</v>
          </cell>
        </row>
        <row r="2075">
          <cell r="D2075">
            <v>38286</v>
          </cell>
          <cell r="E2075">
            <v>16.53</v>
          </cell>
          <cell r="G2075">
            <v>38286</v>
          </cell>
          <cell r="H2075">
            <v>23.71</v>
          </cell>
          <cell r="J2075">
            <v>38282</v>
          </cell>
          <cell r="K2075">
            <v>13.9</v>
          </cell>
          <cell r="M2075">
            <v>38245</v>
          </cell>
          <cell r="N2075">
            <v>3.58</v>
          </cell>
          <cell r="P2075">
            <v>38286</v>
          </cell>
          <cell r="Q2075">
            <v>28.696670000000001</v>
          </cell>
        </row>
        <row r="2076">
          <cell r="D2076">
            <v>38285</v>
          </cell>
          <cell r="E2076">
            <v>16.260000000000002</v>
          </cell>
          <cell r="G2076">
            <v>38285</v>
          </cell>
          <cell r="H2076">
            <v>24.57</v>
          </cell>
          <cell r="J2076">
            <v>38281</v>
          </cell>
          <cell r="K2076">
            <v>14.15</v>
          </cell>
          <cell r="M2076">
            <v>38244</v>
          </cell>
          <cell r="N2076">
            <v>3.6</v>
          </cell>
          <cell r="P2076">
            <v>38285</v>
          </cell>
          <cell r="Q2076">
            <v>28.156669999999998</v>
          </cell>
        </row>
        <row r="2077">
          <cell r="D2077">
            <v>38282</v>
          </cell>
          <cell r="E2077">
            <v>15.94</v>
          </cell>
          <cell r="G2077">
            <v>38282</v>
          </cell>
          <cell r="H2077">
            <v>24.3</v>
          </cell>
          <cell r="J2077">
            <v>38280</v>
          </cell>
          <cell r="K2077">
            <v>14.25</v>
          </cell>
          <cell r="M2077">
            <v>38243</v>
          </cell>
          <cell r="N2077">
            <v>3.61</v>
          </cell>
          <cell r="P2077">
            <v>38282</v>
          </cell>
          <cell r="Q2077">
            <v>28.633330000000001</v>
          </cell>
        </row>
        <row r="2078">
          <cell r="D2078">
            <v>38281</v>
          </cell>
          <cell r="E2078">
            <v>16.27</v>
          </cell>
          <cell r="G2078">
            <v>38281</v>
          </cell>
          <cell r="H2078">
            <v>25.02</v>
          </cell>
          <cell r="J2078">
            <v>38279</v>
          </cell>
          <cell r="K2078">
            <v>14.54</v>
          </cell>
          <cell r="M2078">
            <v>38240</v>
          </cell>
          <cell r="N2078">
            <v>3.6</v>
          </cell>
          <cell r="P2078">
            <v>38281</v>
          </cell>
          <cell r="Q2078">
            <v>29.85333</v>
          </cell>
        </row>
        <row r="2079">
          <cell r="D2079">
            <v>38280</v>
          </cell>
          <cell r="E2079">
            <v>15.47</v>
          </cell>
          <cell r="G2079">
            <v>38280</v>
          </cell>
          <cell r="H2079">
            <v>23.54</v>
          </cell>
          <cell r="J2079">
            <v>38278</v>
          </cell>
          <cell r="K2079">
            <v>14.76</v>
          </cell>
          <cell r="M2079">
            <v>38239</v>
          </cell>
          <cell r="N2079">
            <v>3.57</v>
          </cell>
          <cell r="P2079">
            <v>38280</v>
          </cell>
          <cell r="Q2079">
            <v>29.183330000000002</v>
          </cell>
        </row>
        <row r="2080">
          <cell r="D2080">
            <v>38279</v>
          </cell>
          <cell r="E2080">
            <v>15.25</v>
          </cell>
          <cell r="G2080">
            <v>38279</v>
          </cell>
          <cell r="H2080">
            <v>23.13</v>
          </cell>
          <cell r="J2080">
            <v>38275</v>
          </cell>
          <cell r="K2080">
            <v>14.61</v>
          </cell>
          <cell r="M2080">
            <v>38238</v>
          </cell>
          <cell r="N2080">
            <v>3.53</v>
          </cell>
          <cell r="P2080">
            <v>38279</v>
          </cell>
          <cell r="Q2080">
            <v>27.983329999999999</v>
          </cell>
        </row>
        <row r="2081">
          <cell r="D2081">
            <v>38278</v>
          </cell>
          <cell r="E2081">
            <v>15.28</v>
          </cell>
          <cell r="G2081">
            <v>38278</v>
          </cell>
          <cell r="H2081">
            <v>23.16</v>
          </cell>
          <cell r="J2081">
            <v>38274</v>
          </cell>
          <cell r="K2081">
            <v>14.67</v>
          </cell>
          <cell r="M2081">
            <v>38237</v>
          </cell>
          <cell r="N2081">
            <v>3.59</v>
          </cell>
          <cell r="P2081">
            <v>38278</v>
          </cell>
          <cell r="Q2081">
            <v>28.56</v>
          </cell>
        </row>
        <row r="2082">
          <cell r="D2082">
            <v>38275</v>
          </cell>
          <cell r="E2082">
            <v>15.6</v>
          </cell>
          <cell r="G2082">
            <v>38275</v>
          </cell>
          <cell r="H2082">
            <v>22.02</v>
          </cell>
          <cell r="J2082">
            <v>38273</v>
          </cell>
          <cell r="K2082">
            <v>14.71</v>
          </cell>
          <cell r="M2082">
            <v>38233</v>
          </cell>
          <cell r="N2082">
            <v>3.6</v>
          </cell>
          <cell r="P2082">
            <v>38275</v>
          </cell>
          <cell r="Q2082">
            <v>27.25</v>
          </cell>
        </row>
        <row r="2083">
          <cell r="D2083">
            <v>38274</v>
          </cell>
          <cell r="E2083">
            <v>16.2</v>
          </cell>
          <cell r="G2083">
            <v>38274</v>
          </cell>
          <cell r="H2083">
            <v>22.38</v>
          </cell>
          <cell r="J2083">
            <v>38272</v>
          </cell>
          <cell r="K2083">
            <v>14.54</v>
          </cell>
          <cell r="M2083">
            <v>38232</v>
          </cell>
          <cell r="N2083">
            <v>3.6</v>
          </cell>
          <cell r="P2083">
            <v>38274</v>
          </cell>
          <cell r="Q2083">
            <v>26.6</v>
          </cell>
        </row>
        <row r="2084">
          <cell r="D2084">
            <v>38273</v>
          </cell>
          <cell r="E2084">
            <v>16.54</v>
          </cell>
          <cell r="G2084">
            <v>38273</v>
          </cell>
          <cell r="H2084">
            <v>22.39</v>
          </cell>
          <cell r="J2084">
            <v>38271</v>
          </cell>
          <cell r="K2084">
            <v>14.63</v>
          </cell>
          <cell r="M2084">
            <v>38231</v>
          </cell>
          <cell r="N2084">
            <v>3.75</v>
          </cell>
          <cell r="P2084">
            <v>38273</v>
          </cell>
          <cell r="Q2084">
            <v>25.973330000000001</v>
          </cell>
        </row>
        <row r="2085">
          <cell r="D2085">
            <v>38272</v>
          </cell>
          <cell r="E2085">
            <v>16.350000000000001</v>
          </cell>
          <cell r="G2085">
            <v>38272</v>
          </cell>
          <cell r="H2085">
            <v>22.56</v>
          </cell>
          <cell r="J2085">
            <v>38268</v>
          </cell>
          <cell r="K2085">
            <v>13.79</v>
          </cell>
          <cell r="M2085">
            <v>38230</v>
          </cell>
          <cell r="N2085">
            <v>3.65</v>
          </cell>
          <cell r="P2085">
            <v>38272</v>
          </cell>
          <cell r="Q2085">
            <v>25.656669999999998</v>
          </cell>
        </row>
        <row r="2086">
          <cell r="D2086">
            <v>38271</v>
          </cell>
          <cell r="E2086">
            <v>16.61</v>
          </cell>
          <cell r="G2086">
            <v>38271</v>
          </cell>
          <cell r="H2086">
            <v>22.48</v>
          </cell>
          <cell r="J2086">
            <v>38267</v>
          </cell>
          <cell r="K2086">
            <v>13.76</v>
          </cell>
          <cell r="M2086">
            <v>38229</v>
          </cell>
          <cell r="N2086">
            <v>3.76</v>
          </cell>
          <cell r="P2086">
            <v>38271</v>
          </cell>
          <cell r="Q2086">
            <v>25.38</v>
          </cell>
        </row>
        <row r="2087">
          <cell r="D2087">
            <v>38268</v>
          </cell>
          <cell r="E2087">
            <v>17.170000000000002</v>
          </cell>
          <cell r="G2087">
            <v>38268</v>
          </cell>
          <cell r="H2087">
            <v>23.04</v>
          </cell>
          <cell r="J2087">
            <v>38266</v>
          </cell>
          <cell r="K2087">
            <v>14.09</v>
          </cell>
          <cell r="M2087">
            <v>38226</v>
          </cell>
          <cell r="N2087">
            <v>4.12</v>
          </cell>
          <cell r="P2087">
            <v>38268</v>
          </cell>
          <cell r="Q2087">
            <v>25.23667</v>
          </cell>
        </row>
        <row r="2088">
          <cell r="D2088">
            <v>38267</v>
          </cell>
          <cell r="E2088">
            <v>17.89</v>
          </cell>
          <cell r="G2088">
            <v>38267</v>
          </cell>
          <cell r="H2088">
            <v>24.2</v>
          </cell>
          <cell r="J2088">
            <v>38265</v>
          </cell>
          <cell r="K2088">
            <v>13.9</v>
          </cell>
          <cell r="M2088">
            <v>38225</v>
          </cell>
          <cell r="N2088">
            <v>4.49</v>
          </cell>
          <cell r="P2088">
            <v>38267</v>
          </cell>
          <cell r="Q2088">
            <v>25.786670000000001</v>
          </cell>
        </row>
        <row r="2089">
          <cell r="D2089">
            <v>38266</v>
          </cell>
          <cell r="E2089">
            <v>18.55</v>
          </cell>
          <cell r="G2089">
            <v>38266</v>
          </cell>
          <cell r="H2089">
            <v>24.83</v>
          </cell>
          <cell r="J2089">
            <v>38264</v>
          </cell>
          <cell r="K2089">
            <v>15.141</v>
          </cell>
          <cell r="M2089">
            <v>38224</v>
          </cell>
          <cell r="N2089">
            <v>4.18</v>
          </cell>
          <cell r="P2089">
            <v>38266</v>
          </cell>
          <cell r="Q2089">
            <v>25.466670000000001</v>
          </cell>
        </row>
        <row r="2090">
          <cell r="D2090">
            <v>38265</v>
          </cell>
          <cell r="E2090">
            <v>18.32</v>
          </cell>
          <cell r="G2090">
            <v>38265</v>
          </cell>
          <cell r="H2090">
            <v>24.74</v>
          </cell>
          <cell r="J2090">
            <v>38261</v>
          </cell>
          <cell r="K2090">
            <v>15.46</v>
          </cell>
          <cell r="M2090">
            <v>38223</v>
          </cell>
          <cell r="N2090">
            <v>4.12</v>
          </cell>
          <cell r="P2090">
            <v>38265</v>
          </cell>
          <cell r="Q2090">
            <v>24.93167</v>
          </cell>
        </row>
        <row r="2091">
          <cell r="D2091">
            <v>38264</v>
          </cell>
          <cell r="E2091">
            <v>18.61</v>
          </cell>
          <cell r="G2091">
            <v>38264</v>
          </cell>
          <cell r="H2091">
            <v>25.37</v>
          </cell>
          <cell r="J2091">
            <v>38260</v>
          </cell>
          <cell r="K2091">
            <v>14.06</v>
          </cell>
          <cell r="M2091">
            <v>38222</v>
          </cell>
          <cell r="N2091">
            <v>4.5</v>
          </cell>
          <cell r="P2091">
            <v>38264</v>
          </cell>
          <cell r="Q2091">
            <v>25.456669999999999</v>
          </cell>
        </row>
        <row r="2092">
          <cell r="D2092">
            <v>38261</v>
          </cell>
          <cell r="E2092">
            <v>18.14</v>
          </cell>
          <cell r="G2092">
            <v>38261</v>
          </cell>
          <cell r="H2092">
            <v>24.31</v>
          </cell>
          <cell r="J2092">
            <v>38259</v>
          </cell>
          <cell r="K2092">
            <v>13.8</v>
          </cell>
          <cell r="M2092">
            <v>38219</v>
          </cell>
          <cell r="N2092">
            <v>4.5</v>
          </cell>
          <cell r="P2092">
            <v>38261</v>
          </cell>
          <cell r="Q2092">
            <v>24.6</v>
          </cell>
        </row>
        <row r="2093">
          <cell r="D2093">
            <v>38260</v>
          </cell>
          <cell r="E2093">
            <v>17.8</v>
          </cell>
          <cell r="G2093">
            <v>38260</v>
          </cell>
          <cell r="H2093">
            <v>23.5</v>
          </cell>
          <cell r="J2093">
            <v>38258</v>
          </cell>
          <cell r="K2093">
            <v>13.64</v>
          </cell>
          <cell r="M2093">
            <v>38218</v>
          </cell>
          <cell r="N2093">
            <v>4.5</v>
          </cell>
          <cell r="P2093">
            <v>38260</v>
          </cell>
          <cell r="Q2093">
            <v>25.446670000000001</v>
          </cell>
        </row>
        <row r="2094">
          <cell r="D2094">
            <v>38259</v>
          </cell>
          <cell r="E2094">
            <v>17.47</v>
          </cell>
          <cell r="G2094">
            <v>38259</v>
          </cell>
          <cell r="H2094">
            <v>22.71</v>
          </cell>
          <cell r="J2094">
            <v>38257</v>
          </cell>
          <cell r="K2094">
            <v>13.84</v>
          </cell>
          <cell r="M2094">
            <v>38217</v>
          </cell>
          <cell r="N2094">
            <v>4.6100000000000003</v>
          </cell>
          <cell r="P2094">
            <v>38259</v>
          </cell>
          <cell r="Q2094">
            <v>25.566669999999998</v>
          </cell>
        </row>
        <row r="2095">
          <cell r="D2095">
            <v>38258</v>
          </cell>
          <cell r="E2095">
            <v>18.489999999999998</v>
          </cell>
          <cell r="G2095">
            <v>38258</v>
          </cell>
          <cell r="H2095">
            <v>23.4</v>
          </cell>
          <cell r="J2095">
            <v>38254</v>
          </cell>
          <cell r="K2095">
            <v>16.239999999999998</v>
          </cell>
          <cell r="M2095">
            <v>38216</v>
          </cell>
          <cell r="N2095">
            <v>4.5599999999999996</v>
          </cell>
          <cell r="P2095">
            <v>38258</v>
          </cell>
          <cell r="Q2095">
            <v>25.66</v>
          </cell>
        </row>
        <row r="2096">
          <cell r="D2096">
            <v>38257</v>
          </cell>
          <cell r="E2096">
            <v>19.088999999999999</v>
          </cell>
          <cell r="G2096">
            <v>38257</v>
          </cell>
          <cell r="H2096">
            <v>23.3</v>
          </cell>
          <cell r="J2096">
            <v>38253</v>
          </cell>
          <cell r="K2096">
            <v>15.98</v>
          </cell>
          <cell r="M2096">
            <v>38215</v>
          </cell>
          <cell r="N2096">
            <v>4.7</v>
          </cell>
          <cell r="P2096">
            <v>38257</v>
          </cell>
          <cell r="Q2096">
            <v>25.04</v>
          </cell>
        </row>
        <row r="2097">
          <cell r="D2097">
            <v>38254</v>
          </cell>
          <cell r="E2097">
            <v>18.47</v>
          </cell>
          <cell r="G2097">
            <v>38254</v>
          </cell>
          <cell r="H2097">
            <v>24.27</v>
          </cell>
          <cell r="J2097">
            <v>38252</v>
          </cell>
          <cell r="K2097">
            <v>14.82</v>
          </cell>
          <cell r="M2097">
            <v>38212</v>
          </cell>
          <cell r="N2097">
            <v>4.7</v>
          </cell>
          <cell r="P2097">
            <v>38254</v>
          </cell>
          <cell r="Q2097">
            <v>24.856670000000001</v>
          </cell>
        </row>
        <row r="2098">
          <cell r="D2098">
            <v>38253</v>
          </cell>
          <cell r="E2098">
            <v>18.98</v>
          </cell>
          <cell r="G2098">
            <v>38253</v>
          </cell>
          <cell r="H2098">
            <v>22.7</v>
          </cell>
          <cell r="J2098">
            <v>38251</v>
          </cell>
          <cell r="K2098">
            <v>14.95</v>
          </cell>
          <cell r="M2098">
            <v>38211</v>
          </cell>
          <cell r="N2098">
            <v>4.7300000000000004</v>
          </cell>
          <cell r="P2098">
            <v>38253</v>
          </cell>
          <cell r="Q2098">
            <v>24.803329999999999</v>
          </cell>
        </row>
        <row r="2099">
          <cell r="D2099">
            <v>38252</v>
          </cell>
          <cell r="E2099">
            <v>19.03</v>
          </cell>
          <cell r="G2099">
            <v>38252</v>
          </cell>
          <cell r="H2099">
            <v>22.18</v>
          </cell>
          <cell r="J2099">
            <v>38250</v>
          </cell>
          <cell r="K2099">
            <v>14.85</v>
          </cell>
          <cell r="M2099">
            <v>38210</v>
          </cell>
          <cell r="N2099">
            <v>4.75</v>
          </cell>
          <cell r="P2099">
            <v>38252</v>
          </cell>
          <cell r="Q2099">
            <v>24.533329999999999</v>
          </cell>
        </row>
        <row r="2100">
          <cell r="D2100">
            <v>38251</v>
          </cell>
          <cell r="E2100">
            <v>19.07</v>
          </cell>
          <cell r="G2100">
            <v>38251</v>
          </cell>
          <cell r="H2100">
            <v>22.91</v>
          </cell>
          <cell r="J2100">
            <v>38247</v>
          </cell>
          <cell r="K2100">
            <v>14.84</v>
          </cell>
          <cell r="M2100">
            <v>38209</v>
          </cell>
          <cell r="N2100">
            <v>4.79</v>
          </cell>
          <cell r="P2100">
            <v>38251</v>
          </cell>
          <cell r="Q2100">
            <v>25.483329999999999</v>
          </cell>
        </row>
        <row r="2101">
          <cell r="D2101">
            <v>38250</v>
          </cell>
          <cell r="E2101">
            <v>18.420000000000002</v>
          </cell>
          <cell r="G2101">
            <v>38250</v>
          </cell>
          <cell r="H2101">
            <v>21.82</v>
          </cell>
          <cell r="J2101">
            <v>38246</v>
          </cell>
          <cell r="K2101">
            <v>14.85</v>
          </cell>
          <cell r="M2101">
            <v>38208</v>
          </cell>
          <cell r="N2101">
            <v>4.71</v>
          </cell>
          <cell r="P2101">
            <v>38250</v>
          </cell>
          <cell r="Q2101">
            <v>24.87</v>
          </cell>
        </row>
        <row r="2102">
          <cell r="D2102">
            <v>38247</v>
          </cell>
          <cell r="E2102">
            <v>17.63</v>
          </cell>
          <cell r="G2102">
            <v>38247</v>
          </cell>
          <cell r="H2102">
            <v>22.15</v>
          </cell>
          <cell r="J2102">
            <v>38245</v>
          </cell>
          <cell r="K2102">
            <v>14.93</v>
          </cell>
          <cell r="M2102">
            <v>38205</v>
          </cell>
          <cell r="N2102">
            <v>4.7</v>
          </cell>
          <cell r="P2102">
            <v>38247</v>
          </cell>
          <cell r="Q2102">
            <v>24.436669999999999</v>
          </cell>
        </row>
        <row r="2103">
          <cell r="D2103">
            <v>38246</v>
          </cell>
          <cell r="E2103">
            <v>17.399999999999999</v>
          </cell>
          <cell r="G2103">
            <v>38246</v>
          </cell>
          <cell r="H2103">
            <v>22.69</v>
          </cell>
          <cell r="J2103">
            <v>38244</v>
          </cell>
          <cell r="K2103">
            <v>14.74</v>
          </cell>
          <cell r="M2103">
            <v>38204</v>
          </cell>
          <cell r="N2103">
            <v>4.95</v>
          </cell>
          <cell r="P2103">
            <v>38246</v>
          </cell>
          <cell r="Q2103">
            <v>24.366669999999999</v>
          </cell>
        </row>
        <row r="2104">
          <cell r="D2104">
            <v>38245</v>
          </cell>
          <cell r="E2104">
            <v>17.100000000000001</v>
          </cell>
          <cell r="G2104">
            <v>38245</v>
          </cell>
          <cell r="H2104">
            <v>22.03</v>
          </cell>
          <cell r="J2104">
            <v>38243</v>
          </cell>
          <cell r="K2104">
            <v>14.82</v>
          </cell>
          <cell r="M2104">
            <v>38203</v>
          </cell>
          <cell r="N2104">
            <v>4.91</v>
          </cell>
          <cell r="P2104">
            <v>38245</v>
          </cell>
          <cell r="Q2104">
            <v>23.343330000000002</v>
          </cell>
        </row>
        <row r="2105">
          <cell r="D2105">
            <v>38244</v>
          </cell>
          <cell r="E2105">
            <v>16.78</v>
          </cell>
          <cell r="G2105">
            <v>38244</v>
          </cell>
          <cell r="H2105">
            <v>22.43</v>
          </cell>
          <cell r="J2105">
            <v>38240</v>
          </cell>
          <cell r="K2105">
            <v>13.9</v>
          </cell>
          <cell r="M2105">
            <v>38202</v>
          </cell>
          <cell r="N2105">
            <v>4.76</v>
          </cell>
          <cell r="P2105">
            <v>38244</v>
          </cell>
          <cell r="Q2105">
            <v>22.88</v>
          </cell>
        </row>
        <row r="2106">
          <cell r="D2106">
            <v>38243</v>
          </cell>
          <cell r="E2106">
            <v>17.510000000000002</v>
          </cell>
          <cell r="G2106">
            <v>38243</v>
          </cell>
          <cell r="H2106">
            <v>22.78</v>
          </cell>
          <cell r="J2106">
            <v>38239</v>
          </cell>
          <cell r="K2106">
            <v>13.51</v>
          </cell>
          <cell r="M2106">
            <v>38201</v>
          </cell>
          <cell r="N2106">
            <v>4.7</v>
          </cell>
          <cell r="P2106">
            <v>38243</v>
          </cell>
          <cell r="Q2106">
            <v>22.773330000000001</v>
          </cell>
        </row>
        <row r="2107">
          <cell r="D2107">
            <v>38240</v>
          </cell>
          <cell r="E2107">
            <v>18.510000000000002</v>
          </cell>
          <cell r="G2107">
            <v>38240</v>
          </cell>
          <cell r="H2107">
            <v>22.54</v>
          </cell>
          <cell r="J2107">
            <v>38238</v>
          </cell>
          <cell r="K2107">
            <v>13.6</v>
          </cell>
          <cell r="M2107">
            <v>38198</v>
          </cell>
          <cell r="N2107">
            <v>4.7300000000000004</v>
          </cell>
          <cell r="P2107">
            <v>38240</v>
          </cell>
          <cell r="Q2107">
            <v>22.696670000000001</v>
          </cell>
        </row>
        <row r="2108">
          <cell r="D2108">
            <v>38239</v>
          </cell>
          <cell r="E2108">
            <v>18.190000000000001</v>
          </cell>
          <cell r="G2108">
            <v>38239</v>
          </cell>
          <cell r="H2108">
            <v>20.2</v>
          </cell>
          <cell r="J2108">
            <v>38237</v>
          </cell>
          <cell r="K2108">
            <v>13.7</v>
          </cell>
          <cell r="M2108">
            <v>38197</v>
          </cell>
          <cell r="N2108">
            <v>4.6500000000000004</v>
          </cell>
          <cell r="P2108">
            <v>38239</v>
          </cell>
          <cell r="Q2108">
            <v>22.226669999999999</v>
          </cell>
        </row>
        <row r="2109">
          <cell r="D2109">
            <v>38238</v>
          </cell>
          <cell r="E2109">
            <v>19.149999999999999</v>
          </cell>
          <cell r="G2109">
            <v>38238</v>
          </cell>
          <cell r="H2109">
            <v>19.5</v>
          </cell>
          <cell r="J2109">
            <v>38233</v>
          </cell>
          <cell r="K2109">
            <v>13.279</v>
          </cell>
          <cell r="M2109">
            <v>38196</v>
          </cell>
          <cell r="N2109">
            <v>4.6500000000000004</v>
          </cell>
          <cell r="P2109">
            <v>38238</v>
          </cell>
          <cell r="Q2109">
            <v>21.63</v>
          </cell>
        </row>
        <row r="2110">
          <cell r="D2110">
            <v>38237</v>
          </cell>
          <cell r="E2110">
            <v>15.97</v>
          </cell>
          <cell r="G2110">
            <v>38237</v>
          </cell>
          <cell r="H2110">
            <v>20.8</v>
          </cell>
          <cell r="J2110">
            <v>38232</v>
          </cell>
          <cell r="K2110">
            <v>13.1</v>
          </cell>
          <cell r="M2110">
            <v>38195</v>
          </cell>
          <cell r="N2110">
            <v>4.5999999999999996</v>
          </cell>
          <cell r="P2110">
            <v>38237</v>
          </cell>
          <cell r="Q2110">
            <v>21.816669999999998</v>
          </cell>
        </row>
        <row r="2111">
          <cell r="D2111">
            <v>38233</v>
          </cell>
          <cell r="E2111">
            <v>16.489999999999998</v>
          </cell>
          <cell r="G2111">
            <v>38233</v>
          </cell>
          <cell r="H2111">
            <v>20.61</v>
          </cell>
          <cell r="J2111">
            <v>38231</v>
          </cell>
          <cell r="K2111">
            <v>13.25</v>
          </cell>
          <cell r="M2111">
            <v>38194</v>
          </cell>
          <cell r="N2111">
            <v>4.62</v>
          </cell>
          <cell r="P2111">
            <v>38233</v>
          </cell>
          <cell r="Q2111">
            <v>20.786670000000001</v>
          </cell>
        </row>
        <row r="2112">
          <cell r="D2112">
            <v>38232</v>
          </cell>
          <cell r="E2112">
            <v>17.149999999999999</v>
          </cell>
          <cell r="G2112">
            <v>38232</v>
          </cell>
          <cell r="H2112">
            <v>20.9</v>
          </cell>
          <cell r="J2112">
            <v>38230</v>
          </cell>
          <cell r="K2112">
            <v>13.189</v>
          </cell>
          <cell r="M2112">
            <v>38191</v>
          </cell>
          <cell r="N2112">
            <v>4.76</v>
          </cell>
          <cell r="P2112">
            <v>38232</v>
          </cell>
          <cell r="Q2112">
            <v>21.07</v>
          </cell>
        </row>
        <row r="2113">
          <cell r="D2113">
            <v>38231</v>
          </cell>
          <cell r="E2113">
            <v>17.579999999999998</v>
          </cell>
          <cell r="G2113">
            <v>38231</v>
          </cell>
          <cell r="H2113">
            <v>20.29</v>
          </cell>
          <cell r="J2113">
            <v>38229</v>
          </cell>
          <cell r="K2113">
            <v>13.17</v>
          </cell>
          <cell r="M2113">
            <v>38190</v>
          </cell>
          <cell r="N2113">
            <v>4.75</v>
          </cell>
          <cell r="P2113">
            <v>38231</v>
          </cell>
          <cell r="Q2113">
            <v>20.233329999999999</v>
          </cell>
        </row>
        <row r="2114">
          <cell r="D2114">
            <v>38230</v>
          </cell>
          <cell r="E2114">
            <v>17.649999999999999</v>
          </cell>
          <cell r="G2114">
            <v>38230</v>
          </cell>
          <cell r="H2114">
            <v>19.649999999999999</v>
          </cell>
          <cell r="J2114">
            <v>38226</v>
          </cell>
          <cell r="K2114">
            <v>12.75</v>
          </cell>
          <cell r="M2114">
            <v>38189</v>
          </cell>
          <cell r="N2114">
            <v>4.7699999999999996</v>
          </cell>
          <cell r="P2114">
            <v>38230</v>
          </cell>
          <cell r="Q2114">
            <v>20.073329999999999</v>
          </cell>
        </row>
        <row r="2115">
          <cell r="D2115">
            <v>38229</v>
          </cell>
          <cell r="E2115">
            <v>20.05</v>
          </cell>
          <cell r="G2115">
            <v>38229</v>
          </cell>
          <cell r="H2115">
            <v>21.34</v>
          </cell>
          <cell r="J2115">
            <v>38225</v>
          </cell>
          <cell r="K2115">
            <v>12.55</v>
          </cell>
          <cell r="M2115">
            <v>38188</v>
          </cell>
          <cell r="N2115">
            <v>4.83</v>
          </cell>
          <cell r="P2115">
            <v>38229</v>
          </cell>
          <cell r="Q2115">
            <v>20.553329999999999</v>
          </cell>
        </row>
        <row r="2116">
          <cell r="D2116">
            <v>38226</v>
          </cell>
          <cell r="E2116">
            <v>23.05</v>
          </cell>
          <cell r="G2116">
            <v>38226</v>
          </cell>
          <cell r="H2116">
            <v>21.6</v>
          </cell>
          <cell r="J2116">
            <v>38224</v>
          </cell>
          <cell r="K2116">
            <v>12.42</v>
          </cell>
          <cell r="M2116">
            <v>38187</v>
          </cell>
          <cell r="N2116">
            <v>4.83</v>
          </cell>
          <cell r="P2116">
            <v>38226</v>
          </cell>
          <cell r="Q2116">
            <v>20.976669999999999</v>
          </cell>
        </row>
        <row r="2117">
          <cell r="D2117">
            <v>38225</v>
          </cell>
          <cell r="E2117">
            <v>23.89</v>
          </cell>
          <cell r="G2117">
            <v>38225</v>
          </cell>
          <cell r="H2117">
            <v>21.62</v>
          </cell>
          <cell r="J2117">
            <v>38223</v>
          </cell>
          <cell r="K2117">
            <v>12.1</v>
          </cell>
          <cell r="M2117">
            <v>38184</v>
          </cell>
          <cell r="N2117">
            <v>4.5599999999999996</v>
          </cell>
          <cell r="P2117">
            <v>38225</v>
          </cell>
          <cell r="Q2117">
            <v>20.793330000000001</v>
          </cell>
        </row>
        <row r="2118">
          <cell r="D2118">
            <v>38224</v>
          </cell>
          <cell r="E2118">
            <v>24.34</v>
          </cell>
          <cell r="G2118">
            <v>38224</v>
          </cell>
          <cell r="H2118">
            <v>21.79</v>
          </cell>
          <cell r="J2118">
            <v>38222</v>
          </cell>
          <cell r="K2118">
            <v>12.05</v>
          </cell>
          <cell r="M2118">
            <v>38183</v>
          </cell>
          <cell r="N2118">
            <v>4.72</v>
          </cell>
          <cell r="P2118">
            <v>38224</v>
          </cell>
          <cell r="Q2118">
            <v>21.123329999999999</v>
          </cell>
        </row>
        <row r="2119">
          <cell r="D2119">
            <v>38223</v>
          </cell>
          <cell r="E2119">
            <v>23.68</v>
          </cell>
          <cell r="G2119">
            <v>38223</v>
          </cell>
          <cell r="H2119">
            <v>21.38</v>
          </cell>
          <cell r="J2119">
            <v>38219</v>
          </cell>
          <cell r="K2119">
            <v>11.84</v>
          </cell>
          <cell r="M2119">
            <v>38182</v>
          </cell>
          <cell r="N2119">
            <v>4.66</v>
          </cell>
          <cell r="P2119">
            <v>38223</v>
          </cell>
          <cell r="Q2119">
            <v>20.75</v>
          </cell>
        </row>
        <row r="2120">
          <cell r="D2120">
            <v>38222</v>
          </cell>
          <cell r="E2120">
            <v>24.81</v>
          </cell>
          <cell r="G2120">
            <v>38222</v>
          </cell>
          <cell r="H2120">
            <v>20.65</v>
          </cell>
          <cell r="J2120">
            <v>38218</v>
          </cell>
          <cell r="K2120">
            <v>11.63</v>
          </cell>
          <cell r="M2120">
            <v>38181</v>
          </cell>
          <cell r="N2120">
            <v>4.76</v>
          </cell>
          <cell r="P2120">
            <v>38222</v>
          </cell>
          <cell r="Q2120">
            <v>21.01</v>
          </cell>
        </row>
        <row r="2121">
          <cell r="D2121">
            <v>38219</v>
          </cell>
          <cell r="E2121">
            <v>23.88</v>
          </cell>
          <cell r="G2121">
            <v>38219</v>
          </cell>
          <cell r="H2121">
            <v>20.149999999999999</v>
          </cell>
          <cell r="J2121">
            <v>38217</v>
          </cell>
          <cell r="K2121">
            <v>11.6</v>
          </cell>
          <cell r="M2121">
            <v>38180</v>
          </cell>
          <cell r="N2121">
            <v>4.71</v>
          </cell>
          <cell r="P2121">
            <v>38219</v>
          </cell>
          <cell r="Q2121">
            <v>20.59</v>
          </cell>
        </row>
        <row r="2122">
          <cell r="D2122">
            <v>38218</v>
          </cell>
          <cell r="E2122">
            <v>23.44</v>
          </cell>
          <cell r="G2122">
            <v>38218</v>
          </cell>
          <cell r="H2122">
            <v>19.989999999999998</v>
          </cell>
          <cell r="J2122">
            <v>38216</v>
          </cell>
          <cell r="K2122">
            <v>11.77</v>
          </cell>
          <cell r="M2122">
            <v>38177</v>
          </cell>
          <cell r="N2122">
            <v>4.6500000000000004</v>
          </cell>
          <cell r="P2122">
            <v>38218</v>
          </cell>
          <cell r="Q2122">
            <v>19.706669999999999</v>
          </cell>
        </row>
        <row r="2123">
          <cell r="D2123">
            <v>38217</v>
          </cell>
          <cell r="E2123">
            <v>23.01</v>
          </cell>
          <cell r="G2123">
            <v>38217</v>
          </cell>
          <cell r="H2123">
            <v>19.47</v>
          </cell>
          <cell r="J2123">
            <v>38215</v>
          </cell>
          <cell r="K2123">
            <v>11.93</v>
          </cell>
          <cell r="M2123">
            <v>38176</v>
          </cell>
          <cell r="N2123">
            <v>4.8099999999999996</v>
          </cell>
          <cell r="P2123">
            <v>38217</v>
          </cell>
          <cell r="Q2123">
            <v>19.84667</v>
          </cell>
        </row>
        <row r="2124">
          <cell r="D2124">
            <v>38216</v>
          </cell>
          <cell r="E2124">
            <v>22.68</v>
          </cell>
          <cell r="G2124">
            <v>38216</v>
          </cell>
          <cell r="H2124">
            <v>18.63</v>
          </cell>
          <cell r="J2124">
            <v>38212</v>
          </cell>
          <cell r="K2124">
            <v>10.9</v>
          </cell>
          <cell r="M2124">
            <v>38175</v>
          </cell>
          <cell r="N2124">
            <v>4.79</v>
          </cell>
          <cell r="P2124">
            <v>38216</v>
          </cell>
          <cell r="Q2124">
            <v>19.10333</v>
          </cell>
        </row>
        <row r="2125">
          <cell r="D2125">
            <v>38215</v>
          </cell>
          <cell r="E2125">
            <v>22.85</v>
          </cell>
          <cell r="G2125">
            <v>38215</v>
          </cell>
          <cell r="H2125">
            <v>17.954999999999998</v>
          </cell>
          <cell r="J2125">
            <v>38211</v>
          </cell>
          <cell r="K2125">
            <v>11.23</v>
          </cell>
          <cell r="M2125">
            <v>38174</v>
          </cell>
          <cell r="N2125">
            <v>4.9000000000000004</v>
          </cell>
          <cell r="P2125">
            <v>38215</v>
          </cell>
          <cell r="Q2125">
            <v>18.75667</v>
          </cell>
        </row>
        <row r="2126">
          <cell r="D2126">
            <v>38212</v>
          </cell>
          <cell r="E2126">
            <v>23.8</v>
          </cell>
          <cell r="G2126">
            <v>38212</v>
          </cell>
          <cell r="H2126">
            <v>18.34</v>
          </cell>
          <cell r="J2126">
            <v>38210</v>
          </cell>
          <cell r="K2126">
            <v>11.1</v>
          </cell>
          <cell r="M2126">
            <v>38170</v>
          </cell>
          <cell r="N2126">
            <v>4.8499999999999996</v>
          </cell>
          <cell r="P2126">
            <v>38212</v>
          </cell>
          <cell r="Q2126">
            <v>17.76333</v>
          </cell>
        </row>
        <row r="2127">
          <cell r="D2127">
            <v>38211</v>
          </cell>
          <cell r="E2127">
            <v>24.57</v>
          </cell>
          <cell r="G2127">
            <v>38211</v>
          </cell>
          <cell r="H2127">
            <v>18.77</v>
          </cell>
          <cell r="J2127">
            <v>38209</v>
          </cell>
          <cell r="K2127">
            <v>11.11</v>
          </cell>
          <cell r="M2127">
            <v>38169</v>
          </cell>
          <cell r="N2127">
            <v>4.6100000000000003</v>
          </cell>
          <cell r="P2127">
            <v>38211</v>
          </cell>
          <cell r="Q2127">
            <v>17.786670000000001</v>
          </cell>
        </row>
        <row r="2128">
          <cell r="D2128">
            <v>38210</v>
          </cell>
          <cell r="E2128">
            <v>25.106999999999999</v>
          </cell>
          <cell r="G2128">
            <v>38210</v>
          </cell>
          <cell r="H2128">
            <v>19.25</v>
          </cell>
          <cell r="J2128">
            <v>38208</v>
          </cell>
          <cell r="K2128">
            <v>10.781000000000001</v>
          </cell>
          <cell r="M2128">
            <v>38168</v>
          </cell>
          <cell r="N2128">
            <v>4.59</v>
          </cell>
          <cell r="P2128">
            <v>38210</v>
          </cell>
          <cell r="Q2128">
            <v>18.29</v>
          </cell>
        </row>
        <row r="2129">
          <cell r="D2129">
            <v>38209</v>
          </cell>
          <cell r="E2129">
            <v>27.99</v>
          </cell>
          <cell r="G2129">
            <v>38209</v>
          </cell>
          <cell r="H2129">
            <v>19.8</v>
          </cell>
          <cell r="J2129">
            <v>38205</v>
          </cell>
          <cell r="K2129">
            <v>11.42</v>
          </cell>
          <cell r="M2129">
            <v>38167</v>
          </cell>
          <cell r="N2129">
            <v>4.53</v>
          </cell>
          <cell r="P2129">
            <v>38209</v>
          </cell>
          <cell r="Q2129">
            <v>18.816669999999998</v>
          </cell>
        </row>
        <row r="2130">
          <cell r="D2130">
            <v>38208</v>
          </cell>
          <cell r="E2130">
            <v>26.98</v>
          </cell>
          <cell r="G2130">
            <v>38208</v>
          </cell>
          <cell r="H2130">
            <v>18.77</v>
          </cell>
          <cell r="J2130">
            <v>38204</v>
          </cell>
          <cell r="K2130">
            <v>12.209</v>
          </cell>
          <cell r="M2130">
            <v>38166</v>
          </cell>
          <cell r="N2130">
            <v>4.5</v>
          </cell>
          <cell r="P2130">
            <v>38208</v>
          </cell>
          <cell r="Q2130">
            <v>18.386669999999999</v>
          </cell>
        </row>
        <row r="2131">
          <cell r="D2131">
            <v>38205</v>
          </cell>
          <cell r="E2131">
            <v>27.06</v>
          </cell>
          <cell r="G2131">
            <v>38205</v>
          </cell>
          <cell r="H2131">
            <v>19.170000000000002</v>
          </cell>
          <cell r="J2131">
            <v>38203</v>
          </cell>
          <cell r="K2131">
            <v>11.82</v>
          </cell>
          <cell r="M2131">
            <v>38163</v>
          </cell>
          <cell r="N2131">
            <v>4.5</v>
          </cell>
          <cell r="P2131">
            <v>38205</v>
          </cell>
          <cell r="Q2131">
            <v>17.963329999999999</v>
          </cell>
        </row>
        <row r="2132">
          <cell r="D2132">
            <v>38204</v>
          </cell>
          <cell r="E2132">
            <v>28.82</v>
          </cell>
          <cell r="G2132">
            <v>38204</v>
          </cell>
          <cell r="H2132">
            <v>21.24</v>
          </cell>
          <cell r="J2132">
            <v>38202</v>
          </cell>
          <cell r="K2132">
            <v>12.85</v>
          </cell>
          <cell r="M2132">
            <v>38162</v>
          </cell>
          <cell r="N2132">
            <v>4.75</v>
          </cell>
          <cell r="P2132">
            <v>38204</v>
          </cell>
          <cell r="Q2132">
            <v>18.776669999999999</v>
          </cell>
        </row>
        <row r="2133">
          <cell r="D2133">
            <v>38203</v>
          </cell>
          <cell r="E2133">
            <v>30.2</v>
          </cell>
          <cell r="G2133">
            <v>38203</v>
          </cell>
          <cell r="H2133">
            <v>22.33</v>
          </cell>
          <cell r="J2133">
            <v>38201</v>
          </cell>
          <cell r="K2133">
            <v>13.29</v>
          </cell>
          <cell r="M2133">
            <v>38161</v>
          </cell>
          <cell r="N2133">
            <v>4.55</v>
          </cell>
          <cell r="P2133">
            <v>38203</v>
          </cell>
          <cell r="Q2133">
            <v>20.100000000000001</v>
          </cell>
        </row>
        <row r="2134">
          <cell r="D2134">
            <v>38202</v>
          </cell>
          <cell r="E2134">
            <v>30.19</v>
          </cell>
          <cell r="G2134">
            <v>38202</v>
          </cell>
          <cell r="H2134">
            <v>22.82</v>
          </cell>
          <cell r="J2134">
            <v>38198</v>
          </cell>
          <cell r="K2134">
            <v>12.99</v>
          </cell>
          <cell r="M2134">
            <v>38160</v>
          </cell>
          <cell r="N2134">
            <v>4.51</v>
          </cell>
          <cell r="P2134">
            <v>38202</v>
          </cell>
          <cell r="Q2134">
            <v>20.14667</v>
          </cell>
        </row>
        <row r="2135">
          <cell r="D2135">
            <v>38201</v>
          </cell>
          <cell r="E2135">
            <v>30.87</v>
          </cell>
          <cell r="G2135">
            <v>38201</v>
          </cell>
          <cell r="H2135">
            <v>22.89</v>
          </cell>
          <cell r="J2135">
            <v>38197</v>
          </cell>
          <cell r="K2135">
            <v>12.45</v>
          </cell>
          <cell r="M2135">
            <v>38159</v>
          </cell>
          <cell r="N2135">
            <v>4.5</v>
          </cell>
          <cell r="P2135">
            <v>38201</v>
          </cell>
          <cell r="Q2135">
            <v>20.46</v>
          </cell>
        </row>
        <row r="2136">
          <cell r="D2136">
            <v>38198</v>
          </cell>
          <cell r="E2136">
            <v>31.46</v>
          </cell>
          <cell r="G2136">
            <v>38198</v>
          </cell>
          <cell r="H2136">
            <v>22.97</v>
          </cell>
          <cell r="J2136">
            <v>38196</v>
          </cell>
          <cell r="K2136">
            <v>11.56</v>
          </cell>
          <cell r="M2136">
            <v>38156</v>
          </cell>
          <cell r="N2136">
            <v>4.5199999999999996</v>
          </cell>
          <cell r="P2136">
            <v>38198</v>
          </cell>
          <cell r="Q2136">
            <v>20.55667</v>
          </cell>
        </row>
        <row r="2137">
          <cell r="D2137">
            <v>38197</v>
          </cell>
          <cell r="E2137">
            <v>29.33</v>
          </cell>
          <cell r="G2137">
            <v>38197</v>
          </cell>
          <cell r="H2137">
            <v>22.95</v>
          </cell>
          <cell r="J2137">
            <v>38195</v>
          </cell>
          <cell r="K2137">
            <v>11.55</v>
          </cell>
          <cell r="M2137">
            <v>38155</v>
          </cell>
          <cell r="N2137">
            <v>4.5</v>
          </cell>
          <cell r="P2137">
            <v>38197</v>
          </cell>
          <cell r="Q2137">
            <v>20.586670000000002</v>
          </cell>
        </row>
        <row r="2138">
          <cell r="D2138">
            <v>38196</v>
          </cell>
          <cell r="E2138">
            <v>29.41</v>
          </cell>
          <cell r="G2138">
            <v>38196</v>
          </cell>
          <cell r="H2138">
            <v>22.78</v>
          </cell>
          <cell r="J2138">
            <v>38194</v>
          </cell>
          <cell r="K2138">
            <v>11.23</v>
          </cell>
          <cell r="M2138">
            <v>38154</v>
          </cell>
          <cell r="N2138">
            <v>4.59</v>
          </cell>
          <cell r="P2138">
            <v>38196</v>
          </cell>
          <cell r="Q2138">
            <v>20.74</v>
          </cell>
        </row>
        <row r="2139">
          <cell r="D2139">
            <v>38195</v>
          </cell>
          <cell r="E2139">
            <v>27.44</v>
          </cell>
          <cell r="G2139">
            <v>38195</v>
          </cell>
          <cell r="H2139">
            <v>21.66</v>
          </cell>
          <cell r="J2139">
            <v>38191</v>
          </cell>
          <cell r="K2139">
            <v>11.7</v>
          </cell>
          <cell r="M2139">
            <v>38153</v>
          </cell>
          <cell r="N2139">
            <v>4.63</v>
          </cell>
          <cell r="P2139">
            <v>38195</v>
          </cell>
          <cell r="Q2139">
            <v>20.399999999999999</v>
          </cell>
        </row>
        <row r="2140">
          <cell r="D2140">
            <v>38194</v>
          </cell>
          <cell r="E2140">
            <v>26.69</v>
          </cell>
          <cell r="G2140">
            <v>38194</v>
          </cell>
          <cell r="H2140">
            <v>18.759</v>
          </cell>
          <cell r="J2140">
            <v>38190</v>
          </cell>
          <cell r="K2140">
            <v>12.58</v>
          </cell>
          <cell r="M2140">
            <v>38152</v>
          </cell>
          <cell r="N2140">
            <v>4.74</v>
          </cell>
          <cell r="P2140">
            <v>38194</v>
          </cell>
          <cell r="Q2140">
            <v>19.09667</v>
          </cell>
        </row>
        <row r="2141">
          <cell r="D2141">
            <v>38191</v>
          </cell>
          <cell r="E2141">
            <v>28.09</v>
          </cell>
          <cell r="G2141">
            <v>38191</v>
          </cell>
          <cell r="H2141">
            <v>20.29</v>
          </cell>
          <cell r="J2141">
            <v>38189</v>
          </cell>
          <cell r="K2141">
            <v>11.83</v>
          </cell>
          <cell r="M2141">
            <v>38148</v>
          </cell>
          <cell r="N2141">
            <v>4.66</v>
          </cell>
          <cell r="P2141">
            <v>38191</v>
          </cell>
          <cell r="Q2141">
            <v>20.126670000000001</v>
          </cell>
        </row>
        <row r="2142">
          <cell r="D2142">
            <v>38190</v>
          </cell>
          <cell r="E2142">
            <v>29</v>
          </cell>
          <cell r="G2142">
            <v>38190</v>
          </cell>
          <cell r="H2142">
            <v>20.75</v>
          </cell>
          <cell r="J2142">
            <v>38188</v>
          </cell>
          <cell r="K2142">
            <v>11.35</v>
          </cell>
          <cell r="M2142">
            <v>38147</v>
          </cell>
          <cell r="N2142">
            <v>4.7</v>
          </cell>
          <cell r="P2142">
            <v>38190</v>
          </cell>
          <cell r="Q2142">
            <v>20.28</v>
          </cell>
        </row>
        <row r="2143">
          <cell r="D2143">
            <v>38189</v>
          </cell>
          <cell r="E2143">
            <v>30.5</v>
          </cell>
          <cell r="G2143">
            <v>38189</v>
          </cell>
          <cell r="H2143">
            <v>21.66</v>
          </cell>
          <cell r="J2143">
            <v>38187</v>
          </cell>
          <cell r="K2143">
            <v>11.12</v>
          </cell>
          <cell r="M2143">
            <v>38146</v>
          </cell>
          <cell r="N2143">
            <v>4.5999999999999996</v>
          </cell>
          <cell r="P2143">
            <v>38189</v>
          </cell>
          <cell r="Q2143">
            <v>20.196670000000001</v>
          </cell>
        </row>
        <row r="2144">
          <cell r="D2144">
            <v>38188</v>
          </cell>
          <cell r="E2144">
            <v>32.03</v>
          </cell>
          <cell r="G2144">
            <v>38188</v>
          </cell>
          <cell r="H2144">
            <v>22.65</v>
          </cell>
          <cell r="J2144">
            <v>38184</v>
          </cell>
          <cell r="K2144">
            <v>10.8</v>
          </cell>
          <cell r="M2144">
            <v>38145</v>
          </cell>
          <cell r="N2144">
            <v>4.7300000000000004</v>
          </cell>
          <cell r="P2144">
            <v>38188</v>
          </cell>
          <cell r="Q2144">
            <v>20.56</v>
          </cell>
        </row>
        <row r="2145">
          <cell r="D2145">
            <v>38187</v>
          </cell>
          <cell r="E2145">
            <v>30.28</v>
          </cell>
          <cell r="G2145">
            <v>38187</v>
          </cell>
          <cell r="H2145">
            <v>20.87</v>
          </cell>
          <cell r="J2145">
            <v>38183</v>
          </cell>
          <cell r="K2145">
            <v>11.75</v>
          </cell>
          <cell r="M2145">
            <v>38142</v>
          </cell>
          <cell r="N2145">
            <v>4.66</v>
          </cell>
          <cell r="P2145">
            <v>38187</v>
          </cell>
          <cell r="Q2145">
            <v>21.093330000000002</v>
          </cell>
        </row>
        <row r="2146">
          <cell r="D2146">
            <v>38184</v>
          </cell>
          <cell r="E2146">
            <v>29.97</v>
          </cell>
          <cell r="G2146">
            <v>38184</v>
          </cell>
          <cell r="H2146">
            <v>21.33</v>
          </cell>
          <cell r="J2146">
            <v>38182</v>
          </cell>
          <cell r="K2146">
            <v>12.45</v>
          </cell>
          <cell r="M2146">
            <v>38141</v>
          </cell>
          <cell r="N2146">
            <v>4.57</v>
          </cell>
          <cell r="P2146">
            <v>38184</v>
          </cell>
          <cell r="Q2146">
            <v>20.966670000000001</v>
          </cell>
        </row>
        <row r="2147">
          <cell r="D2147">
            <v>38183</v>
          </cell>
          <cell r="E2147">
            <v>30.33</v>
          </cell>
          <cell r="G2147">
            <v>38183</v>
          </cell>
          <cell r="H2147">
            <v>20.9</v>
          </cell>
          <cell r="J2147">
            <v>38181</v>
          </cell>
          <cell r="K2147">
            <v>12.94</v>
          </cell>
          <cell r="M2147">
            <v>38140</v>
          </cell>
          <cell r="N2147">
            <v>4.5599999999999996</v>
          </cell>
          <cell r="P2147">
            <v>38183</v>
          </cell>
          <cell r="Q2147">
            <v>20.536670000000001</v>
          </cell>
        </row>
        <row r="2148">
          <cell r="D2148">
            <v>38182</v>
          </cell>
          <cell r="E2148">
            <v>32.75</v>
          </cell>
          <cell r="G2148">
            <v>38182</v>
          </cell>
          <cell r="H2148">
            <v>22.4</v>
          </cell>
          <cell r="J2148">
            <v>38180</v>
          </cell>
          <cell r="K2148">
            <v>12.93</v>
          </cell>
          <cell r="M2148">
            <v>38139</v>
          </cell>
          <cell r="N2148">
            <v>4.71</v>
          </cell>
          <cell r="P2148">
            <v>38182</v>
          </cell>
          <cell r="Q2148">
            <v>21.98</v>
          </cell>
        </row>
        <row r="2149">
          <cell r="D2149">
            <v>38181</v>
          </cell>
          <cell r="E2149">
            <v>32.799999999999997</v>
          </cell>
          <cell r="G2149">
            <v>38181</v>
          </cell>
          <cell r="H2149">
            <v>22.34</v>
          </cell>
          <cell r="J2149">
            <v>38177</v>
          </cell>
          <cell r="K2149">
            <v>12.88</v>
          </cell>
          <cell r="M2149">
            <v>38135</v>
          </cell>
          <cell r="N2149">
            <v>4.58</v>
          </cell>
          <cell r="P2149">
            <v>38181</v>
          </cell>
          <cell r="Q2149">
            <v>22.28</v>
          </cell>
        </row>
        <row r="2150">
          <cell r="D2150">
            <v>38180</v>
          </cell>
          <cell r="E2150">
            <v>33.409999999999997</v>
          </cell>
          <cell r="G2150">
            <v>38180</v>
          </cell>
          <cell r="H2150">
            <v>22.4</v>
          </cell>
          <cell r="J2150">
            <v>38176</v>
          </cell>
          <cell r="K2150">
            <v>13.12</v>
          </cell>
          <cell r="M2150">
            <v>38134</v>
          </cell>
          <cell r="N2150">
            <v>4.5</v>
          </cell>
          <cell r="P2150">
            <v>38180</v>
          </cell>
          <cell r="Q2150">
            <v>21.876670000000001</v>
          </cell>
        </row>
        <row r="2151">
          <cell r="D2151">
            <v>38177</v>
          </cell>
          <cell r="E2151">
            <v>35.85</v>
          </cell>
          <cell r="G2151">
            <v>38177</v>
          </cell>
          <cell r="H2151">
            <v>23.83</v>
          </cell>
          <cell r="J2151">
            <v>38175</v>
          </cell>
          <cell r="K2151">
            <v>13.67</v>
          </cell>
          <cell r="M2151">
            <v>38133</v>
          </cell>
          <cell r="N2151">
            <v>4.5</v>
          </cell>
          <cell r="P2151">
            <v>38177</v>
          </cell>
          <cell r="Q2151">
            <v>22.246670000000002</v>
          </cell>
        </row>
        <row r="2152">
          <cell r="D2152">
            <v>38176</v>
          </cell>
          <cell r="E2152">
            <v>34.96</v>
          </cell>
          <cell r="G2152">
            <v>38176</v>
          </cell>
          <cell r="H2152">
            <v>23.95</v>
          </cell>
          <cell r="J2152">
            <v>38174</v>
          </cell>
          <cell r="K2152">
            <v>13.109</v>
          </cell>
          <cell r="M2152">
            <v>38132</v>
          </cell>
          <cell r="N2152">
            <v>4.68</v>
          </cell>
          <cell r="P2152">
            <v>38176</v>
          </cell>
          <cell r="Q2152">
            <v>22.54</v>
          </cell>
        </row>
        <row r="2153">
          <cell r="D2153">
            <v>38175</v>
          </cell>
          <cell r="E2153">
            <v>36</v>
          </cell>
          <cell r="G2153">
            <v>38175</v>
          </cell>
          <cell r="H2153">
            <v>24.55</v>
          </cell>
          <cell r="J2153">
            <v>38170</v>
          </cell>
          <cell r="K2153">
            <v>13.08</v>
          </cell>
          <cell r="M2153">
            <v>38131</v>
          </cell>
          <cell r="N2153">
            <v>4.5</v>
          </cell>
          <cell r="P2153">
            <v>38175</v>
          </cell>
          <cell r="Q2153">
            <v>22.55</v>
          </cell>
        </row>
        <row r="2154">
          <cell r="D2154">
            <v>38174</v>
          </cell>
          <cell r="E2154">
            <v>36.729999999999997</v>
          </cell>
          <cell r="G2154">
            <v>38174</v>
          </cell>
          <cell r="H2154">
            <v>25.16</v>
          </cell>
          <cell r="J2154">
            <v>38169</v>
          </cell>
          <cell r="K2154">
            <v>13.49</v>
          </cell>
          <cell r="M2154">
            <v>38128</v>
          </cell>
          <cell r="N2154">
            <v>4.59</v>
          </cell>
          <cell r="P2154">
            <v>38174</v>
          </cell>
          <cell r="Q2154">
            <v>22.64</v>
          </cell>
        </row>
        <row r="2155">
          <cell r="D2155">
            <v>38170</v>
          </cell>
          <cell r="E2155">
            <v>36.53</v>
          </cell>
          <cell r="G2155">
            <v>38170</v>
          </cell>
          <cell r="H2155">
            <v>25.52</v>
          </cell>
          <cell r="J2155">
            <v>38168</v>
          </cell>
          <cell r="K2155">
            <v>15.07</v>
          </cell>
          <cell r="M2155">
            <v>38127</v>
          </cell>
          <cell r="N2155">
            <v>4.5</v>
          </cell>
          <cell r="P2155">
            <v>38170</v>
          </cell>
          <cell r="Q2155">
            <v>23.636669999999999</v>
          </cell>
        </row>
        <row r="2156">
          <cell r="D2156">
            <v>38169</v>
          </cell>
          <cell r="E2156">
            <v>35.69</v>
          </cell>
          <cell r="G2156">
            <v>38169</v>
          </cell>
          <cell r="H2156">
            <v>25.28</v>
          </cell>
          <cell r="J2156">
            <v>38167</v>
          </cell>
          <cell r="K2156">
            <v>15.82</v>
          </cell>
          <cell r="M2156">
            <v>38126</v>
          </cell>
          <cell r="N2156">
            <v>4.5199999999999996</v>
          </cell>
          <cell r="P2156">
            <v>38169</v>
          </cell>
          <cell r="Q2156">
            <v>23.823329999999999</v>
          </cell>
        </row>
        <row r="2157">
          <cell r="D2157">
            <v>38168</v>
          </cell>
          <cell r="E2157">
            <v>37.03</v>
          </cell>
          <cell r="G2157">
            <v>38168</v>
          </cell>
          <cell r="H2157">
            <v>26.5</v>
          </cell>
          <cell r="J2157">
            <v>38166</v>
          </cell>
          <cell r="K2157">
            <v>15.11</v>
          </cell>
          <cell r="M2157">
            <v>38125</v>
          </cell>
          <cell r="N2157">
            <v>4.62</v>
          </cell>
          <cell r="P2157">
            <v>38168</v>
          </cell>
          <cell r="Q2157">
            <v>22.816669999999998</v>
          </cell>
        </row>
        <row r="2158">
          <cell r="D2158">
            <v>38167</v>
          </cell>
          <cell r="E2158">
            <v>36.409999999999997</v>
          </cell>
          <cell r="G2158">
            <v>38167</v>
          </cell>
          <cell r="H2158">
            <v>25.16</v>
          </cell>
          <cell r="J2158">
            <v>38163</v>
          </cell>
          <cell r="K2158">
            <v>14.69</v>
          </cell>
          <cell r="M2158">
            <v>38124</v>
          </cell>
          <cell r="N2158">
            <v>4.6399999999999997</v>
          </cell>
          <cell r="P2158">
            <v>38167</v>
          </cell>
          <cell r="Q2158">
            <v>19.793330000000001</v>
          </cell>
        </row>
        <row r="2159">
          <cell r="D2159">
            <v>38166</v>
          </cell>
          <cell r="E2159">
            <v>35.35</v>
          </cell>
          <cell r="G2159">
            <v>38166</v>
          </cell>
          <cell r="H2159">
            <v>24.69</v>
          </cell>
          <cell r="J2159">
            <v>38162</v>
          </cell>
          <cell r="K2159">
            <v>14.77</v>
          </cell>
          <cell r="M2159">
            <v>38121</v>
          </cell>
          <cell r="N2159">
            <v>4.5999999999999996</v>
          </cell>
          <cell r="P2159">
            <v>38166</v>
          </cell>
          <cell r="Q2159">
            <v>20.329999999999998</v>
          </cell>
        </row>
        <row r="2160">
          <cell r="D2160">
            <v>38163</v>
          </cell>
          <cell r="E2160">
            <v>34.31</v>
          </cell>
          <cell r="G2160">
            <v>38163</v>
          </cell>
          <cell r="H2160">
            <v>25.13</v>
          </cell>
          <cell r="J2160">
            <v>38161</v>
          </cell>
          <cell r="K2160">
            <v>14.91</v>
          </cell>
          <cell r="M2160">
            <v>38120</v>
          </cell>
          <cell r="N2160">
            <v>4.6500000000000004</v>
          </cell>
          <cell r="P2160">
            <v>38163</v>
          </cell>
          <cell r="Q2160">
            <v>20.23</v>
          </cell>
        </row>
        <row r="2161">
          <cell r="D2161">
            <v>38162</v>
          </cell>
          <cell r="E2161">
            <v>34.65</v>
          </cell>
          <cell r="G2161">
            <v>38162</v>
          </cell>
          <cell r="H2161">
            <v>24.32</v>
          </cell>
          <cell r="J2161">
            <v>38160</v>
          </cell>
          <cell r="K2161">
            <v>15.2</v>
          </cell>
          <cell r="M2161">
            <v>38119</v>
          </cell>
          <cell r="N2161">
            <v>4.58</v>
          </cell>
          <cell r="P2161">
            <v>38162</v>
          </cell>
          <cell r="Q2161">
            <v>20.343330000000002</v>
          </cell>
        </row>
        <row r="2162">
          <cell r="D2162">
            <v>38161</v>
          </cell>
          <cell r="E2162">
            <v>34.33</v>
          </cell>
          <cell r="G2162">
            <v>38161</v>
          </cell>
          <cell r="H2162">
            <v>24.32</v>
          </cell>
          <cell r="J2162">
            <v>38159</v>
          </cell>
          <cell r="K2162">
            <v>14.64</v>
          </cell>
          <cell r="M2162">
            <v>38118</v>
          </cell>
          <cell r="N2162">
            <v>4.8499999999999996</v>
          </cell>
          <cell r="P2162">
            <v>38161</v>
          </cell>
          <cell r="Q2162">
            <v>20.07667</v>
          </cell>
        </row>
        <row r="2163">
          <cell r="D2163">
            <v>38160</v>
          </cell>
          <cell r="E2163">
            <v>32.119999999999997</v>
          </cell>
          <cell r="G2163">
            <v>38160</v>
          </cell>
          <cell r="H2163">
            <v>22.23</v>
          </cell>
          <cell r="J2163">
            <v>38156</v>
          </cell>
          <cell r="K2163">
            <v>14.41</v>
          </cell>
          <cell r="M2163">
            <v>38117</v>
          </cell>
          <cell r="N2163">
            <v>4.7699999999999996</v>
          </cell>
          <cell r="P2163">
            <v>38160</v>
          </cell>
          <cell r="Q2163">
            <v>19.45</v>
          </cell>
        </row>
        <row r="2164">
          <cell r="D2164">
            <v>38159</v>
          </cell>
          <cell r="E2164">
            <v>33.19</v>
          </cell>
          <cell r="G2164">
            <v>38159</v>
          </cell>
          <cell r="H2164">
            <v>21.41</v>
          </cell>
          <cell r="J2164">
            <v>38155</v>
          </cell>
          <cell r="K2164">
            <v>14.231</v>
          </cell>
          <cell r="M2164">
            <v>38114</v>
          </cell>
          <cell r="N2164">
            <v>4.9489999999999998</v>
          </cell>
          <cell r="P2164">
            <v>38159</v>
          </cell>
          <cell r="Q2164">
            <v>19.309999999999999</v>
          </cell>
        </row>
        <row r="2165">
          <cell r="D2165">
            <v>38156</v>
          </cell>
          <cell r="E2165">
            <v>33.049999999999997</v>
          </cell>
          <cell r="G2165">
            <v>38156</v>
          </cell>
          <cell r="H2165">
            <v>21.2</v>
          </cell>
          <cell r="J2165">
            <v>38154</v>
          </cell>
          <cell r="K2165">
            <v>14.489000000000001</v>
          </cell>
          <cell r="M2165">
            <v>38113</v>
          </cell>
          <cell r="N2165">
            <v>4.8</v>
          </cell>
          <cell r="P2165">
            <v>38156</v>
          </cell>
          <cell r="Q2165">
            <v>19.843330000000002</v>
          </cell>
        </row>
        <row r="2166">
          <cell r="D2166">
            <v>38155</v>
          </cell>
          <cell r="E2166">
            <v>33.49</v>
          </cell>
          <cell r="G2166">
            <v>38155</v>
          </cell>
          <cell r="H2166">
            <v>21.55</v>
          </cell>
          <cell r="J2166">
            <v>38153</v>
          </cell>
          <cell r="K2166">
            <v>14.01</v>
          </cell>
          <cell r="M2166">
            <v>38112</v>
          </cell>
          <cell r="N2166">
            <v>4.82</v>
          </cell>
          <cell r="P2166">
            <v>38155</v>
          </cell>
          <cell r="Q2166">
            <v>19.466670000000001</v>
          </cell>
        </row>
        <row r="2167">
          <cell r="D2167">
            <v>38154</v>
          </cell>
          <cell r="E2167">
            <v>33.75</v>
          </cell>
          <cell r="G2167">
            <v>38154</v>
          </cell>
          <cell r="H2167">
            <v>21.91</v>
          </cell>
          <cell r="J2167">
            <v>38152</v>
          </cell>
          <cell r="K2167">
            <v>14.25</v>
          </cell>
          <cell r="M2167">
            <v>38111</v>
          </cell>
          <cell r="N2167">
            <v>4.71</v>
          </cell>
          <cell r="P2167">
            <v>38154</v>
          </cell>
          <cell r="Q2167">
            <v>19.190000000000001</v>
          </cell>
        </row>
        <row r="2168">
          <cell r="D2168">
            <v>38153</v>
          </cell>
          <cell r="E2168">
            <v>34.28</v>
          </cell>
          <cell r="G2168">
            <v>38153</v>
          </cell>
          <cell r="H2168">
            <v>22.36</v>
          </cell>
          <cell r="J2168">
            <v>38148</v>
          </cell>
          <cell r="K2168">
            <v>14.29</v>
          </cell>
          <cell r="M2168">
            <v>38110</v>
          </cell>
          <cell r="N2168">
            <v>4.66</v>
          </cell>
          <cell r="P2168">
            <v>38153</v>
          </cell>
          <cell r="Q2168">
            <v>19.02</v>
          </cell>
        </row>
        <row r="2169">
          <cell r="D2169">
            <v>38152</v>
          </cell>
          <cell r="E2169">
            <v>32.11</v>
          </cell>
          <cell r="G2169">
            <v>38152</v>
          </cell>
          <cell r="H2169">
            <v>21</v>
          </cell>
          <cell r="J2169">
            <v>38147</v>
          </cell>
          <cell r="K2169">
            <v>14.29</v>
          </cell>
          <cell r="M2169">
            <v>38107</v>
          </cell>
          <cell r="N2169">
            <v>4.5999999999999996</v>
          </cell>
          <cell r="P2169">
            <v>38152</v>
          </cell>
          <cell r="Q2169">
            <v>18.123329999999999</v>
          </cell>
        </row>
        <row r="2170">
          <cell r="D2170">
            <v>38148</v>
          </cell>
          <cell r="E2170">
            <v>33.83</v>
          </cell>
          <cell r="G2170">
            <v>38148</v>
          </cell>
          <cell r="H2170">
            <v>20.239999999999998</v>
          </cell>
          <cell r="J2170">
            <v>38146</v>
          </cell>
          <cell r="K2170">
            <v>14.84</v>
          </cell>
          <cell r="M2170">
            <v>38106</v>
          </cell>
          <cell r="N2170">
            <v>4.6500000000000004</v>
          </cell>
          <cell r="P2170">
            <v>38148</v>
          </cell>
          <cell r="Q2170">
            <v>18.883330000000001</v>
          </cell>
        </row>
        <row r="2171">
          <cell r="D2171">
            <v>38147</v>
          </cell>
          <cell r="E2171">
            <v>31.21</v>
          </cell>
          <cell r="G2171">
            <v>38147</v>
          </cell>
          <cell r="H2171">
            <v>19.600000000000001</v>
          </cell>
          <cell r="J2171">
            <v>38145</v>
          </cell>
          <cell r="K2171">
            <v>14.48</v>
          </cell>
          <cell r="M2171">
            <v>38105</v>
          </cell>
          <cell r="N2171">
            <v>4.79</v>
          </cell>
          <cell r="P2171">
            <v>38147</v>
          </cell>
          <cell r="Q2171">
            <v>18.62</v>
          </cell>
        </row>
        <row r="2172">
          <cell r="D2172">
            <v>38146</v>
          </cell>
          <cell r="E2172">
            <v>31.73</v>
          </cell>
          <cell r="G2172">
            <v>38146</v>
          </cell>
          <cell r="H2172">
            <v>19.809999999999999</v>
          </cell>
          <cell r="J2172">
            <v>38142</v>
          </cell>
          <cell r="K2172">
            <v>14.15</v>
          </cell>
          <cell r="M2172">
            <v>38104</v>
          </cell>
          <cell r="N2172">
            <v>4.8600000000000003</v>
          </cell>
          <cell r="P2172">
            <v>38146</v>
          </cell>
          <cell r="Q2172">
            <v>18.983329999999999</v>
          </cell>
        </row>
        <row r="2173">
          <cell r="D2173">
            <v>38145</v>
          </cell>
          <cell r="E2173">
            <v>29.64</v>
          </cell>
          <cell r="G2173">
            <v>38145</v>
          </cell>
          <cell r="H2173">
            <v>18.95</v>
          </cell>
          <cell r="J2173">
            <v>38141</v>
          </cell>
          <cell r="K2173">
            <v>14.01</v>
          </cell>
          <cell r="M2173">
            <v>38103</v>
          </cell>
          <cell r="N2173">
            <v>5</v>
          </cell>
          <cell r="P2173">
            <v>38145</v>
          </cell>
          <cell r="Q2173">
            <v>18.863330000000001</v>
          </cell>
        </row>
        <row r="2174">
          <cell r="D2174">
            <v>38142</v>
          </cell>
          <cell r="E2174">
            <v>27.24</v>
          </cell>
          <cell r="G2174">
            <v>38142</v>
          </cell>
          <cell r="H2174">
            <v>18.059999999999999</v>
          </cell>
          <cell r="J2174">
            <v>38140</v>
          </cell>
          <cell r="K2174">
            <v>14.1</v>
          </cell>
          <cell r="M2174">
            <v>38100</v>
          </cell>
          <cell r="N2174">
            <v>5.03</v>
          </cell>
          <cell r="P2174">
            <v>38142</v>
          </cell>
          <cell r="Q2174">
            <v>19.358329999999999</v>
          </cell>
        </row>
        <row r="2175">
          <cell r="D2175">
            <v>38141</v>
          </cell>
          <cell r="E2175">
            <v>26.69</v>
          </cell>
          <cell r="G2175">
            <v>38141</v>
          </cell>
          <cell r="H2175">
            <v>17.920000000000002</v>
          </cell>
          <cell r="J2175">
            <v>38139</v>
          </cell>
          <cell r="K2175">
            <v>13.77</v>
          </cell>
          <cell r="M2175">
            <v>38099</v>
          </cell>
          <cell r="N2175">
            <v>5.15</v>
          </cell>
          <cell r="P2175">
            <v>38141</v>
          </cell>
          <cell r="Q2175">
            <v>18.7</v>
          </cell>
        </row>
        <row r="2176">
          <cell r="D2176">
            <v>38140</v>
          </cell>
          <cell r="E2176">
            <v>27.34</v>
          </cell>
          <cell r="G2176">
            <v>38140</v>
          </cell>
          <cell r="H2176">
            <v>19.399999999999999</v>
          </cell>
          <cell r="J2176">
            <v>38135</v>
          </cell>
          <cell r="K2176">
            <v>11.61</v>
          </cell>
          <cell r="M2176">
            <v>38098</v>
          </cell>
          <cell r="N2176">
            <v>5.15</v>
          </cell>
          <cell r="P2176">
            <v>38140</v>
          </cell>
          <cell r="Q2176">
            <v>19.828330000000001</v>
          </cell>
        </row>
        <row r="2177">
          <cell r="D2177">
            <v>38139</v>
          </cell>
          <cell r="E2177">
            <v>27.6</v>
          </cell>
          <cell r="G2177">
            <v>38139</v>
          </cell>
          <cell r="H2177">
            <v>18.440000000000001</v>
          </cell>
          <cell r="J2177">
            <v>38134</v>
          </cell>
          <cell r="K2177">
            <v>10.8</v>
          </cell>
          <cell r="M2177">
            <v>38097</v>
          </cell>
          <cell r="N2177">
            <v>5.43</v>
          </cell>
          <cell r="P2177">
            <v>38139</v>
          </cell>
          <cell r="Q2177">
            <v>20.45</v>
          </cell>
        </row>
        <row r="2178">
          <cell r="D2178">
            <v>38135</v>
          </cell>
          <cell r="E2178">
            <v>27.9</v>
          </cell>
          <cell r="G2178">
            <v>38135</v>
          </cell>
          <cell r="H2178">
            <v>18.22</v>
          </cell>
          <cell r="J2178">
            <v>38133</v>
          </cell>
          <cell r="K2178">
            <v>11.91</v>
          </cell>
          <cell r="M2178">
            <v>38096</v>
          </cell>
          <cell r="N2178">
            <v>4.8</v>
          </cell>
          <cell r="P2178">
            <v>38135</v>
          </cell>
          <cell r="Q2178">
            <v>19.988330000000001</v>
          </cell>
        </row>
        <row r="2179">
          <cell r="D2179">
            <v>38134</v>
          </cell>
          <cell r="E2179">
            <v>28.05</v>
          </cell>
          <cell r="G2179">
            <v>38134</v>
          </cell>
          <cell r="H2179">
            <v>18.489999999999998</v>
          </cell>
          <cell r="J2179">
            <v>38132</v>
          </cell>
          <cell r="K2179">
            <v>12.44</v>
          </cell>
          <cell r="M2179">
            <v>38093</v>
          </cell>
          <cell r="N2179">
            <v>4.8</v>
          </cell>
          <cell r="P2179">
            <v>38134</v>
          </cell>
          <cell r="Q2179">
            <v>19.39</v>
          </cell>
        </row>
        <row r="2180">
          <cell r="D2180">
            <v>38133</v>
          </cell>
          <cell r="E2180">
            <v>27.33</v>
          </cell>
          <cell r="G2180">
            <v>38133</v>
          </cell>
          <cell r="H2180">
            <v>18.59</v>
          </cell>
          <cell r="J2180">
            <v>38131</v>
          </cell>
          <cell r="K2180">
            <v>12.88</v>
          </cell>
          <cell r="M2180">
            <v>38092</v>
          </cell>
          <cell r="N2180">
            <v>4.7</v>
          </cell>
          <cell r="P2180">
            <v>38133</v>
          </cell>
          <cell r="Q2180">
            <v>19.136669999999999</v>
          </cell>
        </row>
        <row r="2181">
          <cell r="D2181">
            <v>38132</v>
          </cell>
          <cell r="E2181">
            <v>27.52</v>
          </cell>
          <cell r="G2181">
            <v>38132</v>
          </cell>
          <cell r="H2181">
            <v>18.25</v>
          </cell>
          <cell r="J2181">
            <v>38128</v>
          </cell>
          <cell r="K2181">
            <v>12.21</v>
          </cell>
          <cell r="M2181">
            <v>38091</v>
          </cell>
          <cell r="N2181">
            <v>4.63</v>
          </cell>
          <cell r="P2181">
            <v>38132</v>
          </cell>
          <cell r="Q2181">
            <v>19.22833</v>
          </cell>
        </row>
        <row r="2182">
          <cell r="D2182">
            <v>38131</v>
          </cell>
          <cell r="E2182">
            <v>24.65</v>
          </cell>
          <cell r="G2182">
            <v>38131</v>
          </cell>
          <cell r="H2182">
            <v>17.850000000000001</v>
          </cell>
          <cell r="J2182">
            <v>38127</v>
          </cell>
          <cell r="K2182">
            <v>11.89</v>
          </cell>
          <cell r="M2182">
            <v>38090</v>
          </cell>
          <cell r="N2182">
            <v>4.5999999999999996</v>
          </cell>
          <cell r="P2182">
            <v>38131</v>
          </cell>
          <cell r="Q2182">
            <v>19.078330000000001</v>
          </cell>
        </row>
        <row r="2183">
          <cell r="D2183">
            <v>38128</v>
          </cell>
          <cell r="E2183">
            <v>23.83</v>
          </cell>
          <cell r="G2183">
            <v>38128</v>
          </cell>
          <cell r="H2183">
            <v>17.29</v>
          </cell>
          <cell r="J2183">
            <v>38126</v>
          </cell>
          <cell r="K2183">
            <v>11.99</v>
          </cell>
          <cell r="M2183">
            <v>38089</v>
          </cell>
          <cell r="N2183">
            <v>4.6100000000000003</v>
          </cell>
          <cell r="P2183">
            <v>38128</v>
          </cell>
          <cell r="Q2183">
            <v>18.170000000000002</v>
          </cell>
        </row>
        <row r="2184">
          <cell r="D2184">
            <v>38127</v>
          </cell>
          <cell r="E2184">
            <v>24.08</v>
          </cell>
          <cell r="G2184">
            <v>38127</v>
          </cell>
          <cell r="H2184">
            <v>16.989999999999998</v>
          </cell>
          <cell r="J2184">
            <v>38125</v>
          </cell>
          <cell r="K2184">
            <v>12.67</v>
          </cell>
          <cell r="M2184">
            <v>38085</v>
          </cell>
          <cell r="N2184">
            <v>4.5599999999999996</v>
          </cell>
          <cell r="P2184">
            <v>38127</v>
          </cell>
          <cell r="Q2184">
            <v>17.324999999999999</v>
          </cell>
        </row>
        <row r="2185">
          <cell r="D2185">
            <v>38126</v>
          </cell>
          <cell r="E2185">
            <v>23.67</v>
          </cell>
          <cell r="G2185">
            <v>38126</v>
          </cell>
          <cell r="H2185">
            <v>17.5</v>
          </cell>
          <cell r="J2185">
            <v>38124</v>
          </cell>
          <cell r="K2185">
            <v>11.45</v>
          </cell>
          <cell r="M2185">
            <v>38084</v>
          </cell>
          <cell r="N2185">
            <v>4.6310000000000002</v>
          </cell>
          <cell r="P2185">
            <v>38126</v>
          </cell>
          <cell r="Q2185">
            <v>17.348330000000001</v>
          </cell>
        </row>
        <row r="2186">
          <cell r="D2186">
            <v>38125</v>
          </cell>
          <cell r="E2186">
            <v>22.9</v>
          </cell>
          <cell r="G2186">
            <v>38125</v>
          </cell>
          <cell r="H2186">
            <v>16.53</v>
          </cell>
          <cell r="J2186">
            <v>38121</v>
          </cell>
          <cell r="K2186">
            <v>10.48</v>
          </cell>
          <cell r="M2186">
            <v>38083</v>
          </cell>
          <cell r="N2186">
            <v>4.6900000000000004</v>
          </cell>
          <cell r="P2186">
            <v>38125</v>
          </cell>
          <cell r="Q2186">
            <v>16.663329999999998</v>
          </cell>
        </row>
        <row r="2187">
          <cell r="D2187">
            <v>38124</v>
          </cell>
          <cell r="E2187">
            <v>22.36</v>
          </cell>
          <cell r="G2187">
            <v>38124</v>
          </cell>
          <cell r="H2187">
            <v>15.8</v>
          </cell>
          <cell r="J2187">
            <v>38120</v>
          </cell>
          <cell r="K2187">
            <v>9.7899999999999991</v>
          </cell>
          <cell r="M2187">
            <v>38082</v>
          </cell>
          <cell r="N2187">
            <v>4.6500000000000004</v>
          </cell>
          <cell r="P2187">
            <v>38124</v>
          </cell>
          <cell r="Q2187">
            <v>15.5</v>
          </cell>
        </row>
        <row r="2188">
          <cell r="D2188">
            <v>38121</v>
          </cell>
          <cell r="E2188">
            <v>23.92</v>
          </cell>
          <cell r="G2188">
            <v>38121</v>
          </cell>
          <cell r="H2188">
            <v>16.03</v>
          </cell>
          <cell r="J2188">
            <v>38119</v>
          </cell>
          <cell r="K2188">
            <v>9.6999999999999993</v>
          </cell>
          <cell r="M2188">
            <v>38079</v>
          </cell>
          <cell r="N2188">
            <v>4.72</v>
          </cell>
          <cell r="P2188">
            <v>38121</v>
          </cell>
          <cell r="Q2188">
            <v>15.435</v>
          </cell>
        </row>
        <row r="2189">
          <cell r="D2189">
            <v>38120</v>
          </cell>
          <cell r="E2189">
            <v>25</v>
          </cell>
          <cell r="G2189">
            <v>38120</v>
          </cell>
          <cell r="H2189">
            <v>16.2</v>
          </cell>
          <cell r="J2189">
            <v>38118</v>
          </cell>
          <cell r="K2189">
            <v>9.9700000000000006</v>
          </cell>
          <cell r="M2189">
            <v>38078</v>
          </cell>
          <cell r="N2189">
            <v>4.6500000000000004</v>
          </cell>
          <cell r="P2189">
            <v>38120</v>
          </cell>
          <cell r="Q2189">
            <v>15.73333</v>
          </cell>
        </row>
        <row r="2190">
          <cell r="D2190">
            <v>38119</v>
          </cell>
          <cell r="E2190">
            <v>25</v>
          </cell>
          <cell r="G2190">
            <v>38119</v>
          </cell>
          <cell r="H2190">
            <v>15.43</v>
          </cell>
          <cell r="J2190">
            <v>38117</v>
          </cell>
          <cell r="K2190">
            <v>9.68</v>
          </cell>
          <cell r="M2190">
            <v>38077</v>
          </cell>
          <cell r="N2190">
            <v>4.6900000000000004</v>
          </cell>
          <cell r="P2190">
            <v>38119</v>
          </cell>
          <cell r="Q2190">
            <v>15.561669999999999</v>
          </cell>
        </row>
        <row r="2191">
          <cell r="D2191">
            <v>38118</v>
          </cell>
          <cell r="E2191">
            <v>25.2</v>
          </cell>
          <cell r="G2191">
            <v>38118</v>
          </cell>
          <cell r="H2191">
            <v>14.73</v>
          </cell>
          <cell r="J2191">
            <v>38114</v>
          </cell>
          <cell r="K2191">
            <v>9.9700000000000006</v>
          </cell>
          <cell r="M2191">
            <v>38076</v>
          </cell>
          <cell r="N2191">
            <v>4.6500000000000004</v>
          </cell>
          <cell r="P2191">
            <v>38118</v>
          </cell>
          <cell r="Q2191">
            <v>15.50333</v>
          </cell>
        </row>
        <row r="2192">
          <cell r="D2192">
            <v>38117</v>
          </cell>
          <cell r="E2192">
            <v>21.7</v>
          </cell>
          <cell r="G2192">
            <v>38117</v>
          </cell>
          <cell r="H2192">
            <v>13.54</v>
          </cell>
          <cell r="J2192">
            <v>38113</v>
          </cell>
          <cell r="K2192">
            <v>10.08</v>
          </cell>
          <cell r="M2192">
            <v>38075</v>
          </cell>
          <cell r="N2192">
            <v>4.7</v>
          </cell>
          <cell r="P2192">
            <v>38117</v>
          </cell>
          <cell r="Q2192">
            <v>14.92</v>
          </cell>
        </row>
        <row r="2193">
          <cell r="D2193">
            <v>38114</v>
          </cell>
          <cell r="E2193">
            <v>22.79</v>
          </cell>
          <cell r="G2193">
            <v>38114</v>
          </cell>
          <cell r="H2193">
            <v>15.04</v>
          </cell>
          <cell r="J2193">
            <v>38112</v>
          </cell>
          <cell r="K2193">
            <v>9.81</v>
          </cell>
          <cell r="M2193">
            <v>38072</v>
          </cell>
          <cell r="N2193">
            <v>4.75</v>
          </cell>
          <cell r="P2193">
            <v>38114</v>
          </cell>
          <cell r="Q2193">
            <v>15.116669999999999</v>
          </cell>
        </row>
        <row r="2194">
          <cell r="D2194">
            <v>38113</v>
          </cell>
          <cell r="E2194">
            <v>23.1</v>
          </cell>
          <cell r="G2194">
            <v>38113</v>
          </cell>
          <cell r="H2194">
            <v>15.949</v>
          </cell>
          <cell r="J2194">
            <v>38111</v>
          </cell>
          <cell r="K2194">
            <v>10.07</v>
          </cell>
          <cell r="M2194">
            <v>38071</v>
          </cell>
          <cell r="N2194">
            <v>4.75</v>
          </cell>
          <cell r="P2194">
            <v>38113</v>
          </cell>
          <cell r="Q2194">
            <v>15.18333</v>
          </cell>
        </row>
        <row r="2195">
          <cell r="D2195">
            <v>38112</v>
          </cell>
          <cell r="E2195">
            <v>24.01</v>
          </cell>
          <cell r="G2195">
            <v>38112</v>
          </cell>
          <cell r="H2195">
            <v>15.750999999999999</v>
          </cell>
          <cell r="J2195">
            <v>38110</v>
          </cell>
          <cell r="K2195">
            <v>10</v>
          </cell>
          <cell r="M2195">
            <v>38070</v>
          </cell>
          <cell r="N2195">
            <v>4.75</v>
          </cell>
          <cell r="P2195">
            <v>38112</v>
          </cell>
          <cell r="Q2195">
            <v>15.72167</v>
          </cell>
        </row>
        <row r="2196">
          <cell r="D2196">
            <v>38111</v>
          </cell>
          <cell r="E2196">
            <v>24.4</v>
          </cell>
          <cell r="G2196">
            <v>38111</v>
          </cell>
          <cell r="H2196">
            <v>15.15</v>
          </cell>
          <cell r="J2196">
            <v>38107</v>
          </cell>
          <cell r="K2196">
            <v>8.85</v>
          </cell>
          <cell r="M2196">
            <v>38069</v>
          </cell>
          <cell r="N2196">
            <v>4.8</v>
          </cell>
          <cell r="P2196">
            <v>38111</v>
          </cell>
          <cell r="Q2196">
            <v>15.383330000000001</v>
          </cell>
        </row>
        <row r="2197">
          <cell r="D2197">
            <v>38110</v>
          </cell>
          <cell r="E2197">
            <v>21.5</v>
          </cell>
          <cell r="G2197">
            <v>38110</v>
          </cell>
          <cell r="H2197">
            <v>14.04</v>
          </cell>
          <cell r="J2197">
            <v>38106</v>
          </cell>
          <cell r="K2197">
            <v>8.9499999999999993</v>
          </cell>
          <cell r="M2197">
            <v>38068</v>
          </cell>
          <cell r="N2197">
            <v>4.76</v>
          </cell>
          <cell r="P2197">
            <v>38110</v>
          </cell>
          <cell r="Q2197">
            <v>14.921670000000001</v>
          </cell>
        </row>
        <row r="2198">
          <cell r="D2198">
            <v>38107</v>
          </cell>
          <cell r="E2198">
            <v>22.36</v>
          </cell>
          <cell r="G2198">
            <v>38107</v>
          </cell>
          <cell r="H2198">
            <v>14.74</v>
          </cell>
          <cell r="J2198">
            <v>38105</v>
          </cell>
          <cell r="K2198">
            <v>8.81</v>
          </cell>
          <cell r="M2198">
            <v>38065</v>
          </cell>
          <cell r="N2198">
            <v>4.8499999999999996</v>
          </cell>
          <cell r="P2198">
            <v>38107</v>
          </cell>
          <cell r="Q2198">
            <v>14.51667</v>
          </cell>
        </row>
        <row r="2199">
          <cell r="D2199">
            <v>38106</v>
          </cell>
          <cell r="E2199">
            <v>23.95</v>
          </cell>
          <cell r="G2199">
            <v>38106</v>
          </cell>
          <cell r="H2199">
            <v>14.49</v>
          </cell>
          <cell r="J2199">
            <v>38104</v>
          </cell>
          <cell r="K2199">
            <v>8.69</v>
          </cell>
          <cell r="M2199">
            <v>38064</v>
          </cell>
          <cell r="N2199">
            <v>4.8</v>
          </cell>
          <cell r="P2199">
            <v>38106</v>
          </cell>
          <cell r="Q2199">
            <v>15.42333</v>
          </cell>
        </row>
        <row r="2200">
          <cell r="D2200">
            <v>38105</v>
          </cell>
          <cell r="E2200">
            <v>24.65</v>
          </cell>
          <cell r="G2200">
            <v>38105</v>
          </cell>
          <cell r="H2200">
            <v>16.27</v>
          </cell>
          <cell r="J2200">
            <v>38103</v>
          </cell>
          <cell r="K2200">
            <v>8.93</v>
          </cell>
          <cell r="M2200">
            <v>38063</v>
          </cell>
          <cell r="N2200">
            <v>4.8</v>
          </cell>
          <cell r="P2200">
            <v>38105</v>
          </cell>
          <cell r="Q2200">
            <v>15.45167</v>
          </cell>
        </row>
        <row r="2201">
          <cell r="D2201">
            <v>38104</v>
          </cell>
          <cell r="E2201">
            <v>24.31</v>
          </cell>
          <cell r="G2201">
            <v>38104</v>
          </cell>
          <cell r="H2201">
            <v>17.829999999999998</v>
          </cell>
          <cell r="J2201">
            <v>38100</v>
          </cell>
          <cell r="K2201">
            <v>8.9600000000000009</v>
          </cell>
          <cell r="M2201">
            <v>38062</v>
          </cell>
          <cell r="N2201">
            <v>4.8</v>
          </cell>
          <cell r="P2201">
            <v>38104</v>
          </cell>
          <cell r="Q2201">
            <v>16.25667</v>
          </cell>
        </row>
        <row r="2202">
          <cell r="D2202">
            <v>38103</v>
          </cell>
          <cell r="E2202">
            <v>29.02</v>
          </cell>
          <cell r="G2202">
            <v>38103</v>
          </cell>
          <cell r="H2202">
            <v>21.2</v>
          </cell>
          <cell r="J2202">
            <v>38099</v>
          </cell>
          <cell r="K2202">
            <v>8.76</v>
          </cell>
          <cell r="M2202">
            <v>38061</v>
          </cell>
          <cell r="N2202">
            <v>4.87</v>
          </cell>
          <cell r="P2202">
            <v>38103</v>
          </cell>
          <cell r="Q2202">
            <v>17.215</v>
          </cell>
        </row>
        <row r="2203">
          <cell r="D2203">
            <v>38100</v>
          </cell>
          <cell r="E2203">
            <v>28.8</v>
          </cell>
          <cell r="G2203">
            <v>38100</v>
          </cell>
          <cell r="H2203">
            <v>21.66</v>
          </cell>
          <cell r="J2203">
            <v>38098</v>
          </cell>
          <cell r="K2203">
            <v>9.1199999999999992</v>
          </cell>
          <cell r="M2203">
            <v>38058</v>
          </cell>
          <cell r="N2203">
            <v>4.8600000000000003</v>
          </cell>
          <cell r="P2203">
            <v>38100</v>
          </cell>
          <cell r="Q2203">
            <v>17.198329999999999</v>
          </cell>
        </row>
        <row r="2204">
          <cell r="D2204">
            <v>38099</v>
          </cell>
          <cell r="E2204">
            <v>34.35</v>
          </cell>
          <cell r="G2204">
            <v>38099</v>
          </cell>
          <cell r="H2204">
            <v>23</v>
          </cell>
          <cell r="J2204">
            <v>38097</v>
          </cell>
          <cell r="K2204">
            <v>8.26</v>
          </cell>
          <cell r="M2204">
            <v>38057</v>
          </cell>
          <cell r="N2204">
            <v>4.8600000000000003</v>
          </cell>
          <cell r="P2204">
            <v>38099</v>
          </cell>
          <cell r="Q2204">
            <v>17.54</v>
          </cell>
        </row>
        <row r="2205">
          <cell r="D2205">
            <v>38098</v>
          </cell>
          <cell r="E2205">
            <v>34.380000000000003</v>
          </cell>
          <cell r="G2205">
            <v>38098</v>
          </cell>
          <cell r="H2205">
            <v>21.48</v>
          </cell>
          <cell r="J2205">
            <v>38096</v>
          </cell>
          <cell r="K2205">
            <v>8.3000000000000007</v>
          </cell>
          <cell r="M2205">
            <v>38056</v>
          </cell>
          <cell r="N2205">
            <v>4.7699999999999996</v>
          </cell>
          <cell r="P2205">
            <v>38098</v>
          </cell>
          <cell r="Q2205">
            <v>17</v>
          </cell>
        </row>
        <row r="2206">
          <cell r="D2206">
            <v>38097</v>
          </cell>
          <cell r="E2206">
            <v>34.42</v>
          </cell>
          <cell r="G2206">
            <v>38097</v>
          </cell>
          <cell r="H2206">
            <v>23.08</v>
          </cell>
          <cell r="J2206">
            <v>38093</v>
          </cell>
          <cell r="K2206">
            <v>8.2200000000000006</v>
          </cell>
          <cell r="M2206">
            <v>38055</v>
          </cell>
          <cell r="N2206">
            <v>4.75</v>
          </cell>
          <cell r="P2206">
            <v>38097</v>
          </cell>
          <cell r="Q2206">
            <v>16.51333</v>
          </cell>
        </row>
        <row r="2207">
          <cell r="D2207">
            <v>38096</v>
          </cell>
          <cell r="E2207">
            <v>34.29</v>
          </cell>
          <cell r="G2207">
            <v>38096</v>
          </cell>
          <cell r="H2207">
            <v>23.82</v>
          </cell>
          <cell r="J2207">
            <v>38092</v>
          </cell>
          <cell r="K2207">
            <v>8.64</v>
          </cell>
          <cell r="M2207">
            <v>38054</v>
          </cell>
          <cell r="N2207">
            <v>4.9000000000000004</v>
          </cell>
          <cell r="P2207">
            <v>38096</v>
          </cell>
          <cell r="Q2207">
            <v>17.411670000000001</v>
          </cell>
        </row>
        <row r="2208">
          <cell r="D2208">
            <v>38093</v>
          </cell>
          <cell r="E2208">
            <v>42.16</v>
          </cell>
          <cell r="G2208">
            <v>38093</v>
          </cell>
          <cell r="H2208">
            <v>24.05</v>
          </cell>
          <cell r="J2208">
            <v>38091</v>
          </cell>
          <cell r="K2208">
            <v>8.3000000000000007</v>
          </cell>
          <cell r="M2208">
            <v>38051</v>
          </cell>
          <cell r="N2208">
            <v>4.8</v>
          </cell>
          <cell r="P2208">
            <v>38093</v>
          </cell>
          <cell r="Q2208">
            <v>16.758330000000001</v>
          </cell>
        </row>
        <row r="2209">
          <cell r="D2209">
            <v>38092</v>
          </cell>
          <cell r="E2209">
            <v>43.59</v>
          </cell>
          <cell r="G2209">
            <v>38092</v>
          </cell>
          <cell r="H2209">
            <v>24.28</v>
          </cell>
          <cell r="J2209">
            <v>38090</v>
          </cell>
          <cell r="K2209">
            <v>9.4</v>
          </cell>
          <cell r="M2209">
            <v>38050</v>
          </cell>
          <cell r="N2209">
            <v>4.8</v>
          </cell>
          <cell r="P2209">
            <v>38092</v>
          </cell>
          <cell r="Q2209">
            <v>17.061669999999999</v>
          </cell>
        </row>
        <row r="2210">
          <cell r="D2210">
            <v>38091</v>
          </cell>
          <cell r="E2210">
            <v>44.71</v>
          </cell>
          <cell r="G2210">
            <v>38091</v>
          </cell>
          <cell r="H2210">
            <v>24.95</v>
          </cell>
          <cell r="J2210">
            <v>38089</v>
          </cell>
          <cell r="K2210">
            <v>8.1999999999999993</v>
          </cell>
          <cell r="M2210">
            <v>38049</v>
          </cell>
          <cell r="N2210">
            <v>4.8600000000000003</v>
          </cell>
          <cell r="P2210">
            <v>38091</v>
          </cell>
          <cell r="Q2210">
            <v>17.125</v>
          </cell>
        </row>
        <row r="2211">
          <cell r="D2211">
            <v>38090</v>
          </cell>
          <cell r="E2211">
            <v>42.98</v>
          </cell>
          <cell r="G2211">
            <v>38090</v>
          </cell>
          <cell r="H2211">
            <v>24.45</v>
          </cell>
          <cell r="J2211">
            <v>38085</v>
          </cell>
          <cell r="K2211">
            <v>7.21</v>
          </cell>
          <cell r="M2211">
            <v>38048</v>
          </cell>
          <cell r="N2211">
            <v>4.8099999999999996</v>
          </cell>
          <cell r="P2211">
            <v>38090</v>
          </cell>
          <cell r="Q2211">
            <v>17.503329999999998</v>
          </cell>
        </row>
        <row r="2212">
          <cell r="D2212">
            <v>38089</v>
          </cell>
          <cell r="E2212">
            <v>45.03</v>
          </cell>
          <cell r="G2212">
            <v>38089</v>
          </cell>
          <cell r="H2212">
            <v>27.18</v>
          </cell>
          <cell r="J2212">
            <v>38084</v>
          </cell>
          <cell r="K2212">
            <v>6.55</v>
          </cell>
          <cell r="M2212">
            <v>38047</v>
          </cell>
          <cell r="N2212">
            <v>4.87</v>
          </cell>
          <cell r="P2212">
            <v>38089</v>
          </cell>
          <cell r="Q2212">
            <v>18.176670000000001</v>
          </cell>
        </row>
        <row r="2213">
          <cell r="D2213">
            <v>38085</v>
          </cell>
          <cell r="E2213">
            <v>42.38</v>
          </cell>
          <cell r="G2213">
            <v>38085</v>
          </cell>
          <cell r="H2213">
            <v>26.45</v>
          </cell>
          <cell r="J2213">
            <v>38083</v>
          </cell>
          <cell r="K2213">
            <v>6.96</v>
          </cell>
          <cell r="M2213">
            <v>38044</v>
          </cell>
          <cell r="N2213">
            <v>4.92</v>
          </cell>
          <cell r="P2213">
            <v>38085</v>
          </cell>
          <cell r="Q2213">
            <v>17.581669999999999</v>
          </cell>
        </row>
        <row r="2214">
          <cell r="D2214">
            <v>38084</v>
          </cell>
          <cell r="E2214">
            <v>41.86</v>
          </cell>
          <cell r="G2214">
            <v>38084</v>
          </cell>
          <cell r="H2214">
            <v>24.94</v>
          </cell>
          <cell r="J2214">
            <v>38082</v>
          </cell>
          <cell r="K2214">
            <v>7.05</v>
          </cell>
          <cell r="M2214">
            <v>38043</v>
          </cell>
          <cell r="N2214">
            <v>4.97</v>
          </cell>
          <cell r="P2214">
            <v>38084</v>
          </cell>
          <cell r="Q2214">
            <v>17.996670000000002</v>
          </cell>
        </row>
        <row r="2215">
          <cell r="D2215">
            <v>38083</v>
          </cell>
          <cell r="E2215">
            <v>41.7</v>
          </cell>
          <cell r="G2215">
            <v>38083</v>
          </cell>
          <cell r="H2215">
            <v>23.54</v>
          </cell>
          <cell r="J2215">
            <v>38079</v>
          </cell>
          <cell r="K2215">
            <v>6.78</v>
          </cell>
          <cell r="M2215">
            <v>38042</v>
          </cell>
          <cell r="N2215">
            <v>4.75</v>
          </cell>
          <cell r="P2215">
            <v>38083</v>
          </cell>
          <cell r="Q2215">
            <v>18.296669999999999</v>
          </cell>
        </row>
        <row r="2216">
          <cell r="D2216">
            <v>38082</v>
          </cell>
          <cell r="E2216">
            <v>43.23</v>
          </cell>
          <cell r="G2216">
            <v>38082</v>
          </cell>
          <cell r="H2216">
            <v>23.26</v>
          </cell>
          <cell r="J2216">
            <v>38078</v>
          </cell>
          <cell r="K2216">
            <v>6.54</v>
          </cell>
          <cell r="M2216">
            <v>38041</v>
          </cell>
          <cell r="N2216">
            <v>4.88</v>
          </cell>
          <cell r="P2216">
            <v>38082</v>
          </cell>
          <cell r="Q2216">
            <v>17.808330000000002</v>
          </cell>
        </row>
        <row r="2217">
          <cell r="D2217">
            <v>38079</v>
          </cell>
          <cell r="E2217">
            <v>40.96</v>
          </cell>
          <cell r="G2217">
            <v>38079</v>
          </cell>
          <cell r="H2217">
            <v>23.01</v>
          </cell>
          <cell r="J2217">
            <v>38077</v>
          </cell>
          <cell r="K2217">
            <v>6.64</v>
          </cell>
          <cell r="M2217">
            <v>38040</v>
          </cell>
          <cell r="N2217">
            <v>4.68</v>
          </cell>
          <cell r="P2217">
            <v>38079</v>
          </cell>
          <cell r="Q2217">
            <v>17.356670000000001</v>
          </cell>
        </row>
        <row r="2218">
          <cell r="D2218">
            <v>38078</v>
          </cell>
          <cell r="E2218">
            <v>36.14</v>
          </cell>
          <cell r="G2218">
            <v>38078</v>
          </cell>
          <cell r="H2218">
            <v>22.86</v>
          </cell>
          <cell r="J2218">
            <v>38076</v>
          </cell>
          <cell r="K2218">
            <v>6.86</v>
          </cell>
          <cell r="M2218">
            <v>38037</v>
          </cell>
          <cell r="N2218">
            <v>4.7300000000000004</v>
          </cell>
          <cell r="P2218">
            <v>38078</v>
          </cell>
          <cell r="Q2218">
            <v>15.96</v>
          </cell>
        </row>
        <row r="2219">
          <cell r="D2219">
            <v>38077</v>
          </cell>
          <cell r="E2219">
            <v>36.49</v>
          </cell>
          <cell r="G2219">
            <v>38077</v>
          </cell>
          <cell r="H2219">
            <v>21.5</v>
          </cell>
          <cell r="J2219">
            <v>38075</v>
          </cell>
          <cell r="K2219">
            <v>6.54</v>
          </cell>
          <cell r="M2219">
            <v>38036</v>
          </cell>
          <cell r="N2219">
            <v>4.7699999999999996</v>
          </cell>
          <cell r="P2219">
            <v>38077</v>
          </cell>
          <cell r="Q2219">
            <v>15.555</v>
          </cell>
        </row>
        <row r="2220">
          <cell r="D2220">
            <v>38076</v>
          </cell>
          <cell r="E2220">
            <v>35.85</v>
          </cell>
          <cell r="G2220">
            <v>38076</v>
          </cell>
          <cell r="H2220">
            <v>20.69</v>
          </cell>
          <cell r="J2220">
            <v>38072</v>
          </cell>
          <cell r="K2220">
            <v>6.41</v>
          </cell>
          <cell r="M2220">
            <v>38035</v>
          </cell>
          <cell r="N2220">
            <v>4.92</v>
          </cell>
          <cell r="P2220">
            <v>38076</v>
          </cell>
          <cell r="Q2220">
            <v>16.02</v>
          </cell>
        </row>
        <row r="2221">
          <cell r="D2221">
            <v>38075</v>
          </cell>
          <cell r="E2221">
            <v>34.44</v>
          </cell>
          <cell r="G2221">
            <v>38075</v>
          </cell>
          <cell r="H2221">
            <v>20.51</v>
          </cell>
          <cell r="J2221">
            <v>38071</v>
          </cell>
          <cell r="K2221">
            <v>6.33</v>
          </cell>
          <cell r="M2221">
            <v>38034</v>
          </cell>
          <cell r="N2221">
            <v>4.8099999999999996</v>
          </cell>
          <cell r="P2221">
            <v>38075</v>
          </cell>
          <cell r="Q2221">
            <v>15.66333</v>
          </cell>
        </row>
        <row r="2222">
          <cell r="D2222">
            <v>38072</v>
          </cell>
          <cell r="E2222">
            <v>33.81</v>
          </cell>
          <cell r="G2222">
            <v>38072</v>
          </cell>
          <cell r="H2222">
            <v>20.55</v>
          </cell>
          <cell r="J2222">
            <v>38070</v>
          </cell>
          <cell r="K2222">
            <v>6.35</v>
          </cell>
          <cell r="M2222">
            <v>38030</v>
          </cell>
          <cell r="N2222">
            <v>4.74</v>
          </cell>
          <cell r="P2222">
            <v>38072</v>
          </cell>
          <cell r="Q2222">
            <v>14.946669999999999</v>
          </cell>
        </row>
        <row r="2223">
          <cell r="D2223">
            <v>38071</v>
          </cell>
          <cell r="E2223">
            <v>33.01</v>
          </cell>
          <cell r="G2223">
            <v>38071</v>
          </cell>
          <cell r="H2223">
            <v>18.649999999999999</v>
          </cell>
          <cell r="J2223">
            <v>38069</v>
          </cell>
          <cell r="K2223">
            <v>6.34</v>
          </cell>
          <cell r="M2223">
            <v>38029</v>
          </cell>
          <cell r="N2223">
            <v>4.8499999999999996</v>
          </cell>
          <cell r="P2223">
            <v>38071</v>
          </cell>
          <cell r="Q2223">
            <v>14.87</v>
          </cell>
        </row>
        <row r="2224">
          <cell r="D2224">
            <v>38070</v>
          </cell>
          <cell r="E2224">
            <v>30.32</v>
          </cell>
          <cell r="G2224">
            <v>38070</v>
          </cell>
          <cell r="H2224">
            <v>18</v>
          </cell>
          <cell r="J2224">
            <v>38068</v>
          </cell>
          <cell r="K2224">
            <v>6.4</v>
          </cell>
          <cell r="M2224">
            <v>38028</v>
          </cell>
          <cell r="N2224">
            <v>4.641</v>
          </cell>
          <cell r="P2224">
            <v>38070</v>
          </cell>
          <cell r="Q2224">
            <v>14.33667</v>
          </cell>
        </row>
        <row r="2225">
          <cell r="D2225">
            <v>38069</v>
          </cell>
          <cell r="E2225">
            <v>31</v>
          </cell>
          <cell r="G2225">
            <v>38069</v>
          </cell>
          <cell r="H2225">
            <v>17.600000000000001</v>
          </cell>
          <cell r="J2225">
            <v>38065</v>
          </cell>
          <cell r="K2225">
            <v>6.65</v>
          </cell>
          <cell r="M2225">
            <v>38027</v>
          </cell>
          <cell r="N2225">
            <v>4.66</v>
          </cell>
          <cell r="P2225">
            <v>38069</v>
          </cell>
          <cell r="Q2225">
            <v>14.44</v>
          </cell>
        </row>
        <row r="2226">
          <cell r="D2226">
            <v>38068</v>
          </cell>
          <cell r="E2226">
            <v>30</v>
          </cell>
          <cell r="G2226">
            <v>38068</v>
          </cell>
          <cell r="H2226">
            <v>18.559999999999999</v>
          </cell>
          <cell r="J2226">
            <v>38064</v>
          </cell>
          <cell r="K2226">
            <v>6.6</v>
          </cell>
          <cell r="M2226">
            <v>38026</v>
          </cell>
          <cell r="N2226">
            <v>4.88</v>
          </cell>
          <cell r="P2226">
            <v>38068</v>
          </cell>
          <cell r="Q2226">
            <v>15.06667</v>
          </cell>
        </row>
        <row r="2227">
          <cell r="D2227">
            <v>38065</v>
          </cell>
          <cell r="E2227">
            <v>31.93</v>
          </cell>
          <cell r="G2227">
            <v>38065</v>
          </cell>
          <cell r="H2227">
            <v>18.350000000000001</v>
          </cell>
          <cell r="J2227">
            <v>38063</v>
          </cell>
          <cell r="K2227">
            <v>6.74</v>
          </cell>
          <cell r="M2227">
            <v>38023</v>
          </cell>
          <cell r="N2227">
            <v>4.63</v>
          </cell>
          <cell r="P2227">
            <v>38065</v>
          </cell>
          <cell r="Q2227">
            <v>16.065000000000001</v>
          </cell>
        </row>
        <row r="2228">
          <cell r="D2228">
            <v>38064</v>
          </cell>
          <cell r="E2228">
            <v>31.84</v>
          </cell>
          <cell r="G2228">
            <v>38064</v>
          </cell>
          <cell r="H2228">
            <v>18.510000000000002</v>
          </cell>
          <cell r="J2228">
            <v>38062</v>
          </cell>
          <cell r="K2228">
            <v>6.6</v>
          </cell>
          <cell r="M2228">
            <v>38022</v>
          </cell>
          <cell r="N2228">
            <v>4.5999999999999996</v>
          </cell>
          <cell r="P2228">
            <v>38064</v>
          </cell>
          <cell r="Q2228">
            <v>15.83333</v>
          </cell>
        </row>
        <row r="2229">
          <cell r="D2229">
            <v>38063</v>
          </cell>
          <cell r="E2229">
            <v>30.82</v>
          </cell>
          <cell r="G2229">
            <v>38063</v>
          </cell>
          <cell r="H2229">
            <v>19.059999999999999</v>
          </cell>
          <cell r="J2229">
            <v>38061</v>
          </cell>
          <cell r="K2229">
            <v>6.74</v>
          </cell>
          <cell r="M2229">
            <v>38021</v>
          </cell>
          <cell r="N2229">
            <v>4.5599999999999996</v>
          </cell>
          <cell r="P2229">
            <v>38063</v>
          </cell>
          <cell r="Q2229">
            <v>15.77333</v>
          </cell>
        </row>
        <row r="2230">
          <cell r="D2230">
            <v>38062</v>
          </cell>
          <cell r="E2230">
            <v>30.19</v>
          </cell>
          <cell r="G2230">
            <v>38062</v>
          </cell>
          <cell r="H2230">
            <v>16.29</v>
          </cell>
          <cell r="J2230">
            <v>38058</v>
          </cell>
          <cell r="K2230">
            <v>6.82</v>
          </cell>
          <cell r="M2230">
            <v>38020</v>
          </cell>
          <cell r="N2230">
            <v>4.51</v>
          </cell>
          <cell r="P2230">
            <v>38062</v>
          </cell>
          <cell r="Q2230">
            <v>15.518330000000001</v>
          </cell>
        </row>
        <row r="2231">
          <cell r="D2231">
            <v>38061</v>
          </cell>
          <cell r="E2231">
            <v>29.11</v>
          </cell>
          <cell r="G2231">
            <v>38061</v>
          </cell>
          <cell r="H2231">
            <v>16.850000000000001</v>
          </cell>
          <cell r="J2231">
            <v>38057</v>
          </cell>
          <cell r="K2231">
            <v>6.6</v>
          </cell>
          <cell r="M2231">
            <v>38019</v>
          </cell>
          <cell r="N2231">
            <v>4.55</v>
          </cell>
          <cell r="P2231">
            <v>38061</v>
          </cell>
          <cell r="Q2231">
            <v>15.456670000000001</v>
          </cell>
        </row>
        <row r="2232">
          <cell r="D2232">
            <v>38058</v>
          </cell>
          <cell r="E2232">
            <v>30.3</v>
          </cell>
          <cell r="G2232">
            <v>38058</v>
          </cell>
          <cell r="H2232">
            <v>18.21</v>
          </cell>
          <cell r="J2232">
            <v>38056</v>
          </cell>
          <cell r="K2232">
            <v>6.46</v>
          </cell>
          <cell r="M2232">
            <v>38016</v>
          </cell>
          <cell r="N2232">
            <v>4.45</v>
          </cell>
          <cell r="P2232">
            <v>38058</v>
          </cell>
          <cell r="Q2232">
            <v>15.88</v>
          </cell>
        </row>
        <row r="2233">
          <cell r="D2233">
            <v>38057</v>
          </cell>
          <cell r="E2233">
            <v>29.82</v>
          </cell>
          <cell r="G2233">
            <v>38057</v>
          </cell>
          <cell r="H2233">
            <v>17.7</v>
          </cell>
          <cell r="J2233">
            <v>38055</v>
          </cell>
          <cell r="K2233">
            <v>6.63</v>
          </cell>
          <cell r="M2233">
            <v>38015</v>
          </cell>
          <cell r="N2233">
            <v>4.55</v>
          </cell>
          <cell r="P2233">
            <v>38057</v>
          </cell>
          <cell r="Q2233">
            <v>15.51667</v>
          </cell>
        </row>
        <row r="2234">
          <cell r="D2234">
            <v>38056</v>
          </cell>
          <cell r="E2234">
            <v>30.24</v>
          </cell>
          <cell r="G2234">
            <v>38056</v>
          </cell>
          <cell r="H2234">
            <v>18.36</v>
          </cell>
          <cell r="J2234">
            <v>38054</v>
          </cell>
          <cell r="K2234">
            <v>6.73</v>
          </cell>
          <cell r="M2234">
            <v>38014</v>
          </cell>
          <cell r="N2234">
            <v>4.55</v>
          </cell>
          <cell r="P2234">
            <v>38056</v>
          </cell>
          <cell r="Q2234">
            <v>15.838329999999999</v>
          </cell>
        </row>
        <row r="2235">
          <cell r="D2235">
            <v>38055</v>
          </cell>
          <cell r="E2235">
            <v>30.7</v>
          </cell>
          <cell r="G2235">
            <v>38055</v>
          </cell>
          <cell r="H2235">
            <v>19.2</v>
          </cell>
          <cell r="J2235">
            <v>38051</v>
          </cell>
          <cell r="K2235">
            <v>7.07</v>
          </cell>
          <cell r="M2235">
            <v>38013</v>
          </cell>
          <cell r="N2235">
            <v>4.53</v>
          </cell>
          <cell r="P2235">
            <v>38055</v>
          </cell>
          <cell r="Q2235">
            <v>16.155000000000001</v>
          </cell>
        </row>
        <row r="2236">
          <cell r="D2236">
            <v>38054</v>
          </cell>
          <cell r="E2236">
            <v>30.73</v>
          </cell>
          <cell r="G2236">
            <v>38054</v>
          </cell>
          <cell r="H2236">
            <v>19.05</v>
          </cell>
          <cell r="J2236">
            <v>38050</v>
          </cell>
          <cell r="K2236">
            <v>7.07</v>
          </cell>
          <cell r="M2236">
            <v>38012</v>
          </cell>
          <cell r="N2236">
            <v>4.51</v>
          </cell>
          <cell r="P2236">
            <v>38054</v>
          </cell>
          <cell r="Q2236">
            <v>16.133330000000001</v>
          </cell>
        </row>
        <row r="2237">
          <cell r="D2237">
            <v>38051</v>
          </cell>
          <cell r="E2237">
            <v>31.28</v>
          </cell>
          <cell r="G2237">
            <v>38051</v>
          </cell>
          <cell r="H2237">
            <v>19.8</v>
          </cell>
          <cell r="J2237">
            <v>38049</v>
          </cell>
          <cell r="K2237">
            <v>7.06</v>
          </cell>
          <cell r="M2237">
            <v>38009</v>
          </cell>
          <cell r="N2237">
            <v>4.55</v>
          </cell>
          <cell r="P2237">
            <v>38051</v>
          </cell>
          <cell r="Q2237">
            <v>16.66</v>
          </cell>
        </row>
        <row r="2238">
          <cell r="D2238">
            <v>38050</v>
          </cell>
          <cell r="E2238">
            <v>28.05</v>
          </cell>
          <cell r="G2238">
            <v>38050</v>
          </cell>
          <cell r="H2238">
            <v>18.5</v>
          </cell>
          <cell r="J2238">
            <v>38048</v>
          </cell>
          <cell r="K2238">
            <v>6.85</v>
          </cell>
          <cell r="M2238">
            <v>38008</v>
          </cell>
          <cell r="N2238">
            <v>4.47</v>
          </cell>
          <cell r="P2238">
            <v>38050</v>
          </cell>
          <cell r="Q2238">
            <v>16.651669999999999</v>
          </cell>
        </row>
        <row r="2239">
          <cell r="D2239">
            <v>38049</v>
          </cell>
          <cell r="E2239">
            <v>27.17</v>
          </cell>
          <cell r="G2239">
            <v>38049</v>
          </cell>
          <cell r="H2239">
            <v>18.39</v>
          </cell>
          <cell r="J2239">
            <v>38047</v>
          </cell>
          <cell r="K2239">
            <v>6.86</v>
          </cell>
          <cell r="M2239">
            <v>38007</v>
          </cell>
          <cell r="N2239">
            <v>4.42</v>
          </cell>
          <cell r="P2239">
            <v>38049</v>
          </cell>
          <cell r="Q2239">
            <v>16.315000000000001</v>
          </cell>
        </row>
        <row r="2240">
          <cell r="D2240">
            <v>38048</v>
          </cell>
          <cell r="E2240">
            <v>28.26</v>
          </cell>
          <cell r="G2240">
            <v>38048</v>
          </cell>
          <cell r="H2240">
            <v>18.11</v>
          </cell>
          <cell r="J2240">
            <v>38044</v>
          </cell>
          <cell r="K2240">
            <v>6.9</v>
          </cell>
          <cell r="M2240">
            <v>38006</v>
          </cell>
          <cell r="N2240">
            <v>4.3099999999999996</v>
          </cell>
          <cell r="P2240">
            <v>38048</v>
          </cell>
          <cell r="Q2240">
            <v>16.41667</v>
          </cell>
        </row>
        <row r="2241">
          <cell r="D2241">
            <v>38047</v>
          </cell>
          <cell r="E2241">
            <v>28.28</v>
          </cell>
          <cell r="G2241">
            <v>38047</v>
          </cell>
          <cell r="H2241">
            <v>18.940000000000001</v>
          </cell>
          <cell r="J2241">
            <v>38043</v>
          </cell>
          <cell r="K2241">
            <v>6.79</v>
          </cell>
          <cell r="M2241">
            <v>38002</v>
          </cell>
          <cell r="N2241">
            <v>4.41</v>
          </cell>
          <cell r="P2241">
            <v>38047</v>
          </cell>
          <cell r="Q2241">
            <v>16.80667</v>
          </cell>
        </row>
        <row r="2242">
          <cell r="D2242">
            <v>38044</v>
          </cell>
          <cell r="E2242">
            <v>27.39</v>
          </cell>
          <cell r="G2242">
            <v>38044</v>
          </cell>
          <cell r="H2242">
            <v>19.25</v>
          </cell>
          <cell r="J2242">
            <v>38042</v>
          </cell>
          <cell r="K2242">
            <v>6.8689999999999998</v>
          </cell>
          <cell r="M2242">
            <v>38001</v>
          </cell>
          <cell r="N2242">
            <v>4.3</v>
          </cell>
          <cell r="P2242">
            <v>38044</v>
          </cell>
          <cell r="Q2242">
            <v>16.483329999999999</v>
          </cell>
        </row>
        <row r="2243">
          <cell r="D2243">
            <v>38043</v>
          </cell>
          <cell r="E2243">
            <v>27.21</v>
          </cell>
          <cell r="G2243">
            <v>38043</v>
          </cell>
          <cell r="H2243">
            <v>19.18</v>
          </cell>
          <cell r="J2243">
            <v>38041</v>
          </cell>
          <cell r="K2243">
            <v>6.5389999999999997</v>
          </cell>
          <cell r="M2243">
            <v>38000</v>
          </cell>
          <cell r="N2243">
            <v>4.2300000000000004</v>
          </cell>
          <cell r="P2243">
            <v>38043</v>
          </cell>
          <cell r="Q2243">
            <v>16.100000000000001</v>
          </cell>
        </row>
        <row r="2244">
          <cell r="D2244">
            <v>38042</v>
          </cell>
          <cell r="E2244">
            <v>26.12</v>
          </cell>
          <cell r="G2244">
            <v>38042</v>
          </cell>
          <cell r="H2244">
            <v>18.37</v>
          </cell>
          <cell r="J2244">
            <v>38040</v>
          </cell>
          <cell r="K2244">
            <v>6.2009999999999996</v>
          </cell>
          <cell r="M2244">
            <v>37999</v>
          </cell>
          <cell r="N2244">
            <v>4.16</v>
          </cell>
          <cell r="P2244">
            <v>38042</v>
          </cell>
          <cell r="Q2244">
            <v>15.43333</v>
          </cell>
        </row>
        <row r="2245">
          <cell r="D2245">
            <v>38041</v>
          </cell>
          <cell r="E2245">
            <v>25.08</v>
          </cell>
          <cell r="G2245">
            <v>38041</v>
          </cell>
          <cell r="H2245">
            <v>18.649999999999999</v>
          </cell>
          <cell r="J2245">
            <v>38037</v>
          </cell>
          <cell r="K2245">
            <v>6.23</v>
          </cell>
          <cell r="M2245">
            <v>37998</v>
          </cell>
          <cell r="N2245">
            <v>4.25</v>
          </cell>
          <cell r="P2245">
            <v>38041</v>
          </cell>
          <cell r="Q2245">
            <v>14.81833</v>
          </cell>
        </row>
        <row r="2246">
          <cell r="D2246">
            <v>38040</v>
          </cell>
          <cell r="E2246">
            <v>26.04</v>
          </cell>
          <cell r="G2246">
            <v>38040</v>
          </cell>
          <cell r="H2246">
            <v>18.940000000000001</v>
          </cell>
          <cell r="J2246">
            <v>38036</v>
          </cell>
          <cell r="K2246">
            <v>6.5</v>
          </cell>
          <cell r="M2246">
            <v>37995</v>
          </cell>
          <cell r="N2246">
            <v>4.1500000000000004</v>
          </cell>
          <cell r="P2246">
            <v>38040</v>
          </cell>
          <cell r="Q2246">
            <v>14.6</v>
          </cell>
        </row>
        <row r="2247">
          <cell r="D2247">
            <v>38037</v>
          </cell>
          <cell r="E2247">
            <v>26.87</v>
          </cell>
          <cell r="G2247">
            <v>38037</v>
          </cell>
          <cell r="H2247">
            <v>17.95</v>
          </cell>
          <cell r="J2247">
            <v>38035</v>
          </cell>
          <cell r="K2247">
            <v>6.4809999999999999</v>
          </cell>
          <cell r="M2247">
            <v>37994</v>
          </cell>
          <cell r="N2247">
            <v>4</v>
          </cell>
          <cell r="P2247">
            <v>38037</v>
          </cell>
          <cell r="Q2247">
            <v>15.03</v>
          </cell>
        </row>
        <row r="2248">
          <cell r="D2248">
            <v>38036</v>
          </cell>
          <cell r="E2248">
            <v>27.63</v>
          </cell>
          <cell r="G2248">
            <v>38036</v>
          </cell>
          <cell r="H2248">
            <v>19.45</v>
          </cell>
          <cell r="J2248">
            <v>38034</v>
          </cell>
          <cell r="K2248">
            <v>6.3310000000000004</v>
          </cell>
          <cell r="M2248">
            <v>37993</v>
          </cell>
          <cell r="N2248">
            <v>4.0999999999999996</v>
          </cell>
          <cell r="P2248">
            <v>38036</v>
          </cell>
          <cell r="Q2248">
            <v>15.231669999999999</v>
          </cell>
        </row>
        <row r="2249">
          <cell r="D2249">
            <v>38035</v>
          </cell>
          <cell r="E2249">
            <v>27.65</v>
          </cell>
          <cell r="G2249">
            <v>38035</v>
          </cell>
          <cell r="H2249">
            <v>20.6</v>
          </cell>
          <cell r="J2249">
            <v>38030</v>
          </cell>
          <cell r="K2249">
            <v>6.42</v>
          </cell>
          <cell r="M2249">
            <v>37992</v>
          </cell>
          <cell r="N2249">
            <v>3.92</v>
          </cell>
          <cell r="P2249">
            <v>38035</v>
          </cell>
          <cell r="Q2249">
            <v>15.466670000000001</v>
          </cell>
        </row>
        <row r="2250">
          <cell r="D2250">
            <v>38034</v>
          </cell>
          <cell r="E2250">
            <v>28.8</v>
          </cell>
          <cell r="G2250">
            <v>38034</v>
          </cell>
          <cell r="H2250">
            <v>16.7</v>
          </cell>
          <cell r="J2250">
            <v>38029</v>
          </cell>
          <cell r="K2250">
            <v>6.359</v>
          </cell>
          <cell r="M2250">
            <v>37991</v>
          </cell>
          <cell r="N2250">
            <v>3.92</v>
          </cell>
          <cell r="P2250">
            <v>38034</v>
          </cell>
          <cell r="Q2250">
            <v>15.74333</v>
          </cell>
        </row>
        <row r="2251">
          <cell r="D2251">
            <v>38030</v>
          </cell>
          <cell r="E2251">
            <v>25.59</v>
          </cell>
          <cell r="G2251">
            <v>38030</v>
          </cell>
          <cell r="H2251">
            <v>16.37</v>
          </cell>
          <cell r="J2251">
            <v>38028</v>
          </cell>
          <cell r="K2251">
            <v>6.54</v>
          </cell>
          <cell r="M2251">
            <v>37988</v>
          </cell>
          <cell r="N2251">
            <v>3.85</v>
          </cell>
          <cell r="P2251">
            <v>38030</v>
          </cell>
          <cell r="Q2251">
            <v>15.80833</v>
          </cell>
        </row>
        <row r="2252">
          <cell r="D2252">
            <v>38029</v>
          </cell>
          <cell r="E2252">
            <v>26.15</v>
          </cell>
          <cell r="G2252">
            <v>38029</v>
          </cell>
          <cell r="H2252">
            <v>16.48</v>
          </cell>
          <cell r="J2252">
            <v>38027</v>
          </cell>
          <cell r="K2252">
            <v>6.26</v>
          </cell>
          <cell r="M2252">
            <v>37986</v>
          </cell>
          <cell r="N2252">
            <v>3.8</v>
          </cell>
          <cell r="P2252">
            <v>38029</v>
          </cell>
          <cell r="Q2252">
            <v>15.741669999999999</v>
          </cell>
        </row>
        <row r="2253">
          <cell r="D2253">
            <v>38028</v>
          </cell>
          <cell r="E2253">
            <v>27.15</v>
          </cell>
          <cell r="G2253">
            <v>38028</v>
          </cell>
          <cell r="H2253">
            <v>16.760000000000002</v>
          </cell>
          <cell r="J2253">
            <v>38026</v>
          </cell>
          <cell r="K2253">
            <v>6.34</v>
          </cell>
          <cell r="M2253">
            <v>37985</v>
          </cell>
          <cell r="N2253">
            <v>3.6560000000000001</v>
          </cell>
          <cell r="P2253">
            <v>38028</v>
          </cell>
          <cell r="Q2253">
            <v>15.64667</v>
          </cell>
        </row>
        <row r="2254">
          <cell r="D2254">
            <v>38027</v>
          </cell>
          <cell r="E2254">
            <v>27.9</v>
          </cell>
          <cell r="G2254">
            <v>38027</v>
          </cell>
          <cell r="H2254">
            <v>12.59</v>
          </cell>
          <cell r="J2254">
            <v>38023</v>
          </cell>
          <cell r="K2254">
            <v>6.65</v>
          </cell>
          <cell r="M2254">
            <v>37984</v>
          </cell>
          <cell r="N2254">
            <v>3.65</v>
          </cell>
          <cell r="P2254">
            <v>38027</v>
          </cell>
          <cell r="Q2254">
            <v>15.24</v>
          </cell>
        </row>
        <row r="2255">
          <cell r="D2255">
            <v>38026</v>
          </cell>
          <cell r="E2255">
            <v>27.95</v>
          </cell>
          <cell r="G2255">
            <v>38026</v>
          </cell>
          <cell r="H2255">
            <v>11.6</v>
          </cell>
          <cell r="J2255">
            <v>38022</v>
          </cell>
          <cell r="K2255">
            <v>6.7290000000000001</v>
          </cell>
          <cell r="M2255">
            <v>37981</v>
          </cell>
          <cell r="N2255">
            <v>3.6</v>
          </cell>
          <cell r="P2255">
            <v>38026</v>
          </cell>
          <cell r="Q2255">
            <v>15.27833</v>
          </cell>
        </row>
        <row r="2256">
          <cell r="D2256">
            <v>38023</v>
          </cell>
          <cell r="E2256">
            <v>28.5</v>
          </cell>
          <cell r="G2256">
            <v>38023</v>
          </cell>
          <cell r="H2256">
            <v>12.6</v>
          </cell>
          <cell r="J2256">
            <v>38021</v>
          </cell>
          <cell r="K2256">
            <v>7.069</v>
          </cell>
          <cell r="M2256">
            <v>37979</v>
          </cell>
          <cell r="N2256">
            <v>3.57</v>
          </cell>
          <cell r="P2256">
            <v>38023</v>
          </cell>
          <cell r="Q2256">
            <v>15.283329999999999</v>
          </cell>
        </row>
        <row r="2257">
          <cell r="D2257">
            <v>38022</v>
          </cell>
          <cell r="E2257">
            <v>26.6</v>
          </cell>
          <cell r="G2257">
            <v>38022</v>
          </cell>
          <cell r="H2257">
            <v>13.15</v>
          </cell>
          <cell r="J2257">
            <v>38020</v>
          </cell>
          <cell r="K2257">
            <v>7.17</v>
          </cell>
          <cell r="M2257">
            <v>37978</v>
          </cell>
          <cell r="N2257">
            <v>3.5209999999999999</v>
          </cell>
          <cell r="P2257">
            <v>38022</v>
          </cell>
          <cell r="Q2257">
            <v>14.725</v>
          </cell>
        </row>
        <row r="2258">
          <cell r="D2258">
            <v>38021</v>
          </cell>
          <cell r="E2258">
            <v>25.64</v>
          </cell>
          <cell r="G2258">
            <v>38021</v>
          </cell>
          <cell r="H2258">
            <v>13.1</v>
          </cell>
          <cell r="J2258">
            <v>38019</v>
          </cell>
          <cell r="K2258">
            <v>7.41</v>
          </cell>
          <cell r="M2258">
            <v>37977</v>
          </cell>
          <cell r="N2258">
            <v>3.44</v>
          </cell>
          <cell r="P2258">
            <v>38021</v>
          </cell>
          <cell r="Q2258">
            <v>14.35167</v>
          </cell>
        </row>
        <row r="2259">
          <cell r="D2259">
            <v>38020</v>
          </cell>
          <cell r="E2259">
            <v>26.791</v>
          </cell>
          <cell r="G2259">
            <v>38020</v>
          </cell>
          <cell r="H2259">
            <v>13.08</v>
          </cell>
          <cell r="J2259">
            <v>38016</v>
          </cell>
          <cell r="K2259">
            <v>7.34</v>
          </cell>
          <cell r="M2259">
            <v>37974</v>
          </cell>
          <cell r="N2259">
            <v>3.46</v>
          </cell>
          <cell r="P2259">
            <v>38020</v>
          </cell>
          <cell r="Q2259">
            <v>14.282999999999999</v>
          </cell>
        </row>
        <row r="2260">
          <cell r="D2260">
            <v>38019</v>
          </cell>
          <cell r="E2260">
            <v>28.14</v>
          </cell>
          <cell r="G2260">
            <v>38019</v>
          </cell>
          <cell r="H2260">
            <v>12.8</v>
          </cell>
          <cell r="J2260">
            <v>38015</v>
          </cell>
          <cell r="K2260">
            <v>7.47</v>
          </cell>
          <cell r="M2260">
            <v>37973</v>
          </cell>
          <cell r="N2260">
            <v>3.5</v>
          </cell>
          <cell r="P2260">
            <v>38019</v>
          </cell>
          <cell r="Q2260">
            <v>14.011670000000001</v>
          </cell>
        </row>
        <row r="2261">
          <cell r="D2261">
            <v>38016</v>
          </cell>
          <cell r="E2261">
            <v>27.14</v>
          </cell>
          <cell r="G2261">
            <v>38016</v>
          </cell>
          <cell r="H2261">
            <v>12.4</v>
          </cell>
          <cell r="J2261">
            <v>38014</v>
          </cell>
          <cell r="K2261">
            <v>7.42</v>
          </cell>
          <cell r="M2261">
            <v>37972</v>
          </cell>
          <cell r="N2261">
            <v>3.7</v>
          </cell>
          <cell r="P2261">
            <v>38016</v>
          </cell>
          <cell r="Q2261">
            <v>14.50333</v>
          </cell>
        </row>
        <row r="2262">
          <cell r="D2262">
            <v>38015</v>
          </cell>
          <cell r="E2262">
            <v>25.55</v>
          </cell>
          <cell r="G2262">
            <v>38015</v>
          </cell>
          <cell r="H2262">
            <v>12.8</v>
          </cell>
          <cell r="J2262">
            <v>38013</v>
          </cell>
          <cell r="K2262">
            <v>7.56</v>
          </cell>
          <cell r="M2262">
            <v>37971</v>
          </cell>
          <cell r="N2262">
            <v>3.5</v>
          </cell>
          <cell r="P2262">
            <v>38015</v>
          </cell>
          <cell r="Q2262">
            <v>14.31833</v>
          </cell>
        </row>
        <row r="2263">
          <cell r="D2263">
            <v>38014</v>
          </cell>
          <cell r="E2263">
            <v>22.48</v>
          </cell>
          <cell r="G2263">
            <v>38014</v>
          </cell>
          <cell r="H2263">
            <v>11.51</v>
          </cell>
          <cell r="J2263">
            <v>38012</v>
          </cell>
          <cell r="K2263">
            <v>7.4</v>
          </cell>
          <cell r="M2263">
            <v>37970</v>
          </cell>
          <cell r="N2263">
            <v>3.45</v>
          </cell>
          <cell r="P2263">
            <v>38014</v>
          </cell>
          <cell r="Q2263">
            <v>14.17</v>
          </cell>
        </row>
        <row r="2264">
          <cell r="D2264">
            <v>38013</v>
          </cell>
          <cell r="E2264">
            <v>23.13</v>
          </cell>
          <cell r="G2264">
            <v>38013</v>
          </cell>
          <cell r="H2264">
            <v>12.19</v>
          </cell>
          <cell r="J2264">
            <v>38009</v>
          </cell>
          <cell r="K2264">
            <v>7.65</v>
          </cell>
          <cell r="M2264">
            <v>37967</v>
          </cell>
          <cell r="N2264">
            <v>3.49</v>
          </cell>
          <cell r="P2264">
            <v>38013</v>
          </cell>
          <cell r="Q2264">
            <v>14.946669999999999</v>
          </cell>
        </row>
        <row r="2265">
          <cell r="D2265">
            <v>38012</v>
          </cell>
          <cell r="E2265">
            <v>23.88</v>
          </cell>
          <cell r="G2265">
            <v>38012</v>
          </cell>
          <cell r="H2265">
            <v>13.02</v>
          </cell>
          <cell r="J2265">
            <v>38008</v>
          </cell>
          <cell r="K2265">
            <v>7.8</v>
          </cell>
          <cell r="M2265">
            <v>37966</v>
          </cell>
          <cell r="N2265">
            <v>3.6</v>
          </cell>
          <cell r="P2265">
            <v>38012</v>
          </cell>
          <cell r="Q2265">
            <v>15.126670000000001</v>
          </cell>
        </row>
        <row r="2266">
          <cell r="D2266">
            <v>38009</v>
          </cell>
          <cell r="E2266">
            <v>22.9</v>
          </cell>
          <cell r="G2266">
            <v>38009</v>
          </cell>
          <cell r="H2266">
            <v>13.2</v>
          </cell>
          <cell r="J2266">
            <v>38007</v>
          </cell>
          <cell r="K2266">
            <v>7.7</v>
          </cell>
          <cell r="M2266">
            <v>37965</v>
          </cell>
          <cell r="N2266">
            <v>3.5</v>
          </cell>
          <cell r="P2266">
            <v>38009</v>
          </cell>
          <cell r="Q2266">
            <v>14.19167</v>
          </cell>
        </row>
        <row r="2267">
          <cell r="D2267">
            <v>38008</v>
          </cell>
          <cell r="E2267">
            <v>22.23</v>
          </cell>
          <cell r="G2267">
            <v>38008</v>
          </cell>
          <cell r="H2267">
            <v>11.61</v>
          </cell>
          <cell r="J2267">
            <v>38006</v>
          </cell>
          <cell r="K2267">
            <v>8.36</v>
          </cell>
          <cell r="M2267">
            <v>37964</v>
          </cell>
          <cell r="N2267">
            <v>3.85</v>
          </cell>
          <cell r="P2267">
            <v>38008</v>
          </cell>
          <cell r="Q2267">
            <v>14.07667</v>
          </cell>
        </row>
        <row r="2268">
          <cell r="D2268">
            <v>38007</v>
          </cell>
          <cell r="E2268">
            <v>22.77</v>
          </cell>
          <cell r="G2268">
            <v>38007</v>
          </cell>
          <cell r="H2268">
            <v>12.09</v>
          </cell>
          <cell r="J2268">
            <v>38002</v>
          </cell>
          <cell r="K2268">
            <v>6.9</v>
          </cell>
          <cell r="M2268">
            <v>37963</v>
          </cell>
          <cell r="N2268">
            <v>3.661</v>
          </cell>
          <cell r="P2268">
            <v>38007</v>
          </cell>
          <cell r="Q2268">
            <v>14.31</v>
          </cell>
        </row>
        <row r="2269">
          <cell r="D2269">
            <v>38006</v>
          </cell>
          <cell r="E2269">
            <v>24.725000000000001</v>
          </cell>
          <cell r="G2269">
            <v>38006</v>
          </cell>
          <cell r="H2269">
            <v>10.5</v>
          </cell>
          <cell r="J2269">
            <v>38001</v>
          </cell>
          <cell r="K2269">
            <v>6.55</v>
          </cell>
          <cell r="M2269">
            <v>37960</v>
          </cell>
          <cell r="N2269">
            <v>3.65</v>
          </cell>
          <cell r="P2269">
            <v>38006</v>
          </cell>
          <cell r="Q2269">
            <v>14.63</v>
          </cell>
        </row>
        <row r="2270">
          <cell r="D2270">
            <v>38002</v>
          </cell>
          <cell r="E2270">
            <v>23.44</v>
          </cell>
          <cell r="G2270">
            <v>38002</v>
          </cell>
          <cell r="H2270">
            <v>9.3000000000000007</v>
          </cell>
          <cell r="J2270">
            <v>38000</v>
          </cell>
          <cell r="K2270">
            <v>6.74</v>
          </cell>
          <cell r="M2270">
            <v>37959</v>
          </cell>
          <cell r="N2270">
            <v>3.75</v>
          </cell>
          <cell r="P2270">
            <v>38002</v>
          </cell>
          <cell r="Q2270">
            <v>13.94167</v>
          </cell>
        </row>
        <row r="2271">
          <cell r="D2271">
            <v>38001</v>
          </cell>
          <cell r="E2271">
            <v>21.4</v>
          </cell>
          <cell r="G2271">
            <v>38001</v>
          </cell>
          <cell r="H2271">
            <v>8.75</v>
          </cell>
          <cell r="J2271">
            <v>37999</v>
          </cell>
          <cell r="K2271">
            <v>6.3</v>
          </cell>
          <cell r="M2271">
            <v>37958</v>
          </cell>
          <cell r="N2271">
            <v>3.88</v>
          </cell>
          <cell r="P2271">
            <v>38001</v>
          </cell>
          <cell r="Q2271">
            <v>13.66667</v>
          </cell>
        </row>
        <row r="2272">
          <cell r="D2272">
            <v>38000</v>
          </cell>
          <cell r="E2272">
            <v>21.5</v>
          </cell>
          <cell r="G2272">
            <v>38000</v>
          </cell>
          <cell r="H2272">
            <v>8.99</v>
          </cell>
          <cell r="J2272">
            <v>37998</v>
          </cell>
          <cell r="K2272">
            <v>6.25</v>
          </cell>
          <cell r="M2272">
            <v>37957</v>
          </cell>
          <cell r="N2272">
            <v>3.75</v>
          </cell>
          <cell r="P2272">
            <v>38000</v>
          </cell>
          <cell r="Q2272">
            <v>13.20167</v>
          </cell>
        </row>
        <row r="2273">
          <cell r="D2273">
            <v>37999</v>
          </cell>
          <cell r="E2273">
            <v>21.28</v>
          </cell>
          <cell r="G2273">
            <v>37999</v>
          </cell>
          <cell r="H2273">
            <v>8.0399999999999991</v>
          </cell>
          <cell r="J2273">
            <v>37995</v>
          </cell>
          <cell r="K2273">
            <v>6.3</v>
          </cell>
          <cell r="M2273">
            <v>37956</v>
          </cell>
          <cell r="N2273">
            <v>3.8</v>
          </cell>
          <cell r="P2273">
            <v>37999</v>
          </cell>
          <cell r="Q2273">
            <v>12.78</v>
          </cell>
        </row>
        <row r="2274">
          <cell r="D2274">
            <v>37998</v>
          </cell>
          <cell r="E2274">
            <v>21.98</v>
          </cell>
          <cell r="G2274">
            <v>37998</v>
          </cell>
          <cell r="H2274">
            <v>8.2100000000000009</v>
          </cell>
          <cell r="J2274">
            <v>37994</v>
          </cell>
          <cell r="K2274">
            <v>6.33</v>
          </cell>
          <cell r="M2274">
            <v>37953</v>
          </cell>
          <cell r="N2274">
            <v>3.9</v>
          </cell>
          <cell r="P2274">
            <v>37998</v>
          </cell>
          <cell r="Q2274">
            <v>12.93</v>
          </cell>
        </row>
        <row r="2275">
          <cell r="D2275">
            <v>37995</v>
          </cell>
          <cell r="E2275">
            <v>21.45</v>
          </cell>
          <cell r="G2275">
            <v>37995</v>
          </cell>
          <cell r="H2275">
            <v>8.0299999999999994</v>
          </cell>
          <cell r="J2275">
            <v>37993</v>
          </cell>
          <cell r="K2275">
            <v>6.47</v>
          </cell>
          <cell r="M2275">
            <v>37951</v>
          </cell>
          <cell r="N2275">
            <v>3.9</v>
          </cell>
          <cell r="P2275">
            <v>37995</v>
          </cell>
          <cell r="Q2275">
            <v>12.70833</v>
          </cell>
        </row>
        <row r="2276">
          <cell r="D2276">
            <v>37994</v>
          </cell>
          <cell r="E2276">
            <v>20.58</v>
          </cell>
          <cell r="G2276">
            <v>37994</v>
          </cell>
          <cell r="H2276">
            <v>7.9</v>
          </cell>
          <cell r="J2276">
            <v>37992</v>
          </cell>
          <cell r="K2276">
            <v>6.77</v>
          </cell>
          <cell r="M2276">
            <v>37950</v>
          </cell>
          <cell r="N2276">
            <v>3.68</v>
          </cell>
          <cell r="P2276">
            <v>37994</v>
          </cell>
          <cell r="Q2276">
            <v>11.9</v>
          </cell>
        </row>
        <row r="2277">
          <cell r="D2277">
            <v>37993</v>
          </cell>
          <cell r="E2277">
            <v>19.489999999999998</v>
          </cell>
          <cell r="G2277">
            <v>37993</v>
          </cell>
          <cell r="H2277">
            <v>8.1999999999999993</v>
          </cell>
          <cell r="J2277">
            <v>37991</v>
          </cell>
          <cell r="K2277">
            <v>6.78</v>
          </cell>
          <cell r="M2277">
            <v>37949</v>
          </cell>
          <cell r="N2277">
            <v>3.52</v>
          </cell>
          <cell r="P2277">
            <v>37993</v>
          </cell>
          <cell r="Q2277">
            <v>12.143330000000001</v>
          </cell>
        </row>
        <row r="2278">
          <cell r="D2278">
            <v>37992</v>
          </cell>
          <cell r="E2278">
            <v>17.46</v>
          </cell>
          <cell r="G2278">
            <v>37992</v>
          </cell>
          <cell r="H2278">
            <v>7.7</v>
          </cell>
          <cell r="J2278">
            <v>37988</v>
          </cell>
          <cell r="K2278">
            <v>6.54</v>
          </cell>
          <cell r="M2278">
            <v>37946</v>
          </cell>
          <cell r="N2278">
            <v>3.77</v>
          </cell>
          <cell r="P2278">
            <v>37992</v>
          </cell>
          <cell r="Q2278">
            <v>12.115</v>
          </cell>
        </row>
        <row r="2279">
          <cell r="D2279">
            <v>37991</v>
          </cell>
          <cell r="E2279">
            <v>16.45</v>
          </cell>
          <cell r="G2279">
            <v>37991</v>
          </cell>
          <cell r="H2279">
            <v>6.84</v>
          </cell>
          <cell r="J2279">
            <v>37986</v>
          </cell>
          <cell r="K2279">
            <v>6.99</v>
          </cell>
          <cell r="M2279">
            <v>37945</v>
          </cell>
          <cell r="N2279">
            <v>3.8</v>
          </cell>
          <cell r="P2279">
            <v>37991</v>
          </cell>
          <cell r="Q2279">
            <v>12.116669999999999</v>
          </cell>
        </row>
        <row r="2280">
          <cell r="D2280">
            <v>37988</v>
          </cell>
          <cell r="E2280">
            <v>15.62</v>
          </cell>
          <cell r="G2280">
            <v>37988</v>
          </cell>
          <cell r="H2280">
            <v>5.9</v>
          </cell>
          <cell r="J2280">
            <v>37985</v>
          </cell>
          <cell r="K2280">
            <v>6.47</v>
          </cell>
          <cell r="M2280">
            <v>37944</v>
          </cell>
          <cell r="N2280">
            <v>3.78</v>
          </cell>
          <cell r="P2280">
            <v>37988</v>
          </cell>
          <cell r="Q2280">
            <v>11.54</v>
          </cell>
        </row>
        <row r="2281">
          <cell r="D2281">
            <v>37986</v>
          </cell>
          <cell r="E2281">
            <v>15.38</v>
          </cell>
          <cell r="G2281">
            <v>37986</v>
          </cell>
          <cell r="H2281">
            <v>5.99</v>
          </cell>
          <cell r="J2281">
            <v>37984</v>
          </cell>
          <cell r="K2281">
            <v>6.3</v>
          </cell>
          <cell r="M2281">
            <v>37943</v>
          </cell>
          <cell r="N2281">
            <v>3.78</v>
          </cell>
          <cell r="P2281">
            <v>37986</v>
          </cell>
          <cell r="Q2281">
            <v>11.13833</v>
          </cell>
        </row>
        <row r="2282">
          <cell r="D2282">
            <v>37985</v>
          </cell>
          <cell r="E2282">
            <v>15.65</v>
          </cell>
          <cell r="G2282">
            <v>37985</v>
          </cell>
          <cell r="H2282">
            <v>5.49</v>
          </cell>
          <cell r="J2282">
            <v>37981</v>
          </cell>
          <cell r="K2282">
            <v>6.45</v>
          </cell>
          <cell r="M2282">
            <v>37942</v>
          </cell>
          <cell r="N2282">
            <v>3.88</v>
          </cell>
          <cell r="P2282">
            <v>37985</v>
          </cell>
          <cell r="Q2282">
            <v>11.27</v>
          </cell>
        </row>
        <row r="2283">
          <cell r="D2283">
            <v>37984</v>
          </cell>
          <cell r="E2283">
            <v>15.54</v>
          </cell>
          <cell r="G2283">
            <v>37984</v>
          </cell>
          <cell r="H2283">
            <v>5.48</v>
          </cell>
          <cell r="J2283">
            <v>37979</v>
          </cell>
          <cell r="K2283">
            <v>6.26</v>
          </cell>
          <cell r="M2283">
            <v>37939</v>
          </cell>
          <cell r="N2283">
            <v>3.9</v>
          </cell>
          <cell r="P2283">
            <v>37984</v>
          </cell>
          <cell r="Q2283">
            <v>11.18167</v>
          </cell>
        </row>
        <row r="2284">
          <cell r="D2284">
            <v>37981</v>
          </cell>
          <cell r="E2284">
            <v>15.83</v>
          </cell>
          <cell r="G2284">
            <v>37981</v>
          </cell>
          <cell r="H2284">
            <v>5.79</v>
          </cell>
          <cell r="J2284">
            <v>37978</v>
          </cell>
          <cell r="K2284">
            <v>6.26</v>
          </cell>
          <cell r="M2284">
            <v>37938</v>
          </cell>
          <cell r="N2284">
            <v>3.911</v>
          </cell>
          <cell r="P2284">
            <v>37981</v>
          </cell>
          <cell r="Q2284">
            <v>11.31</v>
          </cell>
        </row>
        <row r="2285">
          <cell r="D2285">
            <v>37979</v>
          </cell>
          <cell r="E2285">
            <v>15.6</v>
          </cell>
          <cell r="G2285">
            <v>37979</v>
          </cell>
          <cell r="H2285">
            <v>5.8</v>
          </cell>
          <cell r="J2285">
            <v>37977</v>
          </cell>
          <cell r="K2285">
            <v>6.22</v>
          </cell>
          <cell r="M2285">
            <v>37937</v>
          </cell>
          <cell r="N2285">
            <v>3.88</v>
          </cell>
          <cell r="P2285">
            <v>37979</v>
          </cell>
          <cell r="Q2285">
            <v>11.341670000000001</v>
          </cell>
        </row>
        <row r="2286">
          <cell r="D2286">
            <v>37978</v>
          </cell>
          <cell r="E2286">
            <v>16.27</v>
          </cell>
          <cell r="G2286">
            <v>37978</v>
          </cell>
          <cell r="H2286">
            <v>5.72</v>
          </cell>
          <cell r="J2286">
            <v>37974</v>
          </cell>
          <cell r="K2286">
            <v>6</v>
          </cell>
          <cell r="M2286">
            <v>37936</v>
          </cell>
          <cell r="N2286">
            <v>3.88</v>
          </cell>
          <cell r="P2286">
            <v>37978</v>
          </cell>
          <cell r="Q2286">
            <v>11.60167</v>
          </cell>
        </row>
        <row r="2287">
          <cell r="D2287">
            <v>37977</v>
          </cell>
          <cell r="E2287">
            <v>15.92</v>
          </cell>
          <cell r="G2287">
            <v>37977</v>
          </cell>
          <cell r="H2287">
            <v>5.55</v>
          </cell>
          <cell r="J2287">
            <v>37973</v>
          </cell>
          <cell r="K2287">
            <v>6.31</v>
          </cell>
          <cell r="M2287">
            <v>37935</v>
          </cell>
          <cell r="N2287">
            <v>3.91</v>
          </cell>
          <cell r="P2287">
            <v>37977</v>
          </cell>
          <cell r="Q2287">
            <v>7.6833299999999998</v>
          </cell>
        </row>
        <row r="2288">
          <cell r="D2288">
            <v>37974</v>
          </cell>
          <cell r="E2288">
            <v>15.71</v>
          </cell>
          <cell r="G2288">
            <v>37974</v>
          </cell>
          <cell r="H2288">
            <v>6</v>
          </cell>
          <cell r="J2288">
            <v>37972</v>
          </cell>
          <cell r="K2288">
            <v>6.44</v>
          </cell>
          <cell r="M2288">
            <v>37932</v>
          </cell>
          <cell r="N2288">
            <v>4</v>
          </cell>
          <cell r="P2288">
            <v>37974</v>
          </cell>
          <cell r="Q2288">
            <v>7.4616699999999998</v>
          </cell>
        </row>
        <row r="2289">
          <cell r="D2289">
            <v>37973</v>
          </cell>
          <cell r="E2289">
            <v>16</v>
          </cell>
          <cell r="G2289">
            <v>37973</v>
          </cell>
          <cell r="H2289">
            <v>5.46</v>
          </cell>
          <cell r="J2289">
            <v>37971</v>
          </cell>
          <cell r="K2289">
            <v>6.39</v>
          </cell>
          <cell r="M2289">
            <v>37931</v>
          </cell>
          <cell r="N2289">
            <v>3.81</v>
          </cell>
          <cell r="P2289">
            <v>37973</v>
          </cell>
          <cell r="Q2289">
            <v>7.5583299999999998</v>
          </cell>
        </row>
        <row r="2290">
          <cell r="D2290">
            <v>37972</v>
          </cell>
          <cell r="E2290">
            <v>15.58</v>
          </cell>
          <cell r="G2290">
            <v>37972</v>
          </cell>
          <cell r="H2290">
            <v>5.43</v>
          </cell>
          <cell r="J2290">
            <v>37970</v>
          </cell>
          <cell r="K2290">
            <v>6.1</v>
          </cell>
          <cell r="M2290">
            <v>37930</v>
          </cell>
          <cell r="N2290">
            <v>3.84</v>
          </cell>
          <cell r="P2290">
            <v>37972</v>
          </cell>
          <cell r="Q2290">
            <v>7.4416700000000002</v>
          </cell>
        </row>
        <row r="2291">
          <cell r="D2291">
            <v>37971</v>
          </cell>
          <cell r="E2291">
            <v>15.29</v>
          </cell>
          <cell r="G2291">
            <v>37971</v>
          </cell>
          <cell r="H2291">
            <v>5.16</v>
          </cell>
          <cell r="J2291">
            <v>37967</v>
          </cell>
          <cell r="K2291">
            <v>6.14</v>
          </cell>
          <cell r="M2291">
            <v>37929</v>
          </cell>
          <cell r="N2291">
            <v>4</v>
          </cell>
          <cell r="P2291">
            <v>37971</v>
          </cell>
          <cell r="Q2291">
            <v>7.3133299999999997</v>
          </cell>
        </row>
        <row r="2292">
          <cell r="D2292">
            <v>37970</v>
          </cell>
          <cell r="E2292">
            <v>15.38</v>
          </cell>
          <cell r="G2292">
            <v>37970</v>
          </cell>
          <cell r="H2292">
            <v>5.4</v>
          </cell>
          <cell r="J2292">
            <v>37966</v>
          </cell>
          <cell r="K2292">
            <v>6.5</v>
          </cell>
          <cell r="M2292">
            <v>37928</v>
          </cell>
          <cell r="N2292">
            <v>4</v>
          </cell>
          <cell r="P2292">
            <v>37970</v>
          </cell>
          <cell r="Q2292">
            <v>7.3583299999999996</v>
          </cell>
        </row>
        <row r="2293">
          <cell r="D2293">
            <v>37967</v>
          </cell>
          <cell r="E2293">
            <v>15.5</v>
          </cell>
          <cell r="G2293">
            <v>37967</v>
          </cell>
          <cell r="H2293">
            <v>5.25</v>
          </cell>
          <cell r="J2293">
            <v>37965</v>
          </cell>
          <cell r="K2293">
            <v>7.25</v>
          </cell>
          <cell r="M2293">
            <v>37925</v>
          </cell>
          <cell r="N2293">
            <v>3.76</v>
          </cell>
          <cell r="P2293">
            <v>37967</v>
          </cell>
          <cell r="Q2293">
            <v>7.4316700000000004</v>
          </cell>
        </row>
        <row r="2294">
          <cell r="D2294">
            <v>37966</v>
          </cell>
          <cell r="E2294">
            <v>15.95</v>
          </cell>
          <cell r="G2294">
            <v>37966</v>
          </cell>
          <cell r="H2294">
            <v>5.32</v>
          </cell>
          <cell r="J2294">
            <v>37964</v>
          </cell>
          <cell r="K2294">
            <v>7.36</v>
          </cell>
          <cell r="M2294">
            <v>37924</v>
          </cell>
          <cell r="N2294">
            <v>3.9489999999999998</v>
          </cell>
          <cell r="P2294">
            <v>37966</v>
          </cell>
          <cell r="Q2294">
            <v>7.3849999999999998</v>
          </cell>
        </row>
        <row r="2295">
          <cell r="D2295">
            <v>37965</v>
          </cell>
          <cell r="E2295">
            <v>15.38</v>
          </cell>
          <cell r="G2295">
            <v>37965</v>
          </cell>
          <cell r="H2295">
            <v>5.38</v>
          </cell>
          <cell r="J2295">
            <v>37963</v>
          </cell>
          <cell r="K2295">
            <v>7.4</v>
          </cell>
          <cell r="M2295">
            <v>37923</v>
          </cell>
          <cell r="N2295">
            <v>3.93</v>
          </cell>
          <cell r="P2295">
            <v>37965</v>
          </cell>
          <cell r="Q2295">
            <v>7.2249999999999996</v>
          </cell>
        </row>
        <row r="2296">
          <cell r="D2296">
            <v>37964</v>
          </cell>
          <cell r="E2296">
            <v>14.8</v>
          </cell>
          <cell r="G2296">
            <v>37964</v>
          </cell>
          <cell r="H2296">
            <v>5.8</v>
          </cell>
          <cell r="J2296">
            <v>37960</v>
          </cell>
          <cell r="K2296">
            <v>7.4</v>
          </cell>
          <cell r="M2296">
            <v>37922</v>
          </cell>
          <cell r="N2296">
            <v>3.851</v>
          </cell>
          <cell r="P2296">
            <v>37964</v>
          </cell>
          <cell r="Q2296">
            <v>7.21</v>
          </cell>
        </row>
        <row r="2297">
          <cell r="D2297">
            <v>37963</v>
          </cell>
          <cell r="E2297">
            <v>14.88</v>
          </cell>
          <cell r="G2297">
            <v>37963</v>
          </cell>
          <cell r="H2297">
            <v>6.15</v>
          </cell>
          <cell r="J2297">
            <v>37959</v>
          </cell>
          <cell r="K2297">
            <v>7.31</v>
          </cell>
          <cell r="M2297">
            <v>37921</v>
          </cell>
          <cell r="N2297">
            <v>4.07</v>
          </cell>
          <cell r="P2297">
            <v>37963</v>
          </cell>
          <cell r="Q2297">
            <v>7.5083299999999999</v>
          </cell>
        </row>
        <row r="2298">
          <cell r="D2298">
            <v>37960</v>
          </cell>
          <cell r="E2298">
            <v>15.57</v>
          </cell>
          <cell r="G2298">
            <v>37960</v>
          </cell>
          <cell r="H2298">
            <v>6.36</v>
          </cell>
          <cell r="J2298">
            <v>37958</v>
          </cell>
          <cell r="K2298">
            <v>7.75</v>
          </cell>
          <cell r="M2298">
            <v>37918</v>
          </cell>
          <cell r="N2298">
            <v>4.05</v>
          </cell>
          <cell r="P2298">
            <v>37960</v>
          </cell>
          <cell r="Q2298">
            <v>7.4933300000000003</v>
          </cell>
        </row>
        <row r="2299">
          <cell r="D2299">
            <v>37959</v>
          </cell>
          <cell r="E2299">
            <v>16.07</v>
          </cell>
          <cell r="G2299">
            <v>37959</v>
          </cell>
          <cell r="H2299">
            <v>6.28</v>
          </cell>
          <cell r="J2299">
            <v>37957</v>
          </cell>
          <cell r="K2299">
            <v>7.6</v>
          </cell>
          <cell r="M2299">
            <v>37917</v>
          </cell>
          <cell r="N2299">
            <v>3.8</v>
          </cell>
          <cell r="P2299">
            <v>37959</v>
          </cell>
          <cell r="Q2299">
            <v>7.5916699999999997</v>
          </cell>
        </row>
        <row r="2300">
          <cell r="D2300">
            <v>37958</v>
          </cell>
          <cell r="E2300">
            <v>17.239999999999998</v>
          </cell>
          <cell r="G2300">
            <v>37958</v>
          </cell>
          <cell r="H2300">
            <v>6.27</v>
          </cell>
          <cell r="J2300">
            <v>37956</v>
          </cell>
          <cell r="K2300">
            <v>7.89</v>
          </cell>
          <cell r="M2300">
            <v>37916</v>
          </cell>
          <cell r="N2300">
            <v>4</v>
          </cell>
          <cell r="P2300">
            <v>37958</v>
          </cell>
          <cell r="Q2300">
            <v>7.70167</v>
          </cell>
        </row>
        <row r="2301">
          <cell r="D2301">
            <v>37957</v>
          </cell>
          <cell r="E2301">
            <v>18.52</v>
          </cell>
          <cell r="G2301">
            <v>37957</v>
          </cell>
          <cell r="H2301">
            <v>6.2</v>
          </cell>
          <cell r="J2301">
            <v>37953</v>
          </cell>
          <cell r="K2301">
            <v>7.9</v>
          </cell>
          <cell r="M2301">
            <v>37915</v>
          </cell>
          <cell r="N2301">
            <v>3.95</v>
          </cell>
          <cell r="P2301">
            <v>37957</v>
          </cell>
          <cell r="Q2301">
            <v>7.9266699999999997</v>
          </cell>
        </row>
        <row r="2302">
          <cell r="D2302">
            <v>37956</v>
          </cell>
          <cell r="E2302">
            <v>18.47</v>
          </cell>
          <cell r="G2302">
            <v>37956</v>
          </cell>
          <cell r="H2302">
            <v>6.2</v>
          </cell>
          <cell r="J2302">
            <v>37951</v>
          </cell>
          <cell r="K2302">
            <v>7.58</v>
          </cell>
          <cell r="M2302">
            <v>37914</v>
          </cell>
          <cell r="N2302">
            <v>3.85</v>
          </cell>
          <cell r="P2302">
            <v>37956</v>
          </cell>
          <cell r="Q2302">
            <v>8.0250000000000004</v>
          </cell>
        </row>
        <row r="2303">
          <cell r="D2303">
            <v>37953</v>
          </cell>
          <cell r="E2303">
            <v>18.16</v>
          </cell>
          <cell r="G2303">
            <v>37953</v>
          </cell>
          <cell r="H2303">
            <v>6.05</v>
          </cell>
          <cell r="J2303">
            <v>37950</v>
          </cell>
          <cell r="K2303">
            <v>7.7</v>
          </cell>
          <cell r="M2303">
            <v>37911</v>
          </cell>
          <cell r="N2303">
            <v>3.75</v>
          </cell>
          <cell r="P2303">
            <v>37953</v>
          </cell>
          <cell r="Q2303">
            <v>7.6150000000000002</v>
          </cell>
        </row>
        <row r="2304">
          <cell r="D2304">
            <v>37951</v>
          </cell>
          <cell r="E2304">
            <v>17.53</v>
          </cell>
          <cell r="G2304">
            <v>37951</v>
          </cell>
          <cell r="H2304">
            <v>6.1</v>
          </cell>
          <cell r="J2304">
            <v>37949</v>
          </cell>
          <cell r="K2304">
            <v>7.55</v>
          </cell>
          <cell r="M2304">
            <v>37910</v>
          </cell>
          <cell r="N2304">
            <v>3.7</v>
          </cell>
          <cell r="P2304">
            <v>37951</v>
          </cell>
          <cell r="Q2304">
            <v>7.6416700000000004</v>
          </cell>
        </row>
        <row r="2305">
          <cell r="D2305">
            <v>37950</v>
          </cell>
          <cell r="E2305">
            <v>18.41</v>
          </cell>
          <cell r="G2305">
            <v>37950</v>
          </cell>
          <cell r="H2305">
            <v>6.08</v>
          </cell>
          <cell r="J2305">
            <v>37946</v>
          </cell>
          <cell r="K2305">
            <v>7.99</v>
          </cell>
          <cell r="M2305">
            <v>37909</v>
          </cell>
          <cell r="N2305">
            <v>3.75</v>
          </cell>
          <cell r="P2305">
            <v>37950</v>
          </cell>
          <cell r="Q2305">
            <v>7.6</v>
          </cell>
        </row>
        <row r="2306">
          <cell r="D2306">
            <v>37949</v>
          </cell>
          <cell r="E2306">
            <v>20.440999999999999</v>
          </cell>
          <cell r="G2306">
            <v>37949</v>
          </cell>
          <cell r="H2306">
            <v>5.61</v>
          </cell>
          <cell r="J2306">
            <v>37945</v>
          </cell>
          <cell r="K2306">
            <v>7.62</v>
          </cell>
          <cell r="M2306">
            <v>37908</v>
          </cell>
          <cell r="N2306">
            <v>3.75</v>
          </cell>
          <cell r="P2306">
            <v>37949</v>
          </cell>
          <cell r="Q2306">
            <v>7.5683299999999996</v>
          </cell>
        </row>
        <row r="2307">
          <cell r="D2307">
            <v>37946</v>
          </cell>
          <cell r="E2307">
            <v>20.29</v>
          </cell>
          <cell r="G2307">
            <v>37946</v>
          </cell>
          <cell r="H2307">
            <v>5.33</v>
          </cell>
          <cell r="J2307">
            <v>37944</v>
          </cell>
          <cell r="K2307">
            <v>7.5</v>
          </cell>
          <cell r="M2307">
            <v>37907</v>
          </cell>
          <cell r="N2307">
            <v>3.58</v>
          </cell>
          <cell r="P2307">
            <v>37946</v>
          </cell>
          <cell r="Q2307">
            <v>7.2450000000000001</v>
          </cell>
        </row>
        <row r="2308">
          <cell r="D2308">
            <v>37945</v>
          </cell>
          <cell r="E2308">
            <v>20.37</v>
          </cell>
          <cell r="G2308">
            <v>37945</v>
          </cell>
          <cell r="H2308">
            <v>5.25</v>
          </cell>
          <cell r="J2308">
            <v>37943</v>
          </cell>
          <cell r="K2308">
            <v>8.0289999999999999</v>
          </cell>
          <cell r="M2308">
            <v>37904</v>
          </cell>
          <cell r="N2308">
            <v>3.72</v>
          </cell>
          <cell r="P2308">
            <v>37945</v>
          </cell>
          <cell r="Q2308">
            <v>7.2783300000000004</v>
          </cell>
        </row>
        <row r="2309">
          <cell r="D2309">
            <v>37944</v>
          </cell>
          <cell r="E2309">
            <v>19.791</v>
          </cell>
          <cell r="G2309">
            <v>37944</v>
          </cell>
          <cell r="H2309">
            <v>5.19</v>
          </cell>
          <cell r="J2309">
            <v>37942</v>
          </cell>
          <cell r="K2309">
            <v>8.5500000000000007</v>
          </cell>
          <cell r="M2309">
            <v>37903</v>
          </cell>
          <cell r="N2309">
            <v>3.63</v>
          </cell>
          <cell r="P2309">
            <v>37944</v>
          </cell>
          <cell r="Q2309">
            <v>7.3183299999999996</v>
          </cell>
        </row>
        <row r="2310">
          <cell r="D2310">
            <v>37943</v>
          </cell>
          <cell r="E2310">
            <v>20.398</v>
          </cell>
          <cell r="G2310">
            <v>37943</v>
          </cell>
          <cell r="H2310">
            <v>5.22</v>
          </cell>
          <cell r="J2310">
            <v>37939</v>
          </cell>
          <cell r="K2310">
            <v>8.76</v>
          </cell>
          <cell r="M2310">
            <v>37902</v>
          </cell>
          <cell r="N2310">
            <v>3.57</v>
          </cell>
          <cell r="P2310">
            <v>37943</v>
          </cell>
          <cell r="Q2310">
            <v>7.21333</v>
          </cell>
        </row>
        <row r="2311">
          <cell r="D2311">
            <v>37942</v>
          </cell>
          <cell r="E2311">
            <v>18.739999999999998</v>
          </cell>
          <cell r="G2311">
            <v>37942</v>
          </cell>
          <cell r="H2311">
            <v>5.05</v>
          </cell>
          <cell r="J2311">
            <v>37938</v>
          </cell>
          <cell r="K2311">
            <v>8.5410000000000004</v>
          </cell>
          <cell r="M2311">
            <v>37901</v>
          </cell>
          <cell r="N2311">
            <v>3.57</v>
          </cell>
          <cell r="P2311">
            <v>37942</v>
          </cell>
          <cell r="Q2311">
            <v>7.3250000000000002</v>
          </cell>
        </row>
        <row r="2312">
          <cell r="D2312">
            <v>37939</v>
          </cell>
          <cell r="E2312">
            <v>18.75</v>
          </cell>
          <cell r="G2312">
            <v>37939</v>
          </cell>
          <cell r="H2312">
            <v>5.5</v>
          </cell>
          <cell r="J2312">
            <v>37937</v>
          </cell>
          <cell r="K2312">
            <v>8.5</v>
          </cell>
          <cell r="M2312">
            <v>37900</v>
          </cell>
          <cell r="N2312">
            <v>3.59</v>
          </cell>
          <cell r="P2312">
            <v>37939</v>
          </cell>
          <cell r="Q2312">
            <v>7.3116700000000003</v>
          </cell>
        </row>
        <row r="2313">
          <cell r="D2313">
            <v>37938</v>
          </cell>
          <cell r="E2313">
            <v>18.39</v>
          </cell>
          <cell r="G2313">
            <v>37938</v>
          </cell>
          <cell r="H2313">
            <v>5.57</v>
          </cell>
          <cell r="J2313">
            <v>37936</v>
          </cell>
          <cell r="K2313">
            <v>8.3810000000000002</v>
          </cell>
          <cell r="M2313">
            <v>37897</v>
          </cell>
          <cell r="N2313">
            <v>3.7</v>
          </cell>
          <cell r="P2313">
            <v>37938</v>
          </cell>
          <cell r="Q2313">
            <v>7.4649999999999999</v>
          </cell>
        </row>
        <row r="2314">
          <cell r="D2314">
            <v>37937</v>
          </cell>
          <cell r="E2314">
            <v>18.25</v>
          </cell>
          <cell r="G2314">
            <v>37937</v>
          </cell>
          <cell r="H2314">
            <v>5.64</v>
          </cell>
          <cell r="J2314">
            <v>37935</v>
          </cell>
          <cell r="K2314">
            <v>8.6199999999999992</v>
          </cell>
          <cell r="M2314">
            <v>37896</v>
          </cell>
          <cell r="N2314">
            <v>3.74</v>
          </cell>
          <cell r="P2314">
            <v>37937</v>
          </cell>
          <cell r="Q2314">
            <v>7.6183300000000003</v>
          </cell>
        </row>
        <row r="2315">
          <cell r="D2315">
            <v>37936</v>
          </cell>
          <cell r="E2315">
            <v>16.61</v>
          </cell>
          <cell r="G2315">
            <v>37936</v>
          </cell>
          <cell r="H2315">
            <v>5.53</v>
          </cell>
          <cell r="J2315">
            <v>37932</v>
          </cell>
          <cell r="K2315">
            <v>8.69</v>
          </cell>
          <cell r="M2315">
            <v>37895</v>
          </cell>
          <cell r="N2315">
            <v>3.62</v>
          </cell>
          <cell r="P2315">
            <v>37936</v>
          </cell>
          <cell r="Q2315">
            <v>7.4833299999999996</v>
          </cell>
        </row>
        <row r="2316">
          <cell r="D2316">
            <v>37935</v>
          </cell>
          <cell r="E2316">
            <v>16.55</v>
          </cell>
          <cell r="G2316">
            <v>37935</v>
          </cell>
          <cell r="H2316">
            <v>5.69</v>
          </cell>
          <cell r="J2316">
            <v>37931</v>
          </cell>
          <cell r="K2316">
            <v>9.09</v>
          </cell>
          <cell r="M2316">
            <v>37894</v>
          </cell>
          <cell r="N2316">
            <v>3.63</v>
          </cell>
          <cell r="P2316">
            <v>37935</v>
          </cell>
          <cell r="Q2316">
            <v>7.5350000000000001</v>
          </cell>
        </row>
        <row r="2317">
          <cell r="D2317">
            <v>37932</v>
          </cell>
          <cell r="E2317">
            <v>17</v>
          </cell>
          <cell r="G2317">
            <v>37932</v>
          </cell>
          <cell r="H2317">
            <v>5.7</v>
          </cell>
          <cell r="J2317">
            <v>37930</v>
          </cell>
          <cell r="K2317">
            <v>9.1</v>
          </cell>
          <cell r="M2317">
            <v>37893</v>
          </cell>
          <cell r="N2317">
            <v>3.641</v>
          </cell>
          <cell r="P2317">
            <v>37932</v>
          </cell>
          <cell r="Q2317">
            <v>7.6449999999999996</v>
          </cell>
        </row>
        <row r="2318">
          <cell r="D2318">
            <v>37931</v>
          </cell>
          <cell r="E2318">
            <v>16.89</v>
          </cell>
          <cell r="G2318">
            <v>37931</v>
          </cell>
          <cell r="H2318">
            <v>5.56</v>
          </cell>
          <cell r="J2318">
            <v>37929</v>
          </cell>
          <cell r="K2318">
            <v>9.25</v>
          </cell>
          <cell r="M2318">
            <v>37890</v>
          </cell>
          <cell r="N2318">
            <v>3.64</v>
          </cell>
          <cell r="P2318">
            <v>37931</v>
          </cell>
          <cell r="Q2318">
            <v>7.8316699999999999</v>
          </cell>
        </row>
        <row r="2319">
          <cell r="D2319">
            <v>37930</v>
          </cell>
          <cell r="E2319">
            <v>15.935</v>
          </cell>
          <cell r="G2319">
            <v>37930</v>
          </cell>
          <cell r="H2319">
            <v>5.72</v>
          </cell>
          <cell r="J2319">
            <v>37928</v>
          </cell>
          <cell r="K2319">
            <v>9.2390000000000008</v>
          </cell>
          <cell r="M2319">
            <v>37889</v>
          </cell>
          <cell r="N2319">
            <v>3.6</v>
          </cell>
          <cell r="P2319">
            <v>37930</v>
          </cell>
          <cell r="Q2319">
            <v>7.7966699999999998</v>
          </cell>
        </row>
        <row r="2320">
          <cell r="D2320">
            <v>37929</v>
          </cell>
          <cell r="E2320">
            <v>16.12</v>
          </cell>
          <cell r="G2320">
            <v>37929</v>
          </cell>
          <cell r="H2320">
            <v>5.9</v>
          </cell>
          <cell r="J2320">
            <v>37925</v>
          </cell>
          <cell r="K2320">
            <v>9.2899999999999991</v>
          </cell>
          <cell r="M2320">
            <v>37888</v>
          </cell>
          <cell r="N2320">
            <v>3.5</v>
          </cell>
          <cell r="P2320">
            <v>37929</v>
          </cell>
          <cell r="Q2320">
            <v>7.7666700000000004</v>
          </cell>
        </row>
        <row r="2321">
          <cell r="D2321">
            <v>37928</v>
          </cell>
          <cell r="E2321">
            <v>17.138999999999999</v>
          </cell>
          <cell r="G2321">
            <v>37928</v>
          </cell>
          <cell r="H2321">
            <v>5.81</v>
          </cell>
          <cell r="J2321">
            <v>37924</v>
          </cell>
          <cell r="K2321">
            <v>9.19</v>
          </cell>
          <cell r="M2321">
            <v>37887</v>
          </cell>
          <cell r="N2321">
            <v>3.5</v>
          </cell>
          <cell r="P2321">
            <v>37928</v>
          </cell>
          <cell r="Q2321">
            <v>7.5933299999999999</v>
          </cell>
        </row>
        <row r="2322">
          <cell r="D2322">
            <v>37925</v>
          </cell>
          <cell r="E2322">
            <v>16.760000000000002</v>
          </cell>
          <cell r="G2322">
            <v>37925</v>
          </cell>
          <cell r="H2322">
            <v>5.5</v>
          </cell>
          <cell r="J2322">
            <v>37923</v>
          </cell>
          <cell r="K2322">
            <v>9.23</v>
          </cell>
          <cell r="M2322">
            <v>37886</v>
          </cell>
          <cell r="N2322">
            <v>3.5</v>
          </cell>
          <cell r="P2322">
            <v>37925</v>
          </cell>
          <cell r="Q2322">
            <v>7.3533299999999997</v>
          </cell>
        </row>
        <row r="2323">
          <cell r="D2323">
            <v>37924</v>
          </cell>
          <cell r="E2323">
            <v>16.66</v>
          </cell>
          <cell r="G2323">
            <v>37924</v>
          </cell>
          <cell r="H2323">
            <v>5.96</v>
          </cell>
          <cell r="J2323">
            <v>37922</v>
          </cell>
          <cell r="K2323">
            <v>8.8000000000000007</v>
          </cell>
          <cell r="M2323">
            <v>37883</v>
          </cell>
          <cell r="N2323">
            <v>3.569</v>
          </cell>
          <cell r="P2323">
            <v>37924</v>
          </cell>
          <cell r="Q2323">
            <v>7.3449999999999998</v>
          </cell>
        </row>
        <row r="2324">
          <cell r="D2324">
            <v>37923</v>
          </cell>
          <cell r="E2324">
            <v>16.43</v>
          </cell>
          <cell r="G2324">
            <v>37923</v>
          </cell>
          <cell r="H2324">
            <v>5.9889999999999999</v>
          </cell>
          <cell r="J2324">
            <v>37921</v>
          </cell>
          <cell r="K2324">
            <v>8.7799999999999994</v>
          </cell>
          <cell r="M2324">
            <v>37882</v>
          </cell>
          <cell r="N2324">
            <v>3.5</v>
          </cell>
          <cell r="P2324">
            <v>37923</v>
          </cell>
          <cell r="Q2324">
            <v>7.4166699999999999</v>
          </cell>
        </row>
        <row r="2325">
          <cell r="D2325">
            <v>37922</v>
          </cell>
          <cell r="E2325">
            <v>16.87</v>
          </cell>
          <cell r="G2325">
            <v>37922</v>
          </cell>
          <cell r="H2325">
            <v>6.08</v>
          </cell>
          <cell r="J2325">
            <v>37918</v>
          </cell>
          <cell r="K2325">
            <v>8.9700000000000006</v>
          </cell>
          <cell r="M2325">
            <v>37881</v>
          </cell>
          <cell r="N2325">
            <v>3.65</v>
          </cell>
          <cell r="P2325">
            <v>37922</v>
          </cell>
          <cell r="Q2325">
            <v>7.3916700000000004</v>
          </cell>
        </row>
        <row r="2326">
          <cell r="D2326">
            <v>37921</v>
          </cell>
          <cell r="E2326">
            <v>16.38</v>
          </cell>
          <cell r="G2326">
            <v>37921</v>
          </cell>
          <cell r="H2326">
            <v>5.81</v>
          </cell>
          <cell r="J2326">
            <v>37917</v>
          </cell>
          <cell r="K2326">
            <v>8.7200000000000006</v>
          </cell>
          <cell r="M2326">
            <v>37880</v>
          </cell>
          <cell r="N2326">
            <v>3.77</v>
          </cell>
          <cell r="P2326">
            <v>37921</v>
          </cell>
          <cell r="Q2326">
            <v>7.2183299999999999</v>
          </cell>
        </row>
        <row r="2327">
          <cell r="D2327">
            <v>37918</v>
          </cell>
          <cell r="E2327">
            <v>14.587999999999999</v>
          </cell>
          <cell r="G2327">
            <v>37918</v>
          </cell>
          <cell r="H2327">
            <v>6.12</v>
          </cell>
          <cell r="J2327">
            <v>37916</v>
          </cell>
          <cell r="K2327">
            <v>9.14</v>
          </cell>
          <cell r="M2327">
            <v>37879</v>
          </cell>
          <cell r="N2327">
            <v>3.71</v>
          </cell>
          <cell r="P2327">
            <v>37918</v>
          </cell>
          <cell r="Q2327">
            <v>7.2433300000000003</v>
          </cell>
        </row>
        <row r="2328">
          <cell r="D2328">
            <v>37917</v>
          </cell>
          <cell r="E2328">
            <v>14.79</v>
          </cell>
          <cell r="G2328">
            <v>37917</v>
          </cell>
          <cell r="H2328">
            <v>6.1710000000000003</v>
          </cell>
          <cell r="J2328">
            <v>37915</v>
          </cell>
          <cell r="K2328">
            <v>9.4700000000000006</v>
          </cell>
          <cell r="M2328">
            <v>37876</v>
          </cell>
          <cell r="N2328">
            <v>3.661</v>
          </cell>
          <cell r="P2328">
            <v>37917</v>
          </cell>
          <cell r="Q2328">
            <v>7.1950000000000003</v>
          </cell>
        </row>
        <row r="2329">
          <cell r="D2329">
            <v>37916</v>
          </cell>
          <cell r="E2329">
            <v>16.87</v>
          </cell>
          <cell r="G2329">
            <v>37916</v>
          </cell>
          <cell r="H2329">
            <v>6.3</v>
          </cell>
          <cell r="J2329">
            <v>37914</v>
          </cell>
          <cell r="K2329">
            <v>9.65</v>
          </cell>
          <cell r="M2329">
            <v>37875</v>
          </cell>
          <cell r="N2329">
            <v>3.58</v>
          </cell>
          <cell r="P2329">
            <v>37916</v>
          </cell>
          <cell r="Q2329">
            <v>7.2916699999999999</v>
          </cell>
        </row>
        <row r="2330">
          <cell r="D2330">
            <v>37915</v>
          </cell>
          <cell r="E2330">
            <v>17.940000000000001</v>
          </cell>
          <cell r="G2330">
            <v>37915</v>
          </cell>
          <cell r="H2330">
            <v>6.29</v>
          </cell>
          <cell r="J2330">
            <v>37911</v>
          </cell>
          <cell r="K2330">
            <v>9.51</v>
          </cell>
          <cell r="M2330">
            <v>37874</v>
          </cell>
          <cell r="N2330">
            <v>3.41</v>
          </cell>
          <cell r="P2330">
            <v>37915</v>
          </cell>
          <cell r="Q2330">
            <v>7.5183299999999997</v>
          </cell>
        </row>
        <row r="2331">
          <cell r="D2331">
            <v>37914</v>
          </cell>
          <cell r="E2331">
            <v>18.29</v>
          </cell>
          <cell r="G2331">
            <v>37914</v>
          </cell>
          <cell r="H2331">
            <v>6.2210000000000001</v>
          </cell>
          <cell r="J2331">
            <v>37910</v>
          </cell>
          <cell r="K2331">
            <v>9.9499999999999993</v>
          </cell>
          <cell r="M2331">
            <v>37873</v>
          </cell>
          <cell r="N2331">
            <v>3.5</v>
          </cell>
          <cell r="P2331">
            <v>37914</v>
          </cell>
          <cell r="Q2331">
            <v>7.2450000000000001</v>
          </cell>
        </row>
        <row r="2332">
          <cell r="D2332">
            <v>37911</v>
          </cell>
          <cell r="E2332">
            <v>18.71</v>
          </cell>
          <cell r="G2332">
            <v>37911</v>
          </cell>
          <cell r="H2332">
            <v>6.33</v>
          </cell>
          <cell r="J2332">
            <v>37909</v>
          </cell>
          <cell r="K2332">
            <v>8.4410000000000007</v>
          </cell>
          <cell r="M2332">
            <v>37872</v>
          </cell>
          <cell r="N2332">
            <v>3.95</v>
          </cell>
          <cell r="P2332">
            <v>37911</v>
          </cell>
          <cell r="Q2332">
            <v>7.07667</v>
          </cell>
        </row>
        <row r="2333">
          <cell r="D2333">
            <v>37910</v>
          </cell>
          <cell r="E2333">
            <v>18.5</v>
          </cell>
          <cell r="G2333">
            <v>37910</v>
          </cell>
          <cell r="H2333">
            <v>6.27</v>
          </cell>
          <cell r="J2333">
            <v>37908</v>
          </cell>
          <cell r="K2333">
            <v>8.75</v>
          </cell>
          <cell r="M2333">
            <v>37869</v>
          </cell>
          <cell r="N2333">
            <v>4</v>
          </cell>
          <cell r="P2333">
            <v>37910</v>
          </cell>
          <cell r="Q2333">
            <v>7.28667</v>
          </cell>
        </row>
        <row r="2334">
          <cell r="D2334">
            <v>37909</v>
          </cell>
          <cell r="E2334">
            <v>18.43</v>
          </cell>
          <cell r="G2334">
            <v>37909</v>
          </cell>
          <cell r="H2334">
            <v>6.25</v>
          </cell>
          <cell r="J2334">
            <v>37907</v>
          </cell>
          <cell r="K2334">
            <v>8.81</v>
          </cell>
          <cell r="M2334">
            <v>37868</v>
          </cell>
          <cell r="N2334">
            <v>4.0199999999999996</v>
          </cell>
          <cell r="P2334">
            <v>37909</v>
          </cell>
          <cell r="Q2334">
            <v>7.0516699999999997</v>
          </cell>
        </row>
        <row r="2335">
          <cell r="D2335">
            <v>37908</v>
          </cell>
          <cell r="E2335">
            <v>18.850000000000001</v>
          </cell>
          <cell r="G2335">
            <v>37908</v>
          </cell>
          <cell r="H2335">
            <v>6.21</v>
          </cell>
          <cell r="J2335">
            <v>37904</v>
          </cell>
          <cell r="K2335">
            <v>8.6999999999999993</v>
          </cell>
          <cell r="M2335">
            <v>37867</v>
          </cell>
          <cell r="N2335">
            <v>3.5</v>
          </cell>
          <cell r="P2335">
            <v>37908</v>
          </cell>
          <cell r="Q2335">
            <v>7.2583299999999999</v>
          </cell>
        </row>
        <row r="2336">
          <cell r="D2336">
            <v>37907</v>
          </cell>
          <cell r="E2336">
            <v>17.95</v>
          </cell>
          <cell r="G2336">
            <v>37907</v>
          </cell>
          <cell r="H2336">
            <v>6.38</v>
          </cell>
          <cell r="J2336">
            <v>37903</v>
          </cell>
          <cell r="K2336">
            <v>8.14</v>
          </cell>
          <cell r="M2336">
            <v>37866</v>
          </cell>
          <cell r="N2336">
            <v>3.33</v>
          </cell>
          <cell r="P2336">
            <v>37907</v>
          </cell>
          <cell r="Q2336">
            <v>7.33</v>
          </cell>
        </row>
        <row r="2337">
          <cell r="D2337">
            <v>37904</v>
          </cell>
          <cell r="E2337">
            <v>18.899999999999999</v>
          </cell>
          <cell r="G2337">
            <v>37904</v>
          </cell>
          <cell r="H2337">
            <v>6.64</v>
          </cell>
          <cell r="J2337">
            <v>37902</v>
          </cell>
          <cell r="K2337">
            <v>8.08</v>
          </cell>
          <cell r="M2337">
            <v>37862</v>
          </cell>
          <cell r="N2337">
            <v>3.32</v>
          </cell>
          <cell r="P2337">
            <v>37904</v>
          </cell>
          <cell r="Q2337">
            <v>7.1433299999999997</v>
          </cell>
        </row>
        <row r="2338">
          <cell r="D2338">
            <v>37903</v>
          </cell>
          <cell r="E2338">
            <v>17.98</v>
          </cell>
          <cell r="G2338">
            <v>37903</v>
          </cell>
          <cell r="H2338">
            <v>6.35</v>
          </cell>
          <cell r="J2338">
            <v>37901</v>
          </cell>
          <cell r="K2338">
            <v>8.0500000000000007</v>
          </cell>
          <cell r="M2338">
            <v>37861</v>
          </cell>
          <cell r="N2338">
            <v>3.35</v>
          </cell>
          <cell r="P2338">
            <v>37903</v>
          </cell>
          <cell r="Q2338">
            <v>7.1983300000000003</v>
          </cell>
        </row>
        <row r="2339">
          <cell r="D2339">
            <v>37902</v>
          </cell>
          <cell r="E2339">
            <v>17.12</v>
          </cell>
          <cell r="G2339">
            <v>37902</v>
          </cell>
          <cell r="H2339">
            <v>6.7</v>
          </cell>
          <cell r="J2339">
            <v>37900</v>
          </cell>
          <cell r="K2339">
            <v>8.1300000000000008</v>
          </cell>
          <cell r="M2339">
            <v>37860</v>
          </cell>
          <cell r="N2339">
            <v>3.34</v>
          </cell>
          <cell r="P2339">
            <v>37902</v>
          </cell>
          <cell r="Q2339">
            <v>7.2949999999999999</v>
          </cell>
        </row>
        <row r="2340">
          <cell r="D2340">
            <v>37901</v>
          </cell>
          <cell r="E2340">
            <v>16.579999999999998</v>
          </cell>
          <cell r="G2340">
            <v>37901</v>
          </cell>
          <cell r="H2340">
            <v>6.73</v>
          </cell>
          <cell r="J2340">
            <v>37897</v>
          </cell>
          <cell r="K2340">
            <v>8.1</v>
          </cell>
          <cell r="M2340">
            <v>37859</v>
          </cell>
          <cell r="N2340">
            <v>3.21</v>
          </cell>
          <cell r="P2340">
            <v>37901</v>
          </cell>
          <cell r="Q2340">
            <v>7.3250000000000002</v>
          </cell>
        </row>
        <row r="2341">
          <cell r="D2341">
            <v>37900</v>
          </cell>
          <cell r="E2341">
            <v>15.15</v>
          </cell>
          <cell r="G2341">
            <v>37900</v>
          </cell>
          <cell r="H2341">
            <v>6.37</v>
          </cell>
          <cell r="J2341">
            <v>37896</v>
          </cell>
          <cell r="K2341">
            <v>8.2289999999999992</v>
          </cell>
          <cell r="M2341">
            <v>37858</v>
          </cell>
          <cell r="N2341">
            <v>3.3</v>
          </cell>
          <cell r="P2341">
            <v>37900</v>
          </cell>
          <cell r="Q2341">
            <v>7.3366699999999998</v>
          </cell>
        </row>
        <row r="2342">
          <cell r="D2342">
            <v>37897</v>
          </cell>
          <cell r="E2342">
            <v>14.388999999999999</v>
          </cell>
          <cell r="G2342">
            <v>37897</v>
          </cell>
          <cell r="H2342">
            <v>5.8</v>
          </cell>
          <cell r="J2342">
            <v>37895</v>
          </cell>
          <cell r="K2342">
            <v>7.95</v>
          </cell>
          <cell r="M2342">
            <v>37855</v>
          </cell>
          <cell r="N2342">
            <v>3.39</v>
          </cell>
          <cell r="P2342">
            <v>37897</v>
          </cell>
          <cell r="Q2342">
            <v>6.9583300000000001</v>
          </cell>
        </row>
        <row r="2343">
          <cell r="D2343">
            <v>37896</v>
          </cell>
          <cell r="E2343">
            <v>14.8</v>
          </cell>
          <cell r="G2343">
            <v>37896</v>
          </cell>
          <cell r="H2343">
            <v>5.5</v>
          </cell>
          <cell r="J2343">
            <v>37894</v>
          </cell>
          <cell r="K2343">
            <v>8.42</v>
          </cell>
          <cell r="M2343">
            <v>37854</v>
          </cell>
          <cell r="N2343">
            <v>3.34</v>
          </cell>
          <cell r="P2343">
            <v>37896</v>
          </cell>
          <cell r="Q2343">
            <v>6.4833299999999996</v>
          </cell>
        </row>
        <row r="2344">
          <cell r="D2344">
            <v>37895</v>
          </cell>
          <cell r="E2344">
            <v>13.72</v>
          </cell>
          <cell r="G2344">
            <v>37895</v>
          </cell>
          <cell r="H2344">
            <v>5.52</v>
          </cell>
          <cell r="J2344">
            <v>37893</v>
          </cell>
          <cell r="K2344">
            <v>8.66</v>
          </cell>
          <cell r="M2344">
            <v>37853</v>
          </cell>
          <cell r="N2344">
            <v>3.3</v>
          </cell>
          <cell r="P2344">
            <v>37895</v>
          </cell>
          <cell r="Q2344">
            <v>6.3433299999999999</v>
          </cell>
        </row>
        <row r="2345">
          <cell r="D2345">
            <v>37894</v>
          </cell>
          <cell r="E2345">
            <v>12.951000000000001</v>
          </cell>
          <cell r="G2345">
            <v>37894</v>
          </cell>
          <cell r="H2345">
            <v>5.8</v>
          </cell>
          <cell r="J2345">
            <v>37890</v>
          </cell>
          <cell r="K2345">
            <v>8.1</v>
          </cell>
          <cell r="M2345">
            <v>37852</v>
          </cell>
          <cell r="N2345">
            <v>3.3</v>
          </cell>
          <cell r="P2345">
            <v>37894</v>
          </cell>
          <cell r="Q2345">
            <v>6.3666700000000001</v>
          </cell>
        </row>
        <row r="2346">
          <cell r="D2346">
            <v>37893</v>
          </cell>
          <cell r="E2346">
            <v>13.26</v>
          </cell>
          <cell r="G2346">
            <v>37893</v>
          </cell>
          <cell r="H2346">
            <v>6.13</v>
          </cell>
          <cell r="J2346">
            <v>37889</v>
          </cell>
          <cell r="K2346">
            <v>7.99</v>
          </cell>
          <cell r="M2346">
            <v>37851</v>
          </cell>
          <cell r="N2346">
            <v>3.01</v>
          </cell>
          <cell r="P2346">
            <v>37893</v>
          </cell>
          <cell r="Q2346">
            <v>6.4166699999999999</v>
          </cell>
        </row>
        <row r="2347">
          <cell r="D2347">
            <v>37890</v>
          </cell>
          <cell r="E2347">
            <v>13.35</v>
          </cell>
          <cell r="G2347">
            <v>37890</v>
          </cell>
          <cell r="H2347">
            <v>5.71</v>
          </cell>
          <cell r="J2347">
            <v>37888</v>
          </cell>
          <cell r="K2347">
            <v>7.7</v>
          </cell>
          <cell r="M2347">
            <v>37848</v>
          </cell>
          <cell r="N2347">
            <v>3.25</v>
          </cell>
          <cell r="P2347">
            <v>37890</v>
          </cell>
          <cell r="Q2347">
            <v>6.2146699999999999</v>
          </cell>
        </row>
        <row r="2348">
          <cell r="D2348">
            <v>37889</v>
          </cell>
          <cell r="E2348">
            <v>13.79</v>
          </cell>
          <cell r="G2348">
            <v>37889</v>
          </cell>
          <cell r="H2348">
            <v>6.5570000000000004</v>
          </cell>
          <cell r="J2348">
            <v>37887</v>
          </cell>
          <cell r="K2348">
            <v>8</v>
          </cell>
          <cell r="M2348">
            <v>37847</v>
          </cell>
          <cell r="N2348">
            <v>3.13</v>
          </cell>
          <cell r="P2348">
            <v>37889</v>
          </cell>
          <cell r="Q2348">
            <v>5.9533300000000002</v>
          </cell>
        </row>
        <row r="2349">
          <cell r="D2349">
            <v>37888</v>
          </cell>
          <cell r="E2349">
            <v>14.36</v>
          </cell>
          <cell r="G2349">
            <v>37888</v>
          </cell>
          <cell r="H2349">
            <v>6.81</v>
          </cell>
          <cell r="J2349">
            <v>37886</v>
          </cell>
          <cell r="K2349">
            <v>8</v>
          </cell>
          <cell r="M2349">
            <v>37846</v>
          </cell>
          <cell r="N2349">
            <v>3.5</v>
          </cell>
          <cell r="P2349">
            <v>37888</v>
          </cell>
          <cell r="Q2349">
            <v>5.83</v>
          </cell>
        </row>
        <row r="2350">
          <cell r="D2350">
            <v>37887</v>
          </cell>
          <cell r="E2350">
            <v>14.7</v>
          </cell>
          <cell r="G2350">
            <v>37887</v>
          </cell>
          <cell r="H2350">
            <v>7.15</v>
          </cell>
          <cell r="J2350">
            <v>37883</v>
          </cell>
          <cell r="K2350">
            <v>7.53</v>
          </cell>
          <cell r="M2350">
            <v>37845</v>
          </cell>
          <cell r="N2350">
            <v>3</v>
          </cell>
          <cell r="P2350">
            <v>37887</v>
          </cell>
          <cell r="Q2350">
            <v>6.0266700000000002</v>
          </cell>
        </row>
        <row r="2351">
          <cell r="D2351">
            <v>37886</v>
          </cell>
          <cell r="E2351">
            <v>13.12</v>
          </cell>
          <cell r="G2351">
            <v>37886</v>
          </cell>
          <cell r="H2351">
            <v>6.65</v>
          </cell>
          <cell r="J2351">
            <v>37882</v>
          </cell>
          <cell r="K2351">
            <v>8.1999999999999993</v>
          </cell>
          <cell r="M2351">
            <v>37844</v>
          </cell>
          <cell r="N2351">
            <v>2.86</v>
          </cell>
          <cell r="P2351">
            <v>37886</v>
          </cell>
          <cell r="Q2351">
            <v>5.5966699999999996</v>
          </cell>
        </row>
        <row r="2352">
          <cell r="D2352">
            <v>37883</v>
          </cell>
          <cell r="E2352">
            <v>13.67</v>
          </cell>
          <cell r="G2352">
            <v>37883</v>
          </cell>
          <cell r="H2352">
            <v>6.98</v>
          </cell>
          <cell r="J2352">
            <v>37881</v>
          </cell>
          <cell r="K2352">
            <v>8.0500000000000007</v>
          </cell>
          <cell r="M2352">
            <v>37841</v>
          </cell>
          <cell r="N2352">
            <v>2.7</v>
          </cell>
          <cell r="P2352">
            <v>37883</v>
          </cell>
          <cell r="Q2352">
            <v>5.6183300000000003</v>
          </cell>
        </row>
        <row r="2353">
          <cell r="D2353">
            <v>37882</v>
          </cell>
          <cell r="E2353">
            <v>11.99</v>
          </cell>
          <cell r="G2353">
            <v>37882</v>
          </cell>
          <cell r="H2353">
            <v>6.55</v>
          </cell>
          <cell r="J2353">
            <v>37880</v>
          </cell>
          <cell r="K2353">
            <v>7.96</v>
          </cell>
          <cell r="M2353">
            <v>37840</v>
          </cell>
          <cell r="N2353">
            <v>2.7610000000000001</v>
          </cell>
          <cell r="P2353">
            <v>37882</v>
          </cell>
          <cell r="Q2353">
            <v>5.7</v>
          </cell>
        </row>
        <row r="2354">
          <cell r="D2354">
            <v>37881</v>
          </cell>
          <cell r="E2354">
            <v>11.98</v>
          </cell>
          <cell r="G2354">
            <v>37881</v>
          </cell>
          <cell r="H2354">
            <v>6.4</v>
          </cell>
          <cell r="J2354">
            <v>37879</v>
          </cell>
          <cell r="K2354">
            <v>7.95</v>
          </cell>
          <cell r="M2354">
            <v>37839</v>
          </cell>
          <cell r="N2354">
            <v>2.7</v>
          </cell>
          <cell r="P2354">
            <v>37881</v>
          </cell>
          <cell r="Q2354">
            <v>5.5250000000000004</v>
          </cell>
        </row>
        <row r="2355">
          <cell r="D2355">
            <v>37880</v>
          </cell>
          <cell r="E2355">
            <v>11.83</v>
          </cell>
          <cell r="G2355">
            <v>37880</v>
          </cell>
          <cell r="H2355">
            <v>6.39</v>
          </cell>
          <cell r="J2355">
            <v>37876</v>
          </cell>
          <cell r="K2355">
            <v>8</v>
          </cell>
          <cell r="M2355">
            <v>37838</v>
          </cell>
          <cell r="N2355">
            <v>2.81</v>
          </cell>
          <cell r="P2355">
            <v>37880</v>
          </cell>
          <cell r="Q2355">
            <v>5.3949999999999996</v>
          </cell>
        </row>
        <row r="2356">
          <cell r="D2356">
            <v>37879</v>
          </cell>
          <cell r="E2356">
            <v>11.76</v>
          </cell>
          <cell r="G2356">
            <v>37879</v>
          </cell>
          <cell r="H2356">
            <v>6.16</v>
          </cell>
          <cell r="J2356">
            <v>37875</v>
          </cell>
          <cell r="K2356">
            <v>8.15</v>
          </cell>
          <cell r="M2356">
            <v>37837</v>
          </cell>
          <cell r="N2356">
            <v>2.7730000000000001</v>
          </cell>
          <cell r="P2356">
            <v>37879</v>
          </cell>
          <cell r="Q2356">
            <v>5.2833300000000003</v>
          </cell>
        </row>
        <row r="2357">
          <cell r="D2357">
            <v>37876</v>
          </cell>
          <cell r="E2357">
            <v>11.58</v>
          </cell>
          <cell r="G2357">
            <v>37876</v>
          </cell>
          <cell r="H2357">
            <v>6.17</v>
          </cell>
          <cell r="J2357">
            <v>37874</v>
          </cell>
          <cell r="K2357">
            <v>7.71</v>
          </cell>
          <cell r="M2357">
            <v>37834</v>
          </cell>
          <cell r="N2357">
            <v>3.01</v>
          </cell>
          <cell r="P2357">
            <v>37876</v>
          </cell>
          <cell r="Q2357">
            <v>5.32667</v>
          </cell>
        </row>
        <row r="2358">
          <cell r="D2358">
            <v>37875</v>
          </cell>
          <cell r="E2358">
            <v>11.45</v>
          </cell>
          <cell r="G2358">
            <v>37875</v>
          </cell>
          <cell r="H2358">
            <v>6.01</v>
          </cell>
          <cell r="J2358">
            <v>37873</v>
          </cell>
          <cell r="K2358">
            <v>8.0609999999999999</v>
          </cell>
          <cell r="M2358">
            <v>37833</v>
          </cell>
          <cell r="N2358">
            <v>3.25</v>
          </cell>
          <cell r="P2358">
            <v>37875</v>
          </cell>
          <cell r="Q2358">
            <v>5.4666699999999997</v>
          </cell>
        </row>
        <row r="2359">
          <cell r="D2359">
            <v>37874</v>
          </cell>
          <cell r="E2359">
            <v>11.56</v>
          </cell>
          <cell r="G2359">
            <v>37874</v>
          </cell>
          <cell r="H2359">
            <v>6</v>
          </cell>
          <cell r="J2359">
            <v>37872</v>
          </cell>
          <cell r="K2359">
            <v>7.9509999999999996</v>
          </cell>
          <cell r="M2359">
            <v>37832</v>
          </cell>
          <cell r="N2359">
            <v>3.16</v>
          </cell>
          <cell r="P2359">
            <v>37874</v>
          </cell>
          <cell r="Q2359">
            <v>5.3650000000000002</v>
          </cell>
        </row>
        <row r="2360">
          <cell r="D2360">
            <v>37873</v>
          </cell>
          <cell r="E2360">
            <v>11.98</v>
          </cell>
          <cell r="G2360">
            <v>37873</v>
          </cell>
          <cell r="H2360">
            <v>6.45</v>
          </cell>
          <cell r="J2360">
            <v>37869</v>
          </cell>
          <cell r="K2360">
            <v>8</v>
          </cell>
          <cell r="M2360">
            <v>37831</v>
          </cell>
          <cell r="N2360">
            <v>2.79</v>
          </cell>
          <cell r="P2360">
            <v>37873</v>
          </cell>
          <cell r="Q2360">
            <v>5.7583299999999999</v>
          </cell>
        </row>
        <row r="2361">
          <cell r="D2361">
            <v>37872</v>
          </cell>
          <cell r="E2361">
            <v>11.301</v>
          </cell>
          <cell r="G2361">
            <v>37872</v>
          </cell>
          <cell r="H2361">
            <v>6.35</v>
          </cell>
          <cell r="J2361">
            <v>37868</v>
          </cell>
          <cell r="K2361">
            <v>7.7</v>
          </cell>
          <cell r="M2361">
            <v>37830</v>
          </cell>
          <cell r="N2361">
            <v>3</v>
          </cell>
          <cell r="P2361">
            <v>37872</v>
          </cell>
          <cell r="Q2361">
            <v>4.7066699999999999</v>
          </cell>
        </row>
        <row r="2362">
          <cell r="D2362">
            <v>37869</v>
          </cell>
          <cell r="E2362">
            <v>9.91</v>
          </cell>
          <cell r="G2362">
            <v>37869</v>
          </cell>
          <cell r="H2362">
            <v>5.75</v>
          </cell>
          <cell r="J2362">
            <v>37867</v>
          </cell>
          <cell r="K2362">
            <v>7.5</v>
          </cell>
          <cell r="M2362">
            <v>37827</v>
          </cell>
          <cell r="N2362">
            <v>3.1</v>
          </cell>
          <cell r="P2362">
            <v>37869</v>
          </cell>
          <cell r="Q2362">
            <v>4.6416700000000004</v>
          </cell>
        </row>
        <row r="2363">
          <cell r="D2363">
            <v>37868</v>
          </cell>
          <cell r="E2363">
            <v>10.4</v>
          </cell>
          <cell r="G2363">
            <v>37868</v>
          </cell>
          <cell r="H2363">
            <v>5.85</v>
          </cell>
          <cell r="J2363">
            <v>37866</v>
          </cell>
          <cell r="K2363">
            <v>7.5</v>
          </cell>
          <cell r="M2363">
            <v>37826</v>
          </cell>
          <cell r="N2363">
            <v>3.2</v>
          </cell>
          <cell r="P2363">
            <v>37868</v>
          </cell>
          <cell r="Q2363">
            <v>4.7</v>
          </cell>
        </row>
        <row r="2364">
          <cell r="D2364">
            <v>37867</v>
          </cell>
          <cell r="E2364">
            <v>10.4</v>
          </cell>
          <cell r="G2364">
            <v>37867</v>
          </cell>
          <cell r="H2364">
            <v>6.35</v>
          </cell>
          <cell r="J2364">
            <v>37862</v>
          </cell>
          <cell r="K2364">
            <v>7.7990000000000004</v>
          </cell>
          <cell r="M2364">
            <v>37825</v>
          </cell>
          <cell r="N2364">
            <v>3.2010000000000001</v>
          </cell>
          <cell r="P2364">
            <v>37867</v>
          </cell>
          <cell r="Q2364">
            <v>4.6683300000000001</v>
          </cell>
        </row>
        <row r="2365">
          <cell r="D2365">
            <v>37866</v>
          </cell>
          <cell r="E2365">
            <v>10.15</v>
          </cell>
          <cell r="G2365">
            <v>37866</v>
          </cell>
          <cell r="H2365">
            <v>6.05</v>
          </cell>
          <cell r="J2365">
            <v>37861</v>
          </cell>
          <cell r="K2365">
            <v>7.7</v>
          </cell>
          <cell r="M2365">
            <v>37824</v>
          </cell>
          <cell r="N2365">
            <v>3.27</v>
          </cell>
          <cell r="P2365">
            <v>37866</v>
          </cell>
          <cell r="Q2365">
            <v>4.5533299999999999</v>
          </cell>
        </row>
        <row r="2366">
          <cell r="D2366">
            <v>37862</v>
          </cell>
          <cell r="E2366">
            <v>9.24</v>
          </cell>
          <cell r="G2366">
            <v>37862</v>
          </cell>
          <cell r="H2366">
            <v>5.79</v>
          </cell>
          <cell r="J2366">
            <v>37860</v>
          </cell>
          <cell r="K2366">
            <v>7.7</v>
          </cell>
          <cell r="M2366">
            <v>37823</v>
          </cell>
          <cell r="N2366">
            <v>3.1890000000000001</v>
          </cell>
          <cell r="P2366">
            <v>37862</v>
          </cell>
          <cell r="Q2366">
            <v>4.7466699999999999</v>
          </cell>
        </row>
        <row r="2367">
          <cell r="D2367">
            <v>37861</v>
          </cell>
          <cell r="E2367">
            <v>8.9</v>
          </cell>
          <cell r="G2367">
            <v>37861</v>
          </cell>
          <cell r="H2367">
            <v>5.3</v>
          </cell>
          <cell r="J2367">
            <v>37859</v>
          </cell>
          <cell r="K2367">
            <v>7.59</v>
          </cell>
          <cell r="M2367">
            <v>37820</v>
          </cell>
          <cell r="N2367">
            <v>3.21</v>
          </cell>
          <cell r="P2367">
            <v>37861</v>
          </cell>
          <cell r="Q2367">
            <v>4.7216699999999996</v>
          </cell>
        </row>
        <row r="2368">
          <cell r="D2368">
            <v>37860</v>
          </cell>
          <cell r="E2368">
            <v>8.83</v>
          </cell>
          <cell r="G2368">
            <v>37860</v>
          </cell>
          <cell r="H2368">
            <v>5.38</v>
          </cell>
          <cell r="J2368">
            <v>37858</v>
          </cell>
          <cell r="K2368">
            <v>7.73</v>
          </cell>
          <cell r="M2368">
            <v>37819</v>
          </cell>
          <cell r="N2368">
            <v>3.43</v>
          </cell>
          <cell r="P2368">
            <v>37860</v>
          </cell>
          <cell r="Q2368">
            <v>4.6353299999999997</v>
          </cell>
        </row>
        <row r="2369">
          <cell r="D2369">
            <v>37859</v>
          </cell>
          <cell r="E2369">
            <v>9.01</v>
          </cell>
          <cell r="G2369">
            <v>37859</v>
          </cell>
          <cell r="H2369">
            <v>5.47</v>
          </cell>
          <cell r="J2369">
            <v>37855</v>
          </cell>
          <cell r="K2369">
            <v>7.68</v>
          </cell>
          <cell r="M2369">
            <v>37818</v>
          </cell>
          <cell r="N2369">
            <v>3.08</v>
          </cell>
          <cell r="P2369">
            <v>37859</v>
          </cell>
          <cell r="Q2369">
            <v>4.6100000000000003</v>
          </cell>
        </row>
        <row r="2370">
          <cell r="D2370">
            <v>37858</v>
          </cell>
          <cell r="E2370">
            <v>8.67</v>
          </cell>
          <cell r="G2370">
            <v>37858</v>
          </cell>
          <cell r="H2370">
            <v>5.49</v>
          </cell>
          <cell r="J2370">
            <v>37854</v>
          </cell>
          <cell r="K2370">
            <v>8.1989999999999998</v>
          </cell>
          <cell r="M2370">
            <v>37817</v>
          </cell>
          <cell r="N2370">
            <v>3.26</v>
          </cell>
          <cell r="P2370">
            <v>37858</v>
          </cell>
          <cell r="Q2370">
            <v>4.6433299999999997</v>
          </cell>
        </row>
        <row r="2371">
          <cell r="D2371">
            <v>37855</v>
          </cell>
          <cell r="E2371">
            <v>9.01</v>
          </cell>
          <cell r="G2371">
            <v>37855</v>
          </cell>
          <cell r="H2371">
            <v>5.68</v>
          </cell>
          <cell r="J2371">
            <v>37853</v>
          </cell>
          <cell r="K2371">
            <v>8.1</v>
          </cell>
          <cell r="M2371">
            <v>37816</v>
          </cell>
          <cell r="N2371">
            <v>3.36</v>
          </cell>
          <cell r="P2371">
            <v>37855</v>
          </cell>
          <cell r="Q2371">
            <v>4.79</v>
          </cell>
        </row>
        <row r="2372">
          <cell r="D2372">
            <v>37854</v>
          </cell>
          <cell r="E2372">
            <v>9.3010000000000002</v>
          </cell>
          <cell r="G2372">
            <v>37854</v>
          </cell>
          <cell r="H2372">
            <v>5.78</v>
          </cell>
          <cell r="J2372">
            <v>37852</v>
          </cell>
          <cell r="K2372">
            <v>7.94</v>
          </cell>
          <cell r="M2372">
            <v>37813</v>
          </cell>
          <cell r="N2372">
            <v>3.4</v>
          </cell>
          <cell r="P2372">
            <v>37854</v>
          </cell>
          <cell r="Q2372">
            <v>4.9216699999999998</v>
          </cell>
        </row>
        <row r="2373">
          <cell r="D2373">
            <v>37853</v>
          </cell>
          <cell r="E2373">
            <v>9.35</v>
          </cell>
          <cell r="G2373">
            <v>37853</v>
          </cell>
          <cell r="H2373">
            <v>5.58</v>
          </cell>
          <cell r="J2373">
            <v>37851</v>
          </cell>
          <cell r="K2373">
            <v>8.1690000000000005</v>
          </cell>
          <cell r="M2373">
            <v>37812</v>
          </cell>
          <cell r="N2373">
            <v>3.35</v>
          </cell>
          <cell r="P2373">
            <v>37853</v>
          </cell>
          <cell r="Q2373">
            <v>4.6066700000000003</v>
          </cell>
        </row>
        <row r="2374">
          <cell r="D2374">
            <v>37852</v>
          </cell>
          <cell r="E2374">
            <v>9.5389999999999997</v>
          </cell>
          <cell r="G2374">
            <v>37852</v>
          </cell>
          <cell r="H2374">
            <v>5.4390000000000001</v>
          </cell>
          <cell r="J2374">
            <v>37848</v>
          </cell>
          <cell r="K2374">
            <v>8.3000000000000007</v>
          </cell>
          <cell r="M2374">
            <v>37811</v>
          </cell>
          <cell r="N2374">
            <v>3.47</v>
          </cell>
          <cell r="P2374">
            <v>37852</v>
          </cell>
          <cell r="Q2374">
            <v>4.6399999999999997</v>
          </cell>
        </row>
        <row r="2375">
          <cell r="D2375">
            <v>37851</v>
          </cell>
          <cell r="E2375">
            <v>9.6300000000000008</v>
          </cell>
          <cell r="G2375">
            <v>37851</v>
          </cell>
          <cell r="H2375">
            <v>5.56</v>
          </cell>
          <cell r="J2375">
            <v>37847</v>
          </cell>
          <cell r="K2375">
            <v>8.16</v>
          </cell>
          <cell r="M2375">
            <v>37810</v>
          </cell>
          <cell r="N2375">
            <v>3.47</v>
          </cell>
          <cell r="P2375">
            <v>37851</v>
          </cell>
          <cell r="Q2375">
            <v>4.57667</v>
          </cell>
        </row>
        <row r="2376">
          <cell r="D2376">
            <v>37848</v>
          </cell>
          <cell r="E2376">
            <v>9.43</v>
          </cell>
          <cell r="G2376">
            <v>37848</v>
          </cell>
          <cell r="H2376">
            <v>4.92</v>
          </cell>
          <cell r="J2376">
            <v>37846</v>
          </cell>
          <cell r="K2376">
            <v>8.0890000000000004</v>
          </cell>
          <cell r="M2376">
            <v>37809</v>
          </cell>
          <cell r="N2376">
            <v>3.48</v>
          </cell>
          <cell r="P2376">
            <v>37848</v>
          </cell>
          <cell r="Q2376">
            <v>4.3283300000000002</v>
          </cell>
        </row>
        <row r="2377">
          <cell r="D2377">
            <v>37847</v>
          </cell>
          <cell r="E2377">
            <v>9.65</v>
          </cell>
          <cell r="G2377">
            <v>37847</v>
          </cell>
          <cell r="H2377">
            <v>4.59</v>
          </cell>
          <cell r="J2377">
            <v>37845</v>
          </cell>
          <cell r="K2377">
            <v>7.99</v>
          </cell>
          <cell r="M2377">
            <v>37805</v>
          </cell>
          <cell r="N2377">
            <v>2.99</v>
          </cell>
          <cell r="P2377">
            <v>37847</v>
          </cell>
          <cell r="Q2377">
            <v>4.2683299999999997</v>
          </cell>
        </row>
        <row r="2378">
          <cell r="D2378">
            <v>37846</v>
          </cell>
          <cell r="E2378">
            <v>9.25</v>
          </cell>
          <cell r="G2378">
            <v>37846</v>
          </cell>
          <cell r="H2378">
            <v>4.5199999999999996</v>
          </cell>
          <cell r="J2378">
            <v>37844</v>
          </cell>
          <cell r="K2378">
            <v>7.9889999999999999</v>
          </cell>
          <cell r="M2378">
            <v>37804</v>
          </cell>
          <cell r="N2378">
            <v>2.85</v>
          </cell>
          <cell r="P2378">
            <v>37846</v>
          </cell>
          <cell r="Q2378">
            <v>4.2850000000000001</v>
          </cell>
        </row>
        <row r="2379">
          <cell r="D2379">
            <v>37845</v>
          </cell>
          <cell r="E2379">
            <v>8.7200000000000006</v>
          </cell>
          <cell r="G2379">
            <v>37845</v>
          </cell>
          <cell r="H2379">
            <v>4.3099999999999996</v>
          </cell>
          <cell r="J2379">
            <v>37841</v>
          </cell>
          <cell r="K2379">
            <v>7.9</v>
          </cell>
          <cell r="M2379">
            <v>37803</v>
          </cell>
          <cell r="N2379">
            <v>2.8809999999999998</v>
          </cell>
          <cell r="P2379">
            <v>37845</v>
          </cell>
          <cell r="Q2379">
            <v>4.1866700000000003</v>
          </cell>
        </row>
        <row r="2380">
          <cell r="D2380">
            <v>37844</v>
          </cell>
          <cell r="E2380">
            <v>8.8800000000000008</v>
          </cell>
          <cell r="G2380">
            <v>37844</v>
          </cell>
          <cell r="H2380">
            <v>4.6900000000000004</v>
          </cell>
          <cell r="J2380">
            <v>37840</v>
          </cell>
          <cell r="K2380">
            <v>8.1199999999999992</v>
          </cell>
          <cell r="M2380">
            <v>37802</v>
          </cell>
          <cell r="N2380">
            <v>2.84</v>
          </cell>
          <cell r="P2380">
            <v>37844</v>
          </cell>
          <cell r="Q2380">
            <v>4.1466700000000003</v>
          </cell>
        </row>
        <row r="2381">
          <cell r="D2381">
            <v>37841</v>
          </cell>
          <cell r="E2381">
            <v>8.7100000000000009</v>
          </cell>
          <cell r="G2381">
            <v>37841</v>
          </cell>
          <cell r="H2381">
            <v>4.5</v>
          </cell>
          <cell r="J2381">
            <v>37839</v>
          </cell>
          <cell r="K2381">
            <v>7.7</v>
          </cell>
          <cell r="M2381">
            <v>37799</v>
          </cell>
          <cell r="N2381">
            <v>2.75</v>
          </cell>
          <cell r="P2381">
            <v>37841</v>
          </cell>
          <cell r="Q2381">
            <v>4.1016700000000004</v>
          </cell>
        </row>
        <row r="2382">
          <cell r="D2382">
            <v>37840</v>
          </cell>
          <cell r="E2382">
            <v>9.5</v>
          </cell>
          <cell r="G2382">
            <v>37840</v>
          </cell>
          <cell r="H2382">
            <v>4.32</v>
          </cell>
          <cell r="J2382">
            <v>37838</v>
          </cell>
          <cell r="K2382">
            <v>7.9589999999999996</v>
          </cell>
          <cell r="M2382">
            <v>37798</v>
          </cell>
          <cell r="N2382">
            <v>2.75</v>
          </cell>
          <cell r="P2382">
            <v>37840</v>
          </cell>
          <cell r="Q2382">
            <v>4.1333299999999999</v>
          </cell>
        </row>
        <row r="2383">
          <cell r="D2383">
            <v>37839</v>
          </cell>
          <cell r="E2383">
            <v>9.6199999999999992</v>
          </cell>
          <cell r="G2383">
            <v>37839</v>
          </cell>
          <cell r="H2383">
            <v>4.68</v>
          </cell>
          <cell r="J2383">
            <v>37837</v>
          </cell>
          <cell r="K2383">
            <v>7.76</v>
          </cell>
          <cell r="M2383">
            <v>37797</v>
          </cell>
          <cell r="N2383">
            <v>2.8</v>
          </cell>
          <cell r="P2383">
            <v>37839</v>
          </cell>
          <cell r="Q2383">
            <v>4.0816699999999999</v>
          </cell>
        </row>
        <row r="2384">
          <cell r="D2384">
            <v>37838</v>
          </cell>
          <cell r="E2384">
            <v>9.4499999999999993</v>
          </cell>
          <cell r="G2384">
            <v>37838</v>
          </cell>
          <cell r="H2384">
            <v>5.08</v>
          </cell>
          <cell r="J2384">
            <v>37834</v>
          </cell>
          <cell r="K2384">
            <v>7.75</v>
          </cell>
          <cell r="M2384">
            <v>37796</v>
          </cell>
          <cell r="N2384">
            <v>2.8290000000000002</v>
          </cell>
          <cell r="P2384">
            <v>37838</v>
          </cell>
          <cell r="Q2384">
            <v>4.1866700000000003</v>
          </cell>
        </row>
        <row r="2385">
          <cell r="D2385">
            <v>37837</v>
          </cell>
          <cell r="E2385">
            <v>9.9499999999999993</v>
          </cell>
          <cell r="G2385">
            <v>37837</v>
          </cell>
          <cell r="H2385">
            <v>5.07</v>
          </cell>
          <cell r="J2385">
            <v>37833</v>
          </cell>
          <cell r="K2385">
            <v>7.75</v>
          </cell>
          <cell r="M2385">
            <v>37792</v>
          </cell>
          <cell r="N2385">
            <v>2.99</v>
          </cell>
          <cell r="P2385">
            <v>37837</v>
          </cell>
          <cell r="Q2385">
            <v>4.71333</v>
          </cell>
        </row>
        <row r="2386">
          <cell r="D2386">
            <v>37834</v>
          </cell>
          <cell r="E2386">
            <v>9.77</v>
          </cell>
          <cell r="G2386">
            <v>37834</v>
          </cell>
          <cell r="H2386">
            <v>4.8499999999999996</v>
          </cell>
          <cell r="J2386">
            <v>37832</v>
          </cell>
          <cell r="K2386">
            <v>7.5609999999999999</v>
          </cell>
          <cell r="M2386">
            <v>37791</v>
          </cell>
          <cell r="N2386">
            <v>3.05</v>
          </cell>
          <cell r="P2386">
            <v>37834</v>
          </cell>
          <cell r="Q2386">
            <v>4.5466699999999998</v>
          </cell>
        </row>
        <row r="2387">
          <cell r="D2387">
            <v>37833</v>
          </cell>
          <cell r="E2387">
            <v>9.99</v>
          </cell>
          <cell r="G2387">
            <v>37833</v>
          </cell>
          <cell r="H2387">
            <v>4.3</v>
          </cell>
          <cell r="J2387">
            <v>37831</v>
          </cell>
          <cell r="K2387">
            <v>7.5</v>
          </cell>
          <cell r="M2387">
            <v>37790</v>
          </cell>
          <cell r="N2387">
            <v>3.03</v>
          </cell>
          <cell r="P2387">
            <v>37833</v>
          </cell>
          <cell r="Q2387">
            <v>4.0133299999999998</v>
          </cell>
        </row>
        <row r="2388">
          <cell r="D2388">
            <v>37832</v>
          </cell>
          <cell r="E2388">
            <v>9.75</v>
          </cell>
          <cell r="G2388">
            <v>37832</v>
          </cell>
          <cell r="H2388">
            <v>5.0199999999999996</v>
          </cell>
          <cell r="J2388">
            <v>37830</v>
          </cell>
          <cell r="K2388">
            <v>7.5</v>
          </cell>
          <cell r="M2388">
            <v>37789</v>
          </cell>
          <cell r="N2388">
            <v>3</v>
          </cell>
          <cell r="P2388">
            <v>37832</v>
          </cell>
          <cell r="Q2388">
            <v>3.60833</v>
          </cell>
        </row>
        <row r="2389">
          <cell r="D2389">
            <v>37831</v>
          </cell>
          <cell r="E2389">
            <v>9.85</v>
          </cell>
          <cell r="G2389">
            <v>37831</v>
          </cell>
          <cell r="H2389">
            <v>5.08</v>
          </cell>
          <cell r="J2389">
            <v>37827</v>
          </cell>
          <cell r="K2389">
            <v>7.75</v>
          </cell>
          <cell r="M2389">
            <v>37788</v>
          </cell>
          <cell r="N2389">
            <v>3</v>
          </cell>
          <cell r="P2389">
            <v>37831</v>
          </cell>
          <cell r="Q2389">
            <v>3.6850000000000001</v>
          </cell>
        </row>
        <row r="2390">
          <cell r="D2390">
            <v>37830</v>
          </cell>
          <cell r="E2390">
            <v>9.52</v>
          </cell>
          <cell r="G2390">
            <v>37830</v>
          </cell>
          <cell r="H2390">
            <v>5.22</v>
          </cell>
          <cell r="J2390">
            <v>37826</v>
          </cell>
          <cell r="K2390">
            <v>7.59</v>
          </cell>
          <cell r="M2390">
            <v>37785</v>
          </cell>
          <cell r="N2390">
            <v>3</v>
          </cell>
          <cell r="P2390">
            <v>37830</v>
          </cell>
          <cell r="Q2390">
            <v>3.7250000000000001</v>
          </cell>
        </row>
        <row r="2391">
          <cell r="D2391">
            <v>37827</v>
          </cell>
          <cell r="E2391">
            <v>8.8979999999999997</v>
          </cell>
          <cell r="G2391">
            <v>37827</v>
          </cell>
          <cell r="H2391">
            <v>4.92</v>
          </cell>
          <cell r="J2391">
            <v>37825</v>
          </cell>
          <cell r="K2391">
            <v>7.75</v>
          </cell>
          <cell r="M2391">
            <v>37784</v>
          </cell>
          <cell r="N2391">
            <v>3</v>
          </cell>
          <cell r="P2391">
            <v>37827</v>
          </cell>
          <cell r="Q2391">
            <v>3.8233299999999999</v>
          </cell>
        </row>
        <row r="2392">
          <cell r="D2392">
            <v>37826</v>
          </cell>
          <cell r="E2392">
            <v>8.41</v>
          </cell>
          <cell r="G2392">
            <v>37826</v>
          </cell>
          <cell r="H2392">
            <v>5.16</v>
          </cell>
          <cell r="J2392">
            <v>37824</v>
          </cell>
          <cell r="K2392">
            <v>7.71</v>
          </cell>
          <cell r="M2392">
            <v>37783</v>
          </cell>
          <cell r="N2392">
            <v>2.65</v>
          </cell>
          <cell r="P2392">
            <v>37826</v>
          </cell>
          <cell r="Q2392">
            <v>3.6683300000000001</v>
          </cell>
        </row>
        <row r="2393">
          <cell r="D2393">
            <v>37825</v>
          </cell>
          <cell r="E2393">
            <v>7.95</v>
          </cell>
          <cell r="G2393">
            <v>37825</v>
          </cell>
          <cell r="H2393">
            <v>4.79</v>
          </cell>
          <cell r="J2393">
            <v>37823</v>
          </cell>
          <cell r="K2393">
            <v>7.58</v>
          </cell>
          <cell r="M2393">
            <v>37782</v>
          </cell>
          <cell r="N2393">
            <v>3</v>
          </cell>
          <cell r="P2393">
            <v>37825</v>
          </cell>
          <cell r="Q2393">
            <v>3.5633300000000001</v>
          </cell>
        </row>
        <row r="2394">
          <cell r="D2394">
            <v>37824</v>
          </cell>
          <cell r="E2394">
            <v>8.1999999999999993</v>
          </cell>
          <cell r="G2394">
            <v>37824</v>
          </cell>
          <cell r="H2394">
            <v>4.4989999999999997</v>
          </cell>
          <cell r="J2394">
            <v>37820</v>
          </cell>
          <cell r="K2394">
            <v>7.75</v>
          </cell>
          <cell r="M2394">
            <v>37781</v>
          </cell>
          <cell r="N2394">
            <v>3.05</v>
          </cell>
          <cell r="P2394">
            <v>37824</v>
          </cell>
          <cell r="Q2394">
            <v>3.4883299999999999</v>
          </cell>
        </row>
        <row r="2395">
          <cell r="D2395">
            <v>37823</v>
          </cell>
          <cell r="E2395">
            <v>7.95</v>
          </cell>
          <cell r="G2395">
            <v>37823</v>
          </cell>
          <cell r="H2395">
            <v>4.2</v>
          </cell>
          <cell r="J2395">
            <v>37819</v>
          </cell>
          <cell r="K2395">
            <v>7.85</v>
          </cell>
          <cell r="M2395">
            <v>37778</v>
          </cell>
          <cell r="N2395">
            <v>3.29</v>
          </cell>
          <cell r="P2395">
            <v>37823</v>
          </cell>
          <cell r="Q2395">
            <v>3.4350000000000001</v>
          </cell>
        </row>
        <row r="2396">
          <cell r="D2396">
            <v>37820</v>
          </cell>
          <cell r="E2396">
            <v>8.3699999999999992</v>
          </cell>
          <cell r="G2396">
            <v>37820</v>
          </cell>
          <cell r="H2396">
            <v>4.0999999999999996</v>
          </cell>
          <cell r="J2396">
            <v>37818</v>
          </cell>
          <cell r="K2396">
            <v>7.98</v>
          </cell>
          <cell r="M2396">
            <v>37777</v>
          </cell>
          <cell r="N2396">
            <v>3.4</v>
          </cell>
          <cell r="P2396">
            <v>37820</v>
          </cell>
          <cell r="Q2396">
            <v>3.54</v>
          </cell>
        </row>
        <row r="2397">
          <cell r="D2397">
            <v>37819</v>
          </cell>
          <cell r="E2397">
            <v>7.9</v>
          </cell>
          <cell r="G2397">
            <v>37819</v>
          </cell>
          <cell r="H2397">
            <v>4.04</v>
          </cell>
          <cell r="J2397">
            <v>37817</v>
          </cell>
          <cell r="K2397">
            <v>7.99</v>
          </cell>
          <cell r="M2397">
            <v>37776</v>
          </cell>
          <cell r="N2397">
            <v>3.09</v>
          </cell>
          <cell r="P2397">
            <v>37819</v>
          </cell>
          <cell r="Q2397">
            <v>3.5063300000000002</v>
          </cell>
        </row>
        <row r="2398">
          <cell r="D2398">
            <v>37818</v>
          </cell>
          <cell r="E2398">
            <v>8.59</v>
          </cell>
          <cell r="G2398">
            <v>37818</v>
          </cell>
          <cell r="H2398">
            <v>3.8</v>
          </cell>
          <cell r="J2398">
            <v>37816</v>
          </cell>
          <cell r="K2398">
            <v>7.89</v>
          </cell>
          <cell r="M2398">
            <v>37775</v>
          </cell>
          <cell r="N2398">
            <v>3.1</v>
          </cell>
          <cell r="P2398">
            <v>37818</v>
          </cell>
          <cell r="Q2398">
            <v>3.6583299999999999</v>
          </cell>
        </row>
        <row r="2399">
          <cell r="D2399">
            <v>37817</v>
          </cell>
          <cell r="E2399">
            <v>8.51</v>
          </cell>
          <cell r="G2399">
            <v>37817</v>
          </cell>
          <cell r="H2399">
            <v>4</v>
          </cell>
          <cell r="J2399">
            <v>37813</v>
          </cell>
          <cell r="K2399">
            <v>7.99</v>
          </cell>
          <cell r="M2399">
            <v>37774</v>
          </cell>
          <cell r="N2399">
            <v>3.05</v>
          </cell>
          <cell r="P2399">
            <v>37817</v>
          </cell>
          <cell r="Q2399">
            <v>3.7966700000000002</v>
          </cell>
        </row>
        <row r="2400">
          <cell r="D2400">
            <v>37816</v>
          </cell>
          <cell r="E2400">
            <v>8.7100000000000009</v>
          </cell>
          <cell r="G2400">
            <v>37816</v>
          </cell>
          <cell r="H2400">
            <v>3.95</v>
          </cell>
          <cell r="J2400">
            <v>37812</v>
          </cell>
          <cell r="K2400">
            <v>7.96</v>
          </cell>
          <cell r="M2400">
            <v>37771</v>
          </cell>
          <cell r="N2400">
            <v>3.05</v>
          </cell>
          <cell r="P2400">
            <v>37816</v>
          </cell>
          <cell r="Q2400">
            <v>3.8683299999999998</v>
          </cell>
        </row>
        <row r="2401">
          <cell r="D2401">
            <v>37813</v>
          </cell>
          <cell r="E2401">
            <v>7.5</v>
          </cell>
          <cell r="G2401">
            <v>37813</v>
          </cell>
          <cell r="H2401">
            <v>3.86</v>
          </cell>
          <cell r="J2401">
            <v>37811</v>
          </cell>
          <cell r="K2401">
            <v>8</v>
          </cell>
          <cell r="M2401">
            <v>37770</v>
          </cell>
          <cell r="N2401">
            <v>2.85</v>
          </cell>
          <cell r="P2401">
            <v>37813</v>
          </cell>
          <cell r="Q2401">
            <v>3.85</v>
          </cell>
        </row>
        <row r="2402">
          <cell r="D2402">
            <v>37812</v>
          </cell>
          <cell r="E2402">
            <v>7.75</v>
          </cell>
          <cell r="G2402">
            <v>37812</v>
          </cell>
          <cell r="H2402">
            <v>4.12</v>
          </cell>
          <cell r="J2402">
            <v>37810</v>
          </cell>
          <cell r="K2402">
            <v>7.99</v>
          </cell>
          <cell r="M2402">
            <v>37769</v>
          </cell>
          <cell r="N2402">
            <v>3.2</v>
          </cell>
          <cell r="P2402">
            <v>37812</v>
          </cell>
          <cell r="Q2402">
            <v>3.7733300000000001</v>
          </cell>
        </row>
        <row r="2403">
          <cell r="D2403">
            <v>37811</v>
          </cell>
          <cell r="E2403">
            <v>7.37</v>
          </cell>
          <cell r="G2403">
            <v>37811</v>
          </cell>
          <cell r="H2403">
            <v>3.75</v>
          </cell>
          <cell r="J2403">
            <v>37809</v>
          </cell>
          <cell r="K2403">
            <v>8.09</v>
          </cell>
          <cell r="M2403">
            <v>37768</v>
          </cell>
          <cell r="N2403">
            <v>3.1</v>
          </cell>
          <cell r="P2403">
            <v>37811</v>
          </cell>
          <cell r="Q2403">
            <v>3.8833299999999999</v>
          </cell>
        </row>
        <row r="2404">
          <cell r="D2404">
            <v>37810</v>
          </cell>
          <cell r="E2404">
            <v>6.4</v>
          </cell>
          <cell r="G2404">
            <v>37810</v>
          </cell>
          <cell r="H2404">
            <v>3.59</v>
          </cell>
          <cell r="J2404">
            <v>37805</v>
          </cell>
          <cell r="K2404">
            <v>8.1999999999999993</v>
          </cell>
          <cell r="M2404">
            <v>37764</v>
          </cell>
          <cell r="N2404">
            <v>3.4</v>
          </cell>
          <cell r="P2404">
            <v>37810</v>
          </cell>
          <cell r="Q2404">
            <v>3.9249999999999998</v>
          </cell>
        </row>
        <row r="2405">
          <cell r="D2405">
            <v>37809</v>
          </cell>
          <cell r="E2405">
            <v>6.6</v>
          </cell>
          <cell r="G2405">
            <v>37809</v>
          </cell>
          <cell r="H2405">
            <v>3.3</v>
          </cell>
          <cell r="J2405">
            <v>37804</v>
          </cell>
          <cell r="K2405">
            <v>8.1</v>
          </cell>
          <cell r="M2405">
            <v>37763</v>
          </cell>
          <cell r="N2405">
            <v>3.09</v>
          </cell>
          <cell r="P2405">
            <v>37809</v>
          </cell>
          <cell r="Q2405">
            <v>3.895</v>
          </cell>
        </row>
        <row r="2406">
          <cell r="D2406">
            <v>37805</v>
          </cell>
          <cell r="E2406">
            <v>6.52</v>
          </cell>
          <cell r="G2406">
            <v>37805</v>
          </cell>
          <cell r="H2406">
            <v>2.7</v>
          </cell>
          <cell r="J2406">
            <v>37803</v>
          </cell>
          <cell r="K2406">
            <v>8.1</v>
          </cell>
          <cell r="M2406">
            <v>37762</v>
          </cell>
          <cell r="N2406">
            <v>3.09</v>
          </cell>
          <cell r="P2406">
            <v>37805</v>
          </cell>
          <cell r="Q2406">
            <v>3.82</v>
          </cell>
        </row>
        <row r="2407">
          <cell r="D2407">
            <v>37804</v>
          </cell>
          <cell r="E2407">
            <v>6.4</v>
          </cell>
          <cell r="G2407">
            <v>37804</v>
          </cell>
          <cell r="H2407">
            <v>2.7480000000000002</v>
          </cell>
          <cell r="J2407">
            <v>37802</v>
          </cell>
          <cell r="K2407">
            <v>8</v>
          </cell>
          <cell r="M2407">
            <v>37761</v>
          </cell>
          <cell r="N2407">
            <v>2.9</v>
          </cell>
          <cell r="P2407">
            <v>37804</v>
          </cell>
          <cell r="Q2407">
            <v>3.7816700000000001</v>
          </cell>
        </row>
        <row r="2408">
          <cell r="D2408">
            <v>37803</v>
          </cell>
          <cell r="E2408">
            <v>6.15</v>
          </cell>
          <cell r="G2408">
            <v>37803</v>
          </cell>
          <cell r="H2408">
            <v>2.7</v>
          </cell>
          <cell r="J2408">
            <v>37799</v>
          </cell>
          <cell r="K2408">
            <v>7.66</v>
          </cell>
          <cell r="M2408">
            <v>37760</v>
          </cell>
          <cell r="N2408">
            <v>2.82</v>
          </cell>
          <cell r="P2408">
            <v>37803</v>
          </cell>
          <cell r="Q2408">
            <v>3.6466699999999999</v>
          </cell>
        </row>
        <row r="2409">
          <cell r="D2409">
            <v>37802</v>
          </cell>
          <cell r="E2409">
            <v>6.23</v>
          </cell>
          <cell r="G2409">
            <v>37802</v>
          </cell>
          <cell r="H2409">
            <v>2.4700000000000002</v>
          </cell>
          <cell r="J2409">
            <v>37798</v>
          </cell>
          <cell r="K2409">
            <v>7.41</v>
          </cell>
          <cell r="M2409">
            <v>37757</v>
          </cell>
          <cell r="N2409">
            <v>3</v>
          </cell>
          <cell r="P2409">
            <v>37802</v>
          </cell>
          <cell r="Q2409">
            <v>3.6033300000000001</v>
          </cell>
        </row>
        <row r="2410">
          <cell r="D2410">
            <v>37799</v>
          </cell>
          <cell r="E2410">
            <v>6.45</v>
          </cell>
          <cell r="G2410">
            <v>37799</v>
          </cell>
          <cell r="H2410">
            <v>2.2799999999999998</v>
          </cell>
          <cell r="J2410">
            <v>37797</v>
          </cell>
          <cell r="K2410">
            <v>7.21</v>
          </cell>
          <cell r="M2410">
            <v>37756</v>
          </cell>
          <cell r="N2410">
            <v>3</v>
          </cell>
          <cell r="P2410">
            <v>37799</v>
          </cell>
          <cell r="Q2410">
            <v>3.7733300000000001</v>
          </cell>
        </row>
        <row r="2411">
          <cell r="D2411">
            <v>37798</v>
          </cell>
          <cell r="E2411">
            <v>6.6</v>
          </cell>
          <cell r="G2411">
            <v>37798</v>
          </cell>
          <cell r="H2411">
            <v>2.65</v>
          </cell>
          <cell r="J2411">
            <v>37796</v>
          </cell>
          <cell r="K2411">
            <v>7.61</v>
          </cell>
          <cell r="M2411">
            <v>37754</v>
          </cell>
          <cell r="N2411">
            <v>3.15</v>
          </cell>
          <cell r="P2411">
            <v>37798</v>
          </cell>
          <cell r="Q2411">
            <v>3.7483300000000002</v>
          </cell>
        </row>
        <row r="2412">
          <cell r="D2412">
            <v>37797</v>
          </cell>
          <cell r="E2412">
            <v>6.27</v>
          </cell>
          <cell r="G2412">
            <v>37797</v>
          </cell>
          <cell r="H2412">
            <v>2.79</v>
          </cell>
          <cell r="J2412">
            <v>37795</v>
          </cell>
          <cell r="K2412">
            <v>7.94</v>
          </cell>
          <cell r="M2412">
            <v>37753</v>
          </cell>
          <cell r="N2412">
            <v>3.3</v>
          </cell>
          <cell r="P2412">
            <v>37797</v>
          </cell>
          <cell r="Q2412">
            <v>3.8050000000000002</v>
          </cell>
        </row>
        <row r="2413">
          <cell r="D2413">
            <v>37796</v>
          </cell>
          <cell r="E2413">
            <v>5.94</v>
          </cell>
          <cell r="G2413">
            <v>37796</v>
          </cell>
          <cell r="H2413">
            <v>2.8</v>
          </cell>
          <cell r="J2413">
            <v>37792</v>
          </cell>
          <cell r="K2413">
            <v>8.19</v>
          </cell>
          <cell r="M2413">
            <v>37750</v>
          </cell>
          <cell r="N2413">
            <v>3.34</v>
          </cell>
          <cell r="P2413">
            <v>37796</v>
          </cell>
          <cell r="Q2413">
            <v>3.6916699999999998</v>
          </cell>
        </row>
        <row r="2414">
          <cell r="D2414">
            <v>37795</v>
          </cell>
          <cell r="E2414">
            <v>5.9</v>
          </cell>
          <cell r="G2414">
            <v>37795</v>
          </cell>
          <cell r="H2414">
            <v>3.06</v>
          </cell>
          <cell r="J2414">
            <v>37791</v>
          </cell>
          <cell r="K2414">
            <v>7.88</v>
          </cell>
          <cell r="M2414">
            <v>37749</v>
          </cell>
          <cell r="N2414">
            <v>3.25</v>
          </cell>
          <cell r="P2414">
            <v>37795</v>
          </cell>
          <cell r="Q2414">
            <v>3.7233299999999998</v>
          </cell>
        </row>
        <row r="2415">
          <cell r="D2415">
            <v>37792</v>
          </cell>
          <cell r="E2415">
            <v>6.19</v>
          </cell>
          <cell r="G2415">
            <v>37792</v>
          </cell>
          <cell r="H2415">
            <v>2.84</v>
          </cell>
          <cell r="J2415">
            <v>37790</v>
          </cell>
          <cell r="K2415">
            <v>7.73</v>
          </cell>
          <cell r="M2415">
            <v>37748</v>
          </cell>
          <cell r="N2415">
            <v>3.25</v>
          </cell>
          <cell r="P2415">
            <v>37792</v>
          </cell>
          <cell r="Q2415">
            <v>3.8250000000000002</v>
          </cell>
        </row>
        <row r="2416">
          <cell r="D2416">
            <v>37791</v>
          </cell>
          <cell r="E2416">
            <v>6.46</v>
          </cell>
          <cell r="G2416">
            <v>37791</v>
          </cell>
          <cell r="H2416">
            <v>2.89</v>
          </cell>
          <cell r="J2416">
            <v>37789</v>
          </cell>
          <cell r="K2416">
            <v>7.72</v>
          </cell>
          <cell r="M2416">
            <v>37747</v>
          </cell>
          <cell r="N2416">
            <v>3.25</v>
          </cell>
          <cell r="P2416">
            <v>37791</v>
          </cell>
          <cell r="Q2416">
            <v>3.835</v>
          </cell>
        </row>
        <row r="2417">
          <cell r="D2417">
            <v>37790</v>
          </cell>
          <cell r="E2417">
            <v>6.95</v>
          </cell>
          <cell r="G2417">
            <v>37790</v>
          </cell>
          <cell r="H2417">
            <v>2.62</v>
          </cell>
          <cell r="J2417">
            <v>37788</v>
          </cell>
          <cell r="K2417">
            <v>7.52</v>
          </cell>
          <cell r="M2417">
            <v>37746</v>
          </cell>
          <cell r="N2417">
            <v>3.4</v>
          </cell>
          <cell r="P2417">
            <v>37790</v>
          </cell>
          <cell r="Q2417">
            <v>3.85833</v>
          </cell>
        </row>
        <row r="2418">
          <cell r="D2418">
            <v>37789</v>
          </cell>
          <cell r="E2418">
            <v>6.77</v>
          </cell>
          <cell r="G2418">
            <v>37789</v>
          </cell>
          <cell r="H2418">
            <v>2.65</v>
          </cell>
          <cell r="J2418">
            <v>37785</v>
          </cell>
          <cell r="K2418">
            <v>7.49</v>
          </cell>
          <cell r="M2418">
            <v>37743</v>
          </cell>
          <cell r="N2418">
            <v>3</v>
          </cell>
          <cell r="P2418">
            <v>37789</v>
          </cell>
          <cell r="Q2418">
            <v>3.5633300000000001</v>
          </cell>
        </row>
        <row r="2419">
          <cell r="D2419">
            <v>37788</v>
          </cell>
          <cell r="E2419">
            <v>5.44</v>
          </cell>
          <cell r="G2419">
            <v>37788</v>
          </cell>
          <cell r="H2419">
            <v>2.4500000000000002</v>
          </cell>
          <cell r="J2419">
            <v>37784</v>
          </cell>
          <cell r="K2419">
            <v>7.64</v>
          </cell>
          <cell r="M2419">
            <v>37742</v>
          </cell>
          <cell r="N2419">
            <v>2.72</v>
          </cell>
          <cell r="P2419">
            <v>37788</v>
          </cell>
          <cell r="Q2419">
            <v>3.5950000000000002</v>
          </cell>
        </row>
        <row r="2420">
          <cell r="D2420">
            <v>37785</v>
          </cell>
          <cell r="E2420">
            <v>5.66</v>
          </cell>
          <cell r="G2420">
            <v>37785</v>
          </cell>
          <cell r="H2420">
            <v>2.4</v>
          </cell>
          <cell r="J2420">
            <v>37783</v>
          </cell>
          <cell r="K2420">
            <v>7.75</v>
          </cell>
          <cell r="M2420">
            <v>37741</v>
          </cell>
          <cell r="N2420">
            <v>2.75</v>
          </cell>
          <cell r="P2420">
            <v>37785</v>
          </cell>
          <cell r="Q2420">
            <v>3.56</v>
          </cell>
        </row>
        <row r="2421">
          <cell r="D2421">
            <v>37784</v>
          </cell>
          <cell r="E2421">
            <v>5.35</v>
          </cell>
          <cell r="G2421">
            <v>37784</v>
          </cell>
          <cell r="H2421">
            <v>2.42</v>
          </cell>
          <cell r="J2421">
            <v>37782</v>
          </cell>
          <cell r="K2421">
            <v>7.22</v>
          </cell>
          <cell r="M2421">
            <v>37739</v>
          </cell>
          <cell r="N2421">
            <v>2.2400000000000002</v>
          </cell>
          <cell r="P2421">
            <v>37784</v>
          </cell>
          <cell r="Q2421">
            <v>3.5916700000000001</v>
          </cell>
        </row>
        <row r="2422">
          <cell r="D2422">
            <v>37783</v>
          </cell>
          <cell r="E2422">
            <v>4.5199999999999996</v>
          </cell>
          <cell r="G2422">
            <v>37783</v>
          </cell>
          <cell r="H2422">
            <v>2.58</v>
          </cell>
          <cell r="J2422">
            <v>37781</v>
          </cell>
          <cell r="K2422">
            <v>7.0309999999999997</v>
          </cell>
          <cell r="M2422">
            <v>37736</v>
          </cell>
          <cell r="N2422">
            <v>2.2400000000000002</v>
          </cell>
          <cell r="P2422">
            <v>37783</v>
          </cell>
          <cell r="Q2422">
            <v>3.61</v>
          </cell>
        </row>
        <row r="2423">
          <cell r="D2423">
            <v>37782</v>
          </cell>
          <cell r="E2423">
            <v>4.3</v>
          </cell>
          <cell r="G2423">
            <v>37782</v>
          </cell>
          <cell r="H2423">
            <v>2.94</v>
          </cell>
          <cell r="J2423">
            <v>37778</v>
          </cell>
          <cell r="K2423">
            <v>7</v>
          </cell>
          <cell r="M2423">
            <v>37734</v>
          </cell>
          <cell r="N2423">
            <v>2.1</v>
          </cell>
          <cell r="P2423">
            <v>37782</v>
          </cell>
          <cell r="Q2423">
            <v>3.5183300000000002</v>
          </cell>
        </row>
        <row r="2424">
          <cell r="D2424">
            <v>37781</v>
          </cell>
          <cell r="E2424">
            <v>4.33</v>
          </cell>
          <cell r="G2424">
            <v>37781</v>
          </cell>
          <cell r="H2424">
            <v>3.17</v>
          </cell>
          <cell r="J2424">
            <v>37777</v>
          </cell>
          <cell r="K2424">
            <v>6.89</v>
          </cell>
          <cell r="M2424">
            <v>37733</v>
          </cell>
          <cell r="N2424">
            <v>2.15</v>
          </cell>
          <cell r="P2424">
            <v>37781</v>
          </cell>
          <cell r="Q2424">
            <v>3.48</v>
          </cell>
        </row>
        <row r="2425">
          <cell r="D2425">
            <v>37778</v>
          </cell>
          <cell r="E2425">
            <v>4.5199999999999996</v>
          </cell>
          <cell r="G2425">
            <v>37778</v>
          </cell>
          <cell r="H2425">
            <v>3.09</v>
          </cell>
          <cell r="J2425">
            <v>37776</v>
          </cell>
          <cell r="K2425">
            <v>6.95</v>
          </cell>
          <cell r="M2425">
            <v>37732</v>
          </cell>
          <cell r="N2425">
            <v>2.4</v>
          </cell>
          <cell r="P2425">
            <v>37778</v>
          </cell>
          <cell r="Q2425">
            <v>3.69</v>
          </cell>
        </row>
        <row r="2426">
          <cell r="D2426">
            <v>37777</v>
          </cell>
          <cell r="E2426">
            <v>4.6399999999999997</v>
          </cell>
          <cell r="G2426">
            <v>37777</v>
          </cell>
          <cell r="H2426">
            <v>3.67</v>
          </cell>
          <cell r="J2426">
            <v>37775</v>
          </cell>
          <cell r="K2426">
            <v>7</v>
          </cell>
          <cell r="M2426">
            <v>37728</v>
          </cell>
          <cell r="N2426">
            <v>2.4500000000000002</v>
          </cell>
          <cell r="P2426">
            <v>37777</v>
          </cell>
          <cell r="Q2426">
            <v>3.6366700000000001</v>
          </cell>
        </row>
        <row r="2427">
          <cell r="D2427">
            <v>37776</v>
          </cell>
          <cell r="E2427">
            <v>4.3</v>
          </cell>
          <cell r="G2427">
            <v>37776</v>
          </cell>
          <cell r="H2427">
            <v>2.81</v>
          </cell>
          <cell r="J2427">
            <v>37774</v>
          </cell>
          <cell r="K2427">
            <v>6.931</v>
          </cell>
          <cell r="M2427">
            <v>37727</v>
          </cell>
          <cell r="N2427">
            <v>2.2000000000000002</v>
          </cell>
          <cell r="P2427">
            <v>37776</v>
          </cell>
          <cell r="Q2427">
            <v>3.47</v>
          </cell>
        </row>
        <row r="2428">
          <cell r="D2428">
            <v>37775</v>
          </cell>
          <cell r="E2428">
            <v>4.5</v>
          </cell>
          <cell r="G2428">
            <v>37775</v>
          </cell>
          <cell r="H2428">
            <v>1.85</v>
          </cell>
          <cell r="J2428">
            <v>37771</v>
          </cell>
          <cell r="K2428">
            <v>6.95</v>
          </cell>
          <cell r="M2428">
            <v>37726</v>
          </cell>
          <cell r="N2428">
            <v>2.2000000000000002</v>
          </cell>
          <cell r="P2428">
            <v>37775</v>
          </cell>
          <cell r="Q2428">
            <v>3.1466699999999999</v>
          </cell>
        </row>
        <row r="2429">
          <cell r="D2429">
            <v>37774</v>
          </cell>
          <cell r="E2429">
            <v>4.6500000000000004</v>
          </cell>
          <cell r="G2429">
            <v>37774</v>
          </cell>
          <cell r="H2429">
            <v>1.45</v>
          </cell>
          <cell r="J2429">
            <v>37770</v>
          </cell>
          <cell r="K2429">
            <v>6.68</v>
          </cell>
          <cell r="M2429">
            <v>37725</v>
          </cell>
          <cell r="N2429">
            <v>2.2200000000000002</v>
          </cell>
          <cell r="P2429">
            <v>37774</v>
          </cell>
          <cell r="Q2429">
            <v>3.1850000000000001</v>
          </cell>
        </row>
        <row r="2430">
          <cell r="D2430">
            <v>37771</v>
          </cell>
          <cell r="E2430">
            <v>4.53</v>
          </cell>
          <cell r="G2430">
            <v>37771</v>
          </cell>
          <cell r="H2430">
            <v>1.34</v>
          </cell>
          <cell r="J2430">
            <v>37769</v>
          </cell>
          <cell r="K2430">
            <v>6.71</v>
          </cell>
          <cell r="M2430">
            <v>37722</v>
          </cell>
          <cell r="N2430">
            <v>1.81</v>
          </cell>
          <cell r="P2430">
            <v>37771</v>
          </cell>
          <cell r="Q2430">
            <v>3.17</v>
          </cell>
        </row>
        <row r="2431">
          <cell r="D2431">
            <v>37770</v>
          </cell>
          <cell r="E2431">
            <v>4.47</v>
          </cell>
          <cell r="G2431">
            <v>37770</v>
          </cell>
          <cell r="H2431">
            <v>1.25</v>
          </cell>
          <cell r="J2431">
            <v>37768</v>
          </cell>
          <cell r="K2431">
            <v>6.81</v>
          </cell>
          <cell r="M2431">
            <v>37721</v>
          </cell>
          <cell r="N2431">
            <v>1.7</v>
          </cell>
          <cell r="P2431">
            <v>37770</v>
          </cell>
          <cell r="Q2431">
            <v>3.1516700000000002</v>
          </cell>
        </row>
        <row r="2432">
          <cell r="D2432">
            <v>37769</v>
          </cell>
          <cell r="E2432">
            <v>4.1399999999999997</v>
          </cell>
          <cell r="G2432">
            <v>37769</v>
          </cell>
          <cell r="H2432">
            <v>1.17</v>
          </cell>
          <cell r="J2432">
            <v>37764</v>
          </cell>
          <cell r="K2432">
            <v>6.05</v>
          </cell>
          <cell r="M2432">
            <v>37720</v>
          </cell>
          <cell r="N2432">
            <v>1.7</v>
          </cell>
          <cell r="P2432">
            <v>37769</v>
          </cell>
          <cell r="Q2432">
            <v>3.125</v>
          </cell>
        </row>
        <row r="2433">
          <cell r="D2433">
            <v>37768</v>
          </cell>
          <cell r="E2433">
            <v>4</v>
          </cell>
          <cell r="G2433">
            <v>37768</v>
          </cell>
          <cell r="H2433">
            <v>1.1299999999999999</v>
          </cell>
          <cell r="J2433">
            <v>37763</v>
          </cell>
          <cell r="K2433">
            <v>5.91</v>
          </cell>
          <cell r="M2433">
            <v>37719</v>
          </cell>
          <cell r="N2433">
            <v>1.75</v>
          </cell>
          <cell r="P2433">
            <v>37768</v>
          </cell>
          <cell r="Q2433">
            <v>3.1233300000000002</v>
          </cell>
        </row>
        <row r="2434">
          <cell r="D2434">
            <v>37764</v>
          </cell>
          <cell r="E2434">
            <v>3.94</v>
          </cell>
          <cell r="G2434">
            <v>37764</v>
          </cell>
          <cell r="H2434">
            <v>1.04</v>
          </cell>
          <cell r="J2434">
            <v>37762</v>
          </cell>
          <cell r="K2434">
            <v>6</v>
          </cell>
          <cell r="M2434">
            <v>37718</v>
          </cell>
          <cell r="N2434">
            <v>1.9</v>
          </cell>
          <cell r="P2434">
            <v>37764</v>
          </cell>
          <cell r="Q2434">
            <v>3.3366699999999998</v>
          </cell>
        </row>
        <row r="2435">
          <cell r="D2435">
            <v>37763</v>
          </cell>
          <cell r="E2435">
            <v>3.9</v>
          </cell>
          <cell r="G2435">
            <v>37763</v>
          </cell>
          <cell r="H2435">
            <v>0.97</v>
          </cell>
          <cell r="J2435">
            <v>37761</v>
          </cell>
          <cell r="K2435">
            <v>5.82</v>
          </cell>
          <cell r="M2435">
            <v>37715</v>
          </cell>
          <cell r="N2435">
            <v>2.2400000000000002</v>
          </cell>
          <cell r="P2435">
            <v>37763</v>
          </cell>
          <cell r="Q2435">
            <v>3.0750000000000002</v>
          </cell>
        </row>
        <row r="2436">
          <cell r="D2436">
            <v>37762</v>
          </cell>
          <cell r="E2436">
            <v>4.05</v>
          </cell>
          <cell r="G2436">
            <v>37762</v>
          </cell>
          <cell r="H2436">
            <v>0.96</v>
          </cell>
          <cell r="J2436">
            <v>37760</v>
          </cell>
          <cell r="K2436">
            <v>5.89</v>
          </cell>
          <cell r="M2436">
            <v>37714</v>
          </cell>
          <cell r="N2436">
            <v>1.85</v>
          </cell>
          <cell r="P2436">
            <v>37762</v>
          </cell>
          <cell r="Q2436">
            <v>2.9733299999999998</v>
          </cell>
        </row>
        <row r="2437">
          <cell r="D2437">
            <v>37761</v>
          </cell>
          <cell r="E2437">
            <v>4.0999999999999996</v>
          </cell>
          <cell r="G2437">
            <v>37761</v>
          </cell>
          <cell r="H2437">
            <v>0.99</v>
          </cell>
          <cell r="J2437">
            <v>37757</v>
          </cell>
          <cell r="K2437">
            <v>5.36</v>
          </cell>
          <cell r="M2437">
            <v>37713</v>
          </cell>
          <cell r="N2437">
            <v>1.7</v>
          </cell>
          <cell r="P2437">
            <v>37761</v>
          </cell>
          <cell r="Q2437">
            <v>2.9183300000000001</v>
          </cell>
        </row>
        <row r="2438">
          <cell r="D2438">
            <v>37760</v>
          </cell>
          <cell r="E2438">
            <v>4.03</v>
          </cell>
          <cell r="G2438">
            <v>37760</v>
          </cell>
          <cell r="H2438">
            <v>0.98</v>
          </cell>
          <cell r="J2438">
            <v>37756</v>
          </cell>
          <cell r="K2438">
            <v>5.31</v>
          </cell>
          <cell r="M2438">
            <v>37712</v>
          </cell>
          <cell r="N2438">
            <v>1.73</v>
          </cell>
          <cell r="P2438">
            <v>37760</v>
          </cell>
          <cell r="Q2438">
            <v>2.9016700000000002</v>
          </cell>
        </row>
        <row r="2439">
          <cell r="D2439">
            <v>37757</v>
          </cell>
          <cell r="E2439">
            <v>4.1100000000000003</v>
          </cell>
          <cell r="G2439">
            <v>37757</v>
          </cell>
          <cell r="H2439">
            <v>0.97</v>
          </cell>
          <cell r="J2439">
            <v>37755</v>
          </cell>
          <cell r="K2439">
            <v>5.38</v>
          </cell>
          <cell r="M2439">
            <v>37711</v>
          </cell>
          <cell r="N2439">
            <v>1.62</v>
          </cell>
          <cell r="P2439">
            <v>37757</v>
          </cell>
          <cell r="Q2439">
            <v>3.0550000000000002</v>
          </cell>
        </row>
        <row r="2440">
          <cell r="D2440">
            <v>37756</v>
          </cell>
          <cell r="E2440">
            <v>3.98</v>
          </cell>
          <cell r="G2440">
            <v>37756</v>
          </cell>
          <cell r="H2440">
            <v>1.04</v>
          </cell>
          <cell r="J2440">
            <v>37754</v>
          </cell>
          <cell r="K2440">
            <v>5.36</v>
          </cell>
          <cell r="M2440">
            <v>37708</v>
          </cell>
          <cell r="N2440">
            <v>1.56</v>
          </cell>
          <cell r="P2440">
            <v>37756</v>
          </cell>
          <cell r="Q2440">
            <v>3.0183300000000002</v>
          </cell>
        </row>
        <row r="2441">
          <cell r="D2441">
            <v>37755</v>
          </cell>
          <cell r="E2441">
            <v>4.17</v>
          </cell>
          <cell r="G2441">
            <v>37755</v>
          </cell>
          <cell r="H2441">
            <v>0.91</v>
          </cell>
          <cell r="J2441">
            <v>37753</v>
          </cell>
          <cell r="K2441">
            <v>5.2</v>
          </cell>
          <cell r="M2441">
            <v>37707</v>
          </cell>
          <cell r="N2441">
            <v>1.55</v>
          </cell>
          <cell r="P2441">
            <v>37755</v>
          </cell>
          <cell r="Q2441">
            <v>3.0016699999999998</v>
          </cell>
        </row>
        <row r="2442">
          <cell r="D2442">
            <v>37754</v>
          </cell>
          <cell r="E2442">
            <v>3.73</v>
          </cell>
          <cell r="G2442">
            <v>37754</v>
          </cell>
          <cell r="H2442">
            <v>0.92</v>
          </cell>
          <cell r="J2442">
            <v>37750</v>
          </cell>
          <cell r="K2442">
            <v>5.15</v>
          </cell>
          <cell r="M2442">
            <v>37706</v>
          </cell>
          <cell r="N2442">
            <v>1.67</v>
          </cell>
          <cell r="P2442">
            <v>37754</v>
          </cell>
          <cell r="Q2442">
            <v>2.9483299999999999</v>
          </cell>
        </row>
        <row r="2443">
          <cell r="D2443">
            <v>37753</v>
          </cell>
          <cell r="E2443">
            <v>3.85</v>
          </cell>
          <cell r="G2443">
            <v>37753</v>
          </cell>
          <cell r="H2443">
            <v>0.94</v>
          </cell>
          <cell r="J2443">
            <v>37749</v>
          </cell>
          <cell r="K2443">
            <v>5.1100000000000003</v>
          </cell>
          <cell r="M2443">
            <v>37705</v>
          </cell>
          <cell r="N2443">
            <v>1.61</v>
          </cell>
          <cell r="P2443">
            <v>37753</v>
          </cell>
          <cell r="Q2443">
            <v>2.915</v>
          </cell>
        </row>
        <row r="2444">
          <cell r="D2444">
            <v>37750</v>
          </cell>
          <cell r="E2444">
            <v>3.94</v>
          </cell>
          <cell r="G2444">
            <v>37750</v>
          </cell>
          <cell r="H2444">
            <v>0.96</v>
          </cell>
          <cell r="J2444">
            <v>37748</v>
          </cell>
          <cell r="K2444">
            <v>5.09</v>
          </cell>
          <cell r="M2444">
            <v>37704</v>
          </cell>
          <cell r="N2444">
            <v>1.81</v>
          </cell>
          <cell r="P2444">
            <v>37750</v>
          </cell>
          <cell r="Q2444">
            <v>2.87</v>
          </cell>
        </row>
        <row r="2445">
          <cell r="D2445">
            <v>37749</v>
          </cell>
          <cell r="E2445">
            <v>3.9</v>
          </cell>
          <cell r="G2445">
            <v>37749</v>
          </cell>
          <cell r="H2445">
            <v>0.99</v>
          </cell>
          <cell r="J2445">
            <v>37747</v>
          </cell>
          <cell r="K2445">
            <v>5.41</v>
          </cell>
          <cell r="M2445">
            <v>37701</v>
          </cell>
          <cell r="N2445">
            <v>1.9</v>
          </cell>
          <cell r="P2445">
            <v>37749</v>
          </cell>
          <cell r="Q2445">
            <v>2.81833</v>
          </cell>
        </row>
        <row r="2446">
          <cell r="D2446">
            <v>37748</v>
          </cell>
          <cell r="E2446">
            <v>3.95</v>
          </cell>
          <cell r="G2446">
            <v>37748</v>
          </cell>
          <cell r="H2446">
            <v>1.01</v>
          </cell>
          <cell r="J2446">
            <v>37746</v>
          </cell>
          <cell r="K2446">
            <v>5.4</v>
          </cell>
          <cell r="M2446">
            <v>37700</v>
          </cell>
          <cell r="N2446">
            <v>1.91</v>
          </cell>
          <cell r="P2446">
            <v>37748</v>
          </cell>
          <cell r="Q2446">
            <v>2.8216700000000001</v>
          </cell>
        </row>
        <row r="2447">
          <cell r="D2447">
            <v>37747</v>
          </cell>
          <cell r="E2447">
            <v>4.0599999999999996</v>
          </cell>
          <cell r="G2447">
            <v>37747</v>
          </cell>
          <cell r="H2447">
            <v>1.06</v>
          </cell>
          <cell r="J2447">
            <v>37743</v>
          </cell>
          <cell r="K2447">
            <v>5.25</v>
          </cell>
          <cell r="M2447">
            <v>37699</v>
          </cell>
          <cell r="N2447">
            <v>1.75</v>
          </cell>
          <cell r="P2447">
            <v>37747</v>
          </cell>
          <cell r="Q2447">
            <v>2.82</v>
          </cell>
        </row>
        <row r="2448">
          <cell r="D2448">
            <v>37746</v>
          </cell>
          <cell r="E2448">
            <v>4.04</v>
          </cell>
          <cell r="G2448">
            <v>37746</v>
          </cell>
          <cell r="H2448">
            <v>1.1299999999999999</v>
          </cell>
          <cell r="J2448">
            <v>37742</v>
          </cell>
          <cell r="K2448">
            <v>5.27</v>
          </cell>
          <cell r="M2448">
            <v>37698</v>
          </cell>
          <cell r="N2448">
            <v>1.85</v>
          </cell>
          <cell r="P2448">
            <v>37746</v>
          </cell>
          <cell r="Q2448">
            <v>2.8116699999999999</v>
          </cell>
        </row>
        <row r="2449">
          <cell r="D2449">
            <v>37743</v>
          </cell>
          <cell r="E2449">
            <v>4</v>
          </cell>
          <cell r="G2449">
            <v>37743</v>
          </cell>
          <cell r="H2449">
            <v>1.1299999999999999</v>
          </cell>
          <cell r="J2449">
            <v>37741</v>
          </cell>
          <cell r="K2449">
            <v>5.24</v>
          </cell>
          <cell r="M2449">
            <v>37697</v>
          </cell>
          <cell r="N2449">
            <v>1.88</v>
          </cell>
          <cell r="P2449">
            <v>37743</v>
          </cell>
          <cell r="Q2449">
            <v>2.7633299999999998</v>
          </cell>
        </row>
        <row r="2450">
          <cell r="D2450">
            <v>37742</v>
          </cell>
          <cell r="E2450">
            <v>4.04</v>
          </cell>
          <cell r="G2450">
            <v>37742</v>
          </cell>
          <cell r="H2450">
            <v>1.1299999999999999</v>
          </cell>
          <cell r="J2450">
            <v>37740</v>
          </cell>
          <cell r="K2450">
            <v>5.18</v>
          </cell>
          <cell r="M2450">
            <v>37694</v>
          </cell>
          <cell r="N2450">
            <v>1.66</v>
          </cell>
          <cell r="P2450">
            <v>37742</v>
          </cell>
          <cell r="Q2450">
            <v>2.6549999999999998</v>
          </cell>
        </row>
        <row r="2451">
          <cell r="D2451">
            <v>37741</v>
          </cell>
          <cell r="E2451">
            <v>4.01</v>
          </cell>
          <cell r="G2451">
            <v>37741</v>
          </cell>
          <cell r="H2451">
            <v>0.92</v>
          </cell>
          <cell r="J2451">
            <v>37739</v>
          </cell>
          <cell r="K2451">
            <v>5.18</v>
          </cell>
          <cell r="M2451">
            <v>37693</v>
          </cell>
          <cell r="N2451">
            <v>1.7</v>
          </cell>
          <cell r="P2451">
            <v>37741</v>
          </cell>
          <cell r="Q2451">
            <v>2.6016699999999999</v>
          </cell>
        </row>
        <row r="2452">
          <cell r="D2452">
            <v>37740</v>
          </cell>
          <cell r="E2452">
            <v>4.0869999999999997</v>
          </cell>
          <cell r="G2452">
            <v>37740</v>
          </cell>
          <cell r="H2452">
            <v>0.91</v>
          </cell>
          <cell r="J2452">
            <v>37736</v>
          </cell>
          <cell r="K2452">
            <v>5</v>
          </cell>
          <cell r="M2452">
            <v>37691</v>
          </cell>
          <cell r="N2452">
            <v>1.86</v>
          </cell>
          <cell r="P2452">
            <v>37740</v>
          </cell>
          <cell r="Q2452">
            <v>2.51667</v>
          </cell>
        </row>
        <row r="2453">
          <cell r="D2453">
            <v>37739</v>
          </cell>
          <cell r="E2453">
            <v>4.0199999999999996</v>
          </cell>
          <cell r="G2453">
            <v>37739</v>
          </cell>
          <cell r="H2453">
            <v>0.93</v>
          </cell>
          <cell r="J2453">
            <v>37735</v>
          </cell>
          <cell r="K2453">
            <v>5</v>
          </cell>
          <cell r="M2453">
            <v>37690</v>
          </cell>
          <cell r="N2453">
            <v>1.97</v>
          </cell>
          <cell r="P2453">
            <v>37739</v>
          </cell>
          <cell r="Q2453">
            <v>2.5616699999999999</v>
          </cell>
        </row>
        <row r="2454">
          <cell r="D2454">
            <v>37736</v>
          </cell>
          <cell r="E2454">
            <v>4.0199999999999996</v>
          </cell>
          <cell r="G2454">
            <v>37736</v>
          </cell>
          <cell r="H2454">
            <v>0.93</v>
          </cell>
          <cell r="J2454">
            <v>37734</v>
          </cell>
          <cell r="K2454">
            <v>5.01</v>
          </cell>
          <cell r="M2454">
            <v>37687</v>
          </cell>
          <cell r="N2454">
            <v>2.1</v>
          </cell>
          <cell r="P2454">
            <v>37736</v>
          </cell>
          <cell r="Q2454">
            <v>2.4616699999999998</v>
          </cell>
        </row>
        <row r="2455">
          <cell r="D2455">
            <v>37735</v>
          </cell>
          <cell r="E2455">
            <v>4.2699999999999996</v>
          </cell>
          <cell r="G2455">
            <v>37735</v>
          </cell>
          <cell r="H2455">
            <v>0.9</v>
          </cell>
          <cell r="J2455">
            <v>37733</v>
          </cell>
          <cell r="K2455">
            <v>5.0199999999999996</v>
          </cell>
          <cell r="M2455">
            <v>37686</v>
          </cell>
          <cell r="N2455">
            <v>1.5</v>
          </cell>
          <cell r="P2455">
            <v>37735</v>
          </cell>
          <cell r="Q2455">
            <v>2.52</v>
          </cell>
        </row>
        <row r="2456">
          <cell r="D2456">
            <v>37734</v>
          </cell>
          <cell r="E2456">
            <v>4.4000000000000004</v>
          </cell>
          <cell r="G2456">
            <v>37734</v>
          </cell>
          <cell r="H2456">
            <v>0.89</v>
          </cell>
          <cell r="J2456">
            <v>37732</v>
          </cell>
          <cell r="K2456">
            <v>4.6500000000000004</v>
          </cell>
          <cell r="M2456">
            <v>37685</v>
          </cell>
          <cell r="N2456">
            <v>1.44</v>
          </cell>
          <cell r="P2456">
            <v>37734</v>
          </cell>
          <cell r="Q2456">
            <v>2.66167</v>
          </cell>
        </row>
        <row r="2457">
          <cell r="D2457">
            <v>37733</v>
          </cell>
          <cell r="E2457">
            <v>4.47</v>
          </cell>
          <cell r="G2457">
            <v>37733</v>
          </cell>
          <cell r="H2457">
            <v>0.95199999999999996</v>
          </cell>
          <cell r="J2457">
            <v>37728</v>
          </cell>
          <cell r="K2457">
            <v>4.75</v>
          </cell>
          <cell r="M2457">
            <v>37684</v>
          </cell>
          <cell r="N2457">
            <v>1.39</v>
          </cell>
          <cell r="P2457">
            <v>37733</v>
          </cell>
          <cell r="Q2457">
            <v>2.6116700000000002</v>
          </cell>
        </row>
        <row r="2458">
          <cell r="D2458">
            <v>37732</v>
          </cell>
          <cell r="E2458">
            <v>4.49</v>
          </cell>
          <cell r="G2458">
            <v>37732</v>
          </cell>
          <cell r="H2458">
            <v>0.89</v>
          </cell>
          <cell r="J2458">
            <v>37726</v>
          </cell>
          <cell r="K2458">
            <v>4.82</v>
          </cell>
          <cell r="M2458">
            <v>37683</v>
          </cell>
          <cell r="N2458">
            <v>1.48</v>
          </cell>
          <cell r="P2458">
            <v>37732</v>
          </cell>
          <cell r="Q2458">
            <v>2.4866700000000002</v>
          </cell>
        </row>
        <row r="2459">
          <cell r="D2459">
            <v>37728</v>
          </cell>
          <cell r="E2459">
            <v>3.97</v>
          </cell>
          <cell r="G2459">
            <v>37728</v>
          </cell>
          <cell r="H2459">
            <v>0.86</v>
          </cell>
          <cell r="J2459">
            <v>37725</v>
          </cell>
          <cell r="K2459">
            <v>4.8099999999999996</v>
          </cell>
          <cell r="M2459">
            <v>37680</v>
          </cell>
          <cell r="N2459">
            <v>1.6</v>
          </cell>
          <cell r="P2459">
            <v>37728</v>
          </cell>
          <cell r="Q2459">
            <v>2.4566699999999999</v>
          </cell>
        </row>
        <row r="2460">
          <cell r="D2460">
            <v>37727</v>
          </cell>
          <cell r="E2460">
            <v>3.72</v>
          </cell>
          <cell r="G2460">
            <v>37727</v>
          </cell>
          <cell r="H2460">
            <v>0.9</v>
          </cell>
          <cell r="J2460">
            <v>37722</v>
          </cell>
          <cell r="K2460">
            <v>4.8230000000000004</v>
          </cell>
          <cell r="M2460">
            <v>37679</v>
          </cell>
          <cell r="N2460">
            <v>1.75</v>
          </cell>
          <cell r="P2460">
            <v>37727</v>
          </cell>
          <cell r="Q2460">
            <v>2.4166699999999999</v>
          </cell>
        </row>
        <row r="2461">
          <cell r="D2461">
            <v>37726</v>
          </cell>
          <cell r="E2461">
            <v>3.6</v>
          </cell>
          <cell r="G2461">
            <v>37726</v>
          </cell>
          <cell r="H2461">
            <v>0.91</v>
          </cell>
          <cell r="J2461">
            <v>37721</v>
          </cell>
          <cell r="K2461">
            <v>4.8099999999999996</v>
          </cell>
          <cell r="M2461">
            <v>37678</v>
          </cell>
          <cell r="N2461">
            <v>1.45</v>
          </cell>
          <cell r="P2461">
            <v>37726</v>
          </cell>
          <cell r="Q2461">
            <v>2.36</v>
          </cell>
        </row>
        <row r="2462">
          <cell r="D2462">
            <v>37725</v>
          </cell>
          <cell r="E2462">
            <v>3.7</v>
          </cell>
          <cell r="G2462">
            <v>37725</v>
          </cell>
          <cell r="H2462">
            <v>0.9</v>
          </cell>
          <cell r="J2462">
            <v>37720</v>
          </cell>
          <cell r="K2462">
            <v>4.8</v>
          </cell>
          <cell r="M2462">
            <v>37677</v>
          </cell>
          <cell r="N2462">
            <v>1.59</v>
          </cell>
          <cell r="P2462">
            <v>37725</v>
          </cell>
          <cell r="Q2462">
            <v>2.3216700000000001</v>
          </cell>
        </row>
        <row r="2463">
          <cell r="D2463">
            <v>37722</v>
          </cell>
          <cell r="E2463">
            <v>3.68</v>
          </cell>
          <cell r="G2463">
            <v>37722</v>
          </cell>
          <cell r="H2463">
            <v>0.91</v>
          </cell>
          <cell r="J2463">
            <v>37719</v>
          </cell>
          <cell r="K2463">
            <v>4.75</v>
          </cell>
          <cell r="M2463">
            <v>37676</v>
          </cell>
          <cell r="N2463">
            <v>1.69</v>
          </cell>
          <cell r="P2463">
            <v>37722</v>
          </cell>
          <cell r="Q2463">
            <v>2.3250000000000002</v>
          </cell>
        </row>
        <row r="2464">
          <cell r="D2464">
            <v>37721</v>
          </cell>
          <cell r="E2464">
            <v>3.75</v>
          </cell>
          <cell r="G2464">
            <v>37721</v>
          </cell>
          <cell r="H2464">
            <v>0.95</v>
          </cell>
          <cell r="J2464">
            <v>37718</v>
          </cell>
          <cell r="K2464">
            <v>4.76</v>
          </cell>
          <cell r="M2464">
            <v>37673</v>
          </cell>
          <cell r="N2464">
            <v>1.9</v>
          </cell>
          <cell r="P2464">
            <v>37721</v>
          </cell>
          <cell r="Q2464">
            <v>2.36</v>
          </cell>
        </row>
        <row r="2465">
          <cell r="D2465">
            <v>37720</v>
          </cell>
          <cell r="E2465">
            <v>3.82</v>
          </cell>
          <cell r="G2465">
            <v>37720</v>
          </cell>
          <cell r="H2465">
            <v>0.96</v>
          </cell>
          <cell r="J2465">
            <v>37715</v>
          </cell>
          <cell r="K2465">
            <v>4.6500000000000004</v>
          </cell>
          <cell r="M2465">
            <v>37672</v>
          </cell>
          <cell r="N2465">
            <v>2.0299999999999998</v>
          </cell>
          <cell r="P2465">
            <v>37720</v>
          </cell>
          <cell r="Q2465">
            <v>2.3666700000000001</v>
          </cell>
        </row>
        <row r="2466">
          <cell r="D2466">
            <v>37719</v>
          </cell>
          <cell r="E2466">
            <v>3.83</v>
          </cell>
          <cell r="G2466">
            <v>37719</v>
          </cell>
          <cell r="H2466">
            <v>0.99</v>
          </cell>
          <cell r="J2466">
            <v>37714</v>
          </cell>
          <cell r="K2466">
            <v>4.5999999999999996</v>
          </cell>
          <cell r="M2466">
            <v>37671</v>
          </cell>
          <cell r="N2466">
            <v>2.09</v>
          </cell>
          <cell r="P2466">
            <v>37719</v>
          </cell>
          <cell r="Q2466">
            <v>2.4416699999999998</v>
          </cell>
        </row>
        <row r="2467">
          <cell r="D2467">
            <v>37718</v>
          </cell>
          <cell r="E2467">
            <v>3.78</v>
          </cell>
          <cell r="G2467">
            <v>37718</v>
          </cell>
          <cell r="H2467">
            <v>0.95</v>
          </cell>
          <cell r="J2467">
            <v>37713</v>
          </cell>
          <cell r="K2467">
            <v>4.5999999999999996</v>
          </cell>
          <cell r="M2467">
            <v>37670</v>
          </cell>
          <cell r="N2467">
            <v>2.1309999999999998</v>
          </cell>
          <cell r="P2467">
            <v>37718</v>
          </cell>
          <cell r="Q2467">
            <v>2.47167</v>
          </cell>
        </row>
        <row r="2468">
          <cell r="D2468">
            <v>37715</v>
          </cell>
          <cell r="E2468">
            <v>3.73</v>
          </cell>
          <cell r="G2468">
            <v>37715</v>
          </cell>
          <cell r="H2468">
            <v>1.02</v>
          </cell>
          <cell r="J2468">
            <v>37712</v>
          </cell>
          <cell r="K2468">
            <v>4.71</v>
          </cell>
          <cell r="M2468">
            <v>37666</v>
          </cell>
          <cell r="N2468">
            <v>1.94</v>
          </cell>
          <cell r="P2468">
            <v>37715</v>
          </cell>
          <cell r="Q2468">
            <v>2.48</v>
          </cell>
        </row>
        <row r="2469">
          <cell r="D2469">
            <v>37714</v>
          </cell>
          <cell r="E2469">
            <v>3.81</v>
          </cell>
          <cell r="G2469">
            <v>37714</v>
          </cell>
          <cell r="H2469">
            <v>1</v>
          </cell>
          <cell r="J2469">
            <v>37711</v>
          </cell>
          <cell r="K2469">
            <v>4.75</v>
          </cell>
          <cell r="M2469">
            <v>37665</v>
          </cell>
          <cell r="N2469">
            <v>1.99</v>
          </cell>
          <cell r="P2469">
            <v>37714</v>
          </cell>
          <cell r="Q2469">
            <v>2.41</v>
          </cell>
        </row>
        <row r="2470">
          <cell r="D2470">
            <v>37713</v>
          </cell>
          <cell r="E2470">
            <v>3.88</v>
          </cell>
          <cell r="G2470">
            <v>37713</v>
          </cell>
          <cell r="H2470">
            <v>0.97</v>
          </cell>
          <cell r="J2470">
            <v>37707</v>
          </cell>
          <cell r="K2470">
            <v>4.8019999999999996</v>
          </cell>
          <cell r="M2470">
            <v>37664</v>
          </cell>
          <cell r="N2470">
            <v>2.8</v>
          </cell>
          <cell r="P2470">
            <v>37713</v>
          </cell>
          <cell r="Q2470">
            <v>2.3666700000000001</v>
          </cell>
        </row>
        <row r="2471">
          <cell r="D2471">
            <v>37712</v>
          </cell>
          <cell r="E2471">
            <v>3.69</v>
          </cell>
          <cell r="G2471">
            <v>37712</v>
          </cell>
          <cell r="H2471">
            <v>0.95</v>
          </cell>
          <cell r="J2471">
            <v>37705</v>
          </cell>
          <cell r="K2471">
            <v>4.8099999999999996</v>
          </cell>
          <cell r="M2471">
            <v>37663</v>
          </cell>
          <cell r="N2471">
            <v>2.79</v>
          </cell>
          <cell r="P2471">
            <v>37712</v>
          </cell>
          <cell r="Q2471">
            <v>2.1749999999999998</v>
          </cell>
        </row>
        <row r="2472">
          <cell r="D2472">
            <v>37711</v>
          </cell>
          <cell r="E2472">
            <v>3.52</v>
          </cell>
          <cell r="G2472">
            <v>37711</v>
          </cell>
          <cell r="H2472">
            <v>1.03</v>
          </cell>
          <cell r="J2472">
            <v>37704</v>
          </cell>
          <cell r="K2472">
            <v>4.79</v>
          </cell>
          <cell r="M2472">
            <v>37662</v>
          </cell>
          <cell r="N2472">
            <v>2.75</v>
          </cell>
          <cell r="P2472">
            <v>37711</v>
          </cell>
          <cell r="Q2472">
            <v>2.1766700000000001</v>
          </cell>
        </row>
        <row r="2473">
          <cell r="D2473">
            <v>37708</v>
          </cell>
          <cell r="E2473">
            <v>3.5</v>
          </cell>
          <cell r="G2473">
            <v>37708</v>
          </cell>
          <cell r="H2473">
            <v>1.07</v>
          </cell>
          <cell r="J2473">
            <v>37701</v>
          </cell>
          <cell r="K2473">
            <v>4.7</v>
          </cell>
          <cell r="M2473">
            <v>37659</v>
          </cell>
          <cell r="N2473">
            <v>2.78</v>
          </cell>
          <cell r="P2473">
            <v>37708</v>
          </cell>
          <cell r="Q2473">
            <v>2.2733300000000001</v>
          </cell>
        </row>
        <row r="2474">
          <cell r="D2474">
            <v>37707</v>
          </cell>
          <cell r="E2474">
            <v>3.56</v>
          </cell>
          <cell r="G2474">
            <v>37707</v>
          </cell>
          <cell r="H2474">
            <v>0.99</v>
          </cell>
          <cell r="J2474">
            <v>37700</v>
          </cell>
          <cell r="K2474">
            <v>4.75</v>
          </cell>
          <cell r="M2474">
            <v>37658</v>
          </cell>
          <cell r="N2474">
            <v>2.8</v>
          </cell>
          <cell r="P2474">
            <v>37707</v>
          </cell>
          <cell r="Q2474">
            <v>2.2066699999999999</v>
          </cell>
        </row>
        <row r="2475">
          <cell r="D2475">
            <v>37706</v>
          </cell>
          <cell r="E2475">
            <v>3.55</v>
          </cell>
          <cell r="G2475">
            <v>37706</v>
          </cell>
          <cell r="H2475">
            <v>1.17</v>
          </cell>
          <cell r="J2475">
            <v>37699</v>
          </cell>
          <cell r="K2475">
            <v>4.7300000000000004</v>
          </cell>
          <cell r="M2475">
            <v>37657</v>
          </cell>
          <cell r="N2475">
            <v>2.8</v>
          </cell>
          <cell r="P2475">
            <v>37706</v>
          </cell>
          <cell r="Q2475">
            <v>2.2200000000000002</v>
          </cell>
        </row>
        <row r="2476">
          <cell r="D2476">
            <v>37705</v>
          </cell>
          <cell r="E2476">
            <v>3.569</v>
          </cell>
          <cell r="G2476">
            <v>37705</v>
          </cell>
          <cell r="H2476">
            <v>1.22</v>
          </cell>
          <cell r="J2476">
            <v>37698</v>
          </cell>
          <cell r="K2476">
            <v>4.78</v>
          </cell>
          <cell r="M2476">
            <v>37656</v>
          </cell>
          <cell r="N2476">
            <v>2.83</v>
          </cell>
          <cell r="P2476">
            <v>37705</v>
          </cell>
          <cell r="Q2476">
            <v>2.25</v>
          </cell>
        </row>
        <row r="2477">
          <cell r="D2477">
            <v>37704</v>
          </cell>
          <cell r="E2477">
            <v>3.5</v>
          </cell>
          <cell r="G2477">
            <v>37704</v>
          </cell>
          <cell r="H2477">
            <v>1.2</v>
          </cell>
          <cell r="J2477">
            <v>37697</v>
          </cell>
          <cell r="K2477">
            <v>4.79</v>
          </cell>
          <cell r="M2477">
            <v>37655</v>
          </cell>
          <cell r="N2477">
            <v>2.79</v>
          </cell>
          <cell r="P2477">
            <v>37704</v>
          </cell>
          <cell r="Q2477">
            <v>2.2349999999999999</v>
          </cell>
        </row>
        <row r="2478">
          <cell r="D2478">
            <v>37701</v>
          </cell>
          <cell r="E2478">
            <v>3.64</v>
          </cell>
          <cell r="G2478">
            <v>37701</v>
          </cell>
          <cell r="H2478">
            <v>1.2</v>
          </cell>
          <cell r="J2478">
            <v>37694</v>
          </cell>
          <cell r="K2478">
            <v>4.79</v>
          </cell>
          <cell r="M2478">
            <v>37652</v>
          </cell>
          <cell r="N2478">
            <v>2.79</v>
          </cell>
          <cell r="P2478">
            <v>37701</v>
          </cell>
          <cell r="Q2478">
            <v>2.34667</v>
          </cell>
        </row>
        <row r="2479">
          <cell r="D2479">
            <v>37700</v>
          </cell>
          <cell r="E2479">
            <v>3.65</v>
          </cell>
          <cell r="G2479">
            <v>37700</v>
          </cell>
          <cell r="H2479">
            <v>1.1000000000000001</v>
          </cell>
          <cell r="J2479">
            <v>37693</v>
          </cell>
          <cell r="K2479">
            <v>4.8899999999999997</v>
          </cell>
          <cell r="M2479">
            <v>37651</v>
          </cell>
          <cell r="N2479">
            <v>2.89</v>
          </cell>
          <cell r="P2479">
            <v>37700</v>
          </cell>
          <cell r="Q2479">
            <v>2.335</v>
          </cell>
        </row>
        <row r="2480">
          <cell r="D2480">
            <v>37699</v>
          </cell>
          <cell r="E2480">
            <v>3.6</v>
          </cell>
          <cell r="G2480">
            <v>37699</v>
          </cell>
          <cell r="H2480">
            <v>1</v>
          </cell>
          <cell r="J2480">
            <v>37692</v>
          </cell>
          <cell r="K2480">
            <v>4.79</v>
          </cell>
          <cell r="M2480">
            <v>37649</v>
          </cell>
          <cell r="N2480">
            <v>2.97</v>
          </cell>
          <cell r="P2480">
            <v>37699</v>
          </cell>
          <cell r="Q2480">
            <v>2.3616700000000002</v>
          </cell>
        </row>
        <row r="2481">
          <cell r="D2481">
            <v>37698</v>
          </cell>
          <cell r="E2481">
            <v>3.6</v>
          </cell>
          <cell r="G2481">
            <v>37698</v>
          </cell>
          <cell r="H2481">
            <v>0.89</v>
          </cell>
          <cell r="J2481">
            <v>37691</v>
          </cell>
          <cell r="K2481">
            <v>4.93</v>
          </cell>
          <cell r="M2481">
            <v>37645</v>
          </cell>
          <cell r="N2481">
            <v>2.95</v>
          </cell>
          <cell r="P2481">
            <v>37698</v>
          </cell>
          <cell r="Q2481">
            <v>2.41167</v>
          </cell>
        </row>
        <row r="2482">
          <cell r="D2482">
            <v>37697</v>
          </cell>
          <cell r="E2482">
            <v>3.28</v>
          </cell>
          <cell r="G2482">
            <v>37697</v>
          </cell>
          <cell r="H2482">
            <v>0.9</v>
          </cell>
          <cell r="J2482">
            <v>37690</v>
          </cell>
          <cell r="K2482">
            <v>4.95</v>
          </cell>
          <cell r="M2482">
            <v>37644</v>
          </cell>
          <cell r="N2482">
            <v>2.98</v>
          </cell>
          <cell r="P2482">
            <v>37697</v>
          </cell>
          <cell r="Q2482">
            <v>2.27833</v>
          </cell>
        </row>
        <row r="2483">
          <cell r="D2483">
            <v>37694</v>
          </cell>
          <cell r="E2483">
            <v>3.2</v>
          </cell>
          <cell r="G2483">
            <v>37694</v>
          </cell>
          <cell r="H2483">
            <v>0.91</v>
          </cell>
          <cell r="J2483">
            <v>37687</v>
          </cell>
          <cell r="K2483">
            <v>4.8600000000000003</v>
          </cell>
          <cell r="M2483">
            <v>37642</v>
          </cell>
          <cell r="N2483">
            <v>2.931</v>
          </cell>
          <cell r="P2483">
            <v>37694</v>
          </cell>
          <cell r="Q2483">
            <v>2.1466699999999999</v>
          </cell>
        </row>
        <row r="2484">
          <cell r="D2484">
            <v>37693</v>
          </cell>
          <cell r="E2484">
            <v>3.21</v>
          </cell>
          <cell r="G2484">
            <v>37693</v>
          </cell>
          <cell r="H2484">
            <v>1.03</v>
          </cell>
          <cell r="J2484">
            <v>37686</v>
          </cell>
          <cell r="K2484">
            <v>4.88</v>
          </cell>
          <cell r="M2484">
            <v>37638</v>
          </cell>
          <cell r="N2484">
            <v>2.95</v>
          </cell>
          <cell r="P2484">
            <v>37693</v>
          </cell>
          <cell r="Q2484">
            <v>1.9950000000000001</v>
          </cell>
        </row>
        <row r="2485">
          <cell r="D2485">
            <v>37692</v>
          </cell>
          <cell r="E2485">
            <v>3.1</v>
          </cell>
          <cell r="G2485">
            <v>37692</v>
          </cell>
          <cell r="H2485">
            <v>0.97</v>
          </cell>
          <cell r="J2485">
            <v>37685</v>
          </cell>
          <cell r="K2485">
            <v>4.8600000000000003</v>
          </cell>
          <cell r="M2485">
            <v>37637</v>
          </cell>
          <cell r="N2485">
            <v>3.06</v>
          </cell>
          <cell r="P2485">
            <v>37692</v>
          </cell>
          <cell r="Q2485">
            <v>1.835</v>
          </cell>
        </row>
        <row r="2486">
          <cell r="D2486">
            <v>37691</v>
          </cell>
          <cell r="E2486">
            <v>3.12</v>
          </cell>
          <cell r="G2486">
            <v>37691</v>
          </cell>
          <cell r="H2486">
            <v>0.9</v>
          </cell>
          <cell r="J2486">
            <v>37684</v>
          </cell>
          <cell r="K2486">
            <v>4.8</v>
          </cell>
          <cell r="M2486">
            <v>37636</v>
          </cell>
          <cell r="N2486">
            <v>3.1</v>
          </cell>
          <cell r="P2486">
            <v>37691</v>
          </cell>
          <cell r="Q2486">
            <v>1.91333</v>
          </cell>
        </row>
        <row r="2487">
          <cell r="D2487">
            <v>37690</v>
          </cell>
          <cell r="E2487">
            <v>3.05</v>
          </cell>
          <cell r="G2487">
            <v>37690</v>
          </cell>
          <cell r="H2487">
            <v>0.87</v>
          </cell>
          <cell r="J2487">
            <v>37683</v>
          </cell>
          <cell r="K2487">
            <v>4.8899999999999997</v>
          </cell>
          <cell r="M2487">
            <v>37635</v>
          </cell>
          <cell r="N2487">
            <v>2.97</v>
          </cell>
          <cell r="P2487">
            <v>37690</v>
          </cell>
          <cell r="Q2487">
            <v>2.0379999999999998</v>
          </cell>
        </row>
        <row r="2488">
          <cell r="D2488">
            <v>37687</v>
          </cell>
          <cell r="E2488">
            <v>3.11</v>
          </cell>
          <cell r="G2488">
            <v>37687</v>
          </cell>
          <cell r="H2488">
            <v>0.8</v>
          </cell>
          <cell r="J2488">
            <v>37680</v>
          </cell>
          <cell r="K2488">
            <v>4.92</v>
          </cell>
          <cell r="M2488">
            <v>37634</v>
          </cell>
          <cell r="N2488">
            <v>2.89</v>
          </cell>
          <cell r="P2488">
            <v>37687</v>
          </cell>
          <cell r="Q2488">
            <v>2.0649999999999999</v>
          </cell>
        </row>
        <row r="2489">
          <cell r="D2489">
            <v>37686</v>
          </cell>
          <cell r="E2489">
            <v>3.12</v>
          </cell>
          <cell r="G2489">
            <v>37686</v>
          </cell>
          <cell r="H2489">
            <v>0.79</v>
          </cell>
          <cell r="J2489">
            <v>37679</v>
          </cell>
          <cell r="K2489">
            <v>4.8689999999999998</v>
          </cell>
          <cell r="P2489">
            <v>37686</v>
          </cell>
          <cell r="Q2489">
            <v>2.12</v>
          </cell>
        </row>
        <row r="2490">
          <cell r="D2490">
            <v>37685</v>
          </cell>
          <cell r="E2490">
            <v>3.26</v>
          </cell>
          <cell r="G2490">
            <v>37685</v>
          </cell>
          <cell r="H2490">
            <v>0.7</v>
          </cell>
          <cell r="J2490">
            <v>37678</v>
          </cell>
          <cell r="K2490">
            <v>4.8310000000000004</v>
          </cell>
          <cell r="P2490">
            <v>37685</v>
          </cell>
          <cell r="Q2490">
            <v>2.0833300000000001</v>
          </cell>
        </row>
        <row r="2491">
          <cell r="D2491">
            <v>37684</v>
          </cell>
          <cell r="E2491">
            <v>3.32</v>
          </cell>
          <cell r="G2491">
            <v>37684</v>
          </cell>
          <cell r="H2491">
            <v>0.7</v>
          </cell>
          <cell r="J2491">
            <v>37677</v>
          </cell>
          <cell r="K2491">
            <v>4.6909999999999998</v>
          </cell>
          <cell r="P2491">
            <v>37684</v>
          </cell>
          <cell r="Q2491">
            <v>2.06</v>
          </cell>
        </row>
        <row r="2492">
          <cell r="D2492">
            <v>37683</v>
          </cell>
          <cell r="E2492">
            <v>3.34</v>
          </cell>
          <cell r="G2492">
            <v>37683</v>
          </cell>
          <cell r="H2492">
            <v>0.72</v>
          </cell>
          <cell r="J2492">
            <v>37676</v>
          </cell>
          <cell r="K2492">
            <v>4.75</v>
          </cell>
          <cell r="P2492">
            <v>37683</v>
          </cell>
          <cell r="Q2492">
            <v>2.0116700000000001</v>
          </cell>
        </row>
        <row r="2493">
          <cell r="D2493">
            <v>37680</v>
          </cell>
          <cell r="E2493">
            <v>3.2170000000000001</v>
          </cell>
          <cell r="G2493">
            <v>37680</v>
          </cell>
          <cell r="H2493">
            <v>0.72</v>
          </cell>
          <cell r="J2493">
            <v>37673</v>
          </cell>
          <cell r="K2493">
            <v>4.93</v>
          </cell>
          <cell r="P2493">
            <v>37680</v>
          </cell>
          <cell r="Q2493">
            <v>2.1166700000000001</v>
          </cell>
        </row>
        <row r="2494">
          <cell r="D2494">
            <v>37679</v>
          </cell>
          <cell r="E2494">
            <v>3.22</v>
          </cell>
          <cell r="G2494">
            <v>37679</v>
          </cell>
          <cell r="H2494">
            <v>0.7</v>
          </cell>
          <cell r="J2494">
            <v>37672</v>
          </cell>
          <cell r="K2494">
            <v>4.75</v>
          </cell>
          <cell r="P2494">
            <v>37679</v>
          </cell>
          <cell r="Q2494">
            <v>2.1033300000000001</v>
          </cell>
        </row>
        <row r="2495">
          <cell r="D2495">
            <v>37678</v>
          </cell>
          <cell r="E2495">
            <v>3.15</v>
          </cell>
          <cell r="G2495">
            <v>37678</v>
          </cell>
          <cell r="H2495">
            <v>0.71</v>
          </cell>
          <cell r="J2495">
            <v>37671</v>
          </cell>
          <cell r="K2495">
            <v>4.7300000000000004</v>
          </cell>
          <cell r="P2495">
            <v>37678</v>
          </cell>
          <cell r="Q2495">
            <v>2.0983299999999998</v>
          </cell>
        </row>
        <row r="2496">
          <cell r="D2496">
            <v>37677</v>
          </cell>
          <cell r="E2496">
            <v>3.34</v>
          </cell>
          <cell r="G2496">
            <v>37677</v>
          </cell>
          <cell r="H2496">
            <v>0.75</v>
          </cell>
          <cell r="J2496">
            <v>37670</v>
          </cell>
          <cell r="K2496">
            <v>4.55</v>
          </cell>
          <cell r="P2496">
            <v>37677</v>
          </cell>
          <cell r="Q2496">
            <v>2.1766700000000001</v>
          </cell>
        </row>
        <row r="2497">
          <cell r="D2497">
            <v>37676</v>
          </cell>
          <cell r="E2497">
            <v>3.448</v>
          </cell>
          <cell r="G2497">
            <v>37676</v>
          </cell>
          <cell r="H2497">
            <v>0.79</v>
          </cell>
          <cell r="J2497">
            <v>37666</v>
          </cell>
          <cell r="K2497">
            <v>4.8099999999999996</v>
          </cell>
          <cell r="P2497">
            <v>37676</v>
          </cell>
          <cell r="Q2497">
            <v>2.18167</v>
          </cell>
        </row>
        <row r="2498">
          <cell r="D2498">
            <v>37673</v>
          </cell>
          <cell r="E2498">
            <v>3.47</v>
          </cell>
          <cell r="G2498">
            <v>37673</v>
          </cell>
          <cell r="H2498">
            <v>0.8</v>
          </cell>
          <cell r="J2498">
            <v>37665</v>
          </cell>
          <cell r="K2498">
            <v>4.9400000000000004</v>
          </cell>
          <cell r="P2498">
            <v>37673</v>
          </cell>
          <cell r="Q2498">
            <v>2.1283300000000001</v>
          </cell>
        </row>
        <row r="2499">
          <cell r="D2499">
            <v>37672</v>
          </cell>
          <cell r="E2499">
            <v>3.47</v>
          </cell>
          <cell r="G2499">
            <v>37672</v>
          </cell>
          <cell r="H2499">
            <v>0.87</v>
          </cell>
          <cell r="J2499">
            <v>37664</v>
          </cell>
          <cell r="K2499">
            <v>4.92</v>
          </cell>
          <cell r="P2499">
            <v>37672</v>
          </cell>
          <cell r="Q2499">
            <v>2.15333</v>
          </cell>
        </row>
        <row r="2500">
          <cell r="D2500">
            <v>37671</v>
          </cell>
          <cell r="E2500">
            <v>3.51</v>
          </cell>
          <cell r="G2500">
            <v>37671</v>
          </cell>
          <cell r="H2500">
            <v>0.9</v>
          </cell>
          <cell r="J2500">
            <v>37663</v>
          </cell>
          <cell r="K2500">
            <v>4.75</v>
          </cell>
          <cell r="P2500">
            <v>37671</v>
          </cell>
          <cell r="Q2500">
            <v>2.1549999999999998</v>
          </cell>
        </row>
        <row r="2501">
          <cell r="D2501">
            <v>37670</v>
          </cell>
          <cell r="E2501">
            <v>3.59</v>
          </cell>
          <cell r="G2501">
            <v>37670</v>
          </cell>
          <cell r="H2501">
            <v>0.78</v>
          </cell>
          <cell r="J2501">
            <v>37662</v>
          </cell>
          <cell r="K2501">
            <v>4.9000000000000004</v>
          </cell>
          <cell r="P2501">
            <v>37670</v>
          </cell>
          <cell r="Q2501">
            <v>2.2083300000000001</v>
          </cell>
        </row>
        <row r="2502">
          <cell r="D2502">
            <v>37666</v>
          </cell>
          <cell r="E2502">
            <v>3.41</v>
          </cell>
          <cell r="G2502">
            <v>37666</v>
          </cell>
          <cell r="H2502">
            <v>0.68</v>
          </cell>
          <cell r="J2502">
            <v>37659</v>
          </cell>
          <cell r="K2502">
            <v>4.75</v>
          </cell>
          <cell r="P2502">
            <v>37666</v>
          </cell>
          <cell r="Q2502">
            <v>2.12</v>
          </cell>
        </row>
        <row r="2503">
          <cell r="D2503">
            <v>37665</v>
          </cell>
          <cell r="E2503">
            <v>3.28</v>
          </cell>
          <cell r="G2503">
            <v>37665</v>
          </cell>
          <cell r="H2503">
            <v>0.68</v>
          </cell>
          <cell r="J2503">
            <v>37658</v>
          </cell>
          <cell r="K2503">
            <v>4.8</v>
          </cell>
          <cell r="P2503">
            <v>37665</v>
          </cell>
          <cell r="Q2503">
            <v>2.0816699999999999</v>
          </cell>
        </row>
        <row r="2504">
          <cell r="D2504">
            <v>37664</v>
          </cell>
          <cell r="E2504">
            <v>3.27</v>
          </cell>
          <cell r="G2504">
            <v>37664</v>
          </cell>
          <cell r="H2504">
            <v>0.68</v>
          </cell>
          <cell r="J2504">
            <v>37657</v>
          </cell>
          <cell r="K2504">
            <v>4.5999999999999996</v>
          </cell>
          <cell r="P2504">
            <v>37664</v>
          </cell>
          <cell r="Q2504">
            <v>1.94167</v>
          </cell>
        </row>
        <row r="2505">
          <cell r="D2505">
            <v>37663</v>
          </cell>
          <cell r="E2505">
            <v>3.53</v>
          </cell>
          <cell r="G2505">
            <v>37663</v>
          </cell>
          <cell r="H2505">
            <v>0.74</v>
          </cell>
          <cell r="J2505">
            <v>37656</v>
          </cell>
          <cell r="K2505">
            <v>4.45</v>
          </cell>
          <cell r="P2505">
            <v>37663</v>
          </cell>
          <cell r="Q2505">
            <v>1.9383300000000001</v>
          </cell>
        </row>
        <row r="2506">
          <cell r="D2506">
            <v>37662</v>
          </cell>
          <cell r="E2506">
            <v>3.57</v>
          </cell>
          <cell r="G2506">
            <v>37662</v>
          </cell>
          <cell r="H2506">
            <v>0.72</v>
          </cell>
          <cell r="J2506">
            <v>37655</v>
          </cell>
          <cell r="K2506">
            <v>4.7300000000000004</v>
          </cell>
          <cell r="P2506">
            <v>37662</v>
          </cell>
          <cell r="Q2506">
            <v>1.91167</v>
          </cell>
        </row>
        <row r="2507">
          <cell r="D2507">
            <v>37659</v>
          </cell>
          <cell r="E2507">
            <v>3.7</v>
          </cell>
          <cell r="G2507">
            <v>37659</v>
          </cell>
          <cell r="H2507">
            <v>0.7</v>
          </cell>
          <cell r="J2507">
            <v>37651</v>
          </cell>
          <cell r="K2507">
            <v>4.8</v>
          </cell>
          <cell r="P2507">
            <v>37659</v>
          </cell>
          <cell r="Q2507">
            <v>1.94167</v>
          </cell>
        </row>
        <row r="2508">
          <cell r="D2508">
            <v>37658</v>
          </cell>
          <cell r="E2508">
            <v>3.79</v>
          </cell>
          <cell r="G2508">
            <v>37658</v>
          </cell>
          <cell r="H2508">
            <v>0.69</v>
          </cell>
          <cell r="J2508">
            <v>37650</v>
          </cell>
          <cell r="K2508">
            <v>4.8</v>
          </cell>
          <cell r="P2508">
            <v>37658</v>
          </cell>
          <cell r="Q2508">
            <v>2.04</v>
          </cell>
        </row>
        <row r="2509">
          <cell r="D2509">
            <v>37657</v>
          </cell>
          <cell r="E2509">
            <v>3.8</v>
          </cell>
          <cell r="G2509">
            <v>37657</v>
          </cell>
          <cell r="H2509">
            <v>0.74</v>
          </cell>
          <cell r="J2509">
            <v>37649</v>
          </cell>
          <cell r="K2509">
            <v>4.93</v>
          </cell>
          <cell r="P2509">
            <v>37657</v>
          </cell>
          <cell r="Q2509">
            <v>2.0633300000000001</v>
          </cell>
        </row>
        <row r="2510">
          <cell r="D2510">
            <v>37656</v>
          </cell>
          <cell r="E2510">
            <v>3.65</v>
          </cell>
          <cell r="G2510">
            <v>37656</v>
          </cell>
          <cell r="H2510">
            <v>0.7</v>
          </cell>
          <cell r="J2510">
            <v>37648</v>
          </cell>
          <cell r="K2510">
            <v>4.62</v>
          </cell>
          <cell r="P2510">
            <v>37656</v>
          </cell>
          <cell r="Q2510">
            <v>2.1</v>
          </cell>
        </row>
        <row r="2511">
          <cell r="D2511">
            <v>37655</v>
          </cell>
          <cell r="E2511">
            <v>3.92</v>
          </cell>
          <cell r="G2511">
            <v>37655</v>
          </cell>
          <cell r="H2511">
            <v>0.73</v>
          </cell>
          <cell r="J2511">
            <v>37645</v>
          </cell>
          <cell r="K2511">
            <v>4.5</v>
          </cell>
          <cell r="P2511">
            <v>37655</v>
          </cell>
          <cell r="Q2511">
            <v>2.1233300000000002</v>
          </cell>
        </row>
        <row r="2512">
          <cell r="D2512">
            <v>37652</v>
          </cell>
          <cell r="E2512">
            <v>4.2300000000000004</v>
          </cell>
          <cell r="G2512">
            <v>37652</v>
          </cell>
          <cell r="H2512">
            <v>0.83</v>
          </cell>
          <cell r="J2512">
            <v>37644</v>
          </cell>
          <cell r="K2512">
            <v>4.5</v>
          </cell>
          <cell r="P2512">
            <v>37652</v>
          </cell>
          <cell r="Q2512">
            <v>2.1266699999999998</v>
          </cell>
        </row>
        <row r="2513">
          <cell r="D2513">
            <v>37651</v>
          </cell>
          <cell r="E2513">
            <v>4.76</v>
          </cell>
          <cell r="G2513">
            <v>37651</v>
          </cell>
          <cell r="H2513">
            <v>0.83</v>
          </cell>
          <cell r="J2513">
            <v>37643</v>
          </cell>
          <cell r="K2513">
            <v>4.5</v>
          </cell>
          <cell r="P2513">
            <v>37651</v>
          </cell>
          <cell r="Q2513">
            <v>2.1066699999999998</v>
          </cell>
        </row>
        <row r="2514">
          <cell r="D2514">
            <v>37650</v>
          </cell>
          <cell r="E2514">
            <v>5.01</v>
          </cell>
          <cell r="G2514">
            <v>37650</v>
          </cell>
          <cell r="H2514">
            <v>0.8</v>
          </cell>
          <cell r="J2514">
            <v>37642</v>
          </cell>
          <cell r="K2514">
            <v>4.4000000000000004</v>
          </cell>
          <cell r="P2514">
            <v>37650</v>
          </cell>
          <cell r="Q2514">
            <v>2.16167</v>
          </cell>
        </row>
        <row r="2515">
          <cell r="D2515">
            <v>37649</v>
          </cell>
          <cell r="E2515">
            <v>4.5999999999999996</v>
          </cell>
          <cell r="G2515">
            <v>37649</v>
          </cell>
          <cell r="H2515">
            <v>0.83</v>
          </cell>
          <cell r="J2515">
            <v>37638</v>
          </cell>
          <cell r="K2515">
            <v>4.5</v>
          </cell>
          <cell r="P2515">
            <v>37649</v>
          </cell>
          <cell r="Q2515">
            <v>2.1833300000000002</v>
          </cell>
        </row>
        <row r="2516">
          <cell r="D2516">
            <v>37648</v>
          </cell>
          <cell r="E2516">
            <v>4.28</v>
          </cell>
          <cell r="G2516">
            <v>37648</v>
          </cell>
          <cell r="H2516">
            <v>0.91</v>
          </cell>
          <cell r="J2516">
            <v>37637</v>
          </cell>
          <cell r="K2516">
            <v>4.3390000000000004</v>
          </cell>
          <cell r="P2516">
            <v>37648</v>
          </cell>
          <cell r="Q2516">
            <v>2.165</v>
          </cell>
        </row>
        <row r="2517">
          <cell r="D2517">
            <v>37645</v>
          </cell>
          <cell r="E2517">
            <v>4.37</v>
          </cell>
          <cell r="G2517">
            <v>37645</v>
          </cell>
          <cell r="H2517">
            <v>0.9</v>
          </cell>
          <cell r="J2517">
            <v>37636</v>
          </cell>
          <cell r="K2517">
            <v>4.5</v>
          </cell>
          <cell r="P2517">
            <v>37645</v>
          </cell>
          <cell r="Q2517">
            <v>2.1983299999999999</v>
          </cell>
        </row>
        <row r="2518">
          <cell r="D2518">
            <v>37644</v>
          </cell>
          <cell r="E2518">
            <v>4.47</v>
          </cell>
          <cell r="G2518">
            <v>37644</v>
          </cell>
          <cell r="H2518">
            <v>0.92</v>
          </cell>
          <cell r="J2518">
            <v>37635</v>
          </cell>
          <cell r="K2518">
            <v>4.5389999999999997</v>
          </cell>
          <cell r="P2518">
            <v>37644</v>
          </cell>
          <cell r="Q2518">
            <v>2.3016700000000001</v>
          </cell>
        </row>
        <row r="2519">
          <cell r="D2519">
            <v>37643</v>
          </cell>
          <cell r="E2519">
            <v>4.4400000000000004</v>
          </cell>
          <cell r="G2519">
            <v>37643</v>
          </cell>
          <cell r="H2519">
            <v>0.95</v>
          </cell>
          <cell r="J2519">
            <v>37634</v>
          </cell>
          <cell r="K2519">
            <v>4.5199999999999996</v>
          </cell>
          <cell r="P2519">
            <v>37643</v>
          </cell>
          <cell r="Q2519">
            <v>2.2999999999999998</v>
          </cell>
        </row>
        <row r="2520">
          <cell r="D2520">
            <v>37642</v>
          </cell>
          <cell r="E2520">
            <v>4.72</v>
          </cell>
          <cell r="G2520">
            <v>37642</v>
          </cell>
          <cell r="H2520">
            <v>1.02</v>
          </cell>
          <cell r="P2520">
            <v>37642</v>
          </cell>
          <cell r="Q2520">
            <v>2.2633299999999998</v>
          </cell>
        </row>
        <row r="2521">
          <cell r="D2521">
            <v>37638</v>
          </cell>
          <cell r="E2521">
            <v>4.7</v>
          </cell>
          <cell r="G2521">
            <v>37638</v>
          </cell>
          <cell r="H2521">
            <v>1.1000000000000001</v>
          </cell>
          <cell r="P2521">
            <v>37638</v>
          </cell>
          <cell r="Q2521">
            <v>2.2816700000000001</v>
          </cell>
        </row>
        <row r="2522">
          <cell r="D2522">
            <v>37637</v>
          </cell>
          <cell r="E2522">
            <v>5.17</v>
          </cell>
          <cell r="G2522">
            <v>37637</v>
          </cell>
          <cell r="H2522">
            <v>1.1200000000000001</v>
          </cell>
          <cell r="P2522">
            <v>37637</v>
          </cell>
          <cell r="Q2522">
            <v>2.4300000000000002</v>
          </cell>
        </row>
        <row r="2523">
          <cell r="D2523">
            <v>37636</v>
          </cell>
          <cell r="E2523">
            <v>5.2409999999999997</v>
          </cell>
          <cell r="G2523">
            <v>37636</v>
          </cell>
          <cell r="H2523">
            <v>1.2190000000000001</v>
          </cell>
          <cell r="P2523">
            <v>37636</v>
          </cell>
          <cell r="Q2523">
            <v>2.4950000000000001</v>
          </cell>
        </row>
        <row r="2524">
          <cell r="D2524">
            <v>37635</v>
          </cell>
          <cell r="E2524">
            <v>5.58</v>
          </cell>
          <cell r="G2524">
            <v>37635</v>
          </cell>
          <cell r="H2524">
            <v>1.19</v>
          </cell>
          <cell r="P2524">
            <v>37635</v>
          </cell>
          <cell r="Q2524">
            <v>2.57</v>
          </cell>
        </row>
        <row r="2525">
          <cell r="D2525">
            <v>37634</v>
          </cell>
          <cell r="E2525">
            <v>5.44</v>
          </cell>
          <cell r="G2525">
            <v>37634</v>
          </cell>
          <cell r="H2525">
            <v>1.05</v>
          </cell>
          <cell r="P2525">
            <v>37634</v>
          </cell>
          <cell r="Q2525">
            <v>2.4783300000000001</v>
          </cell>
        </row>
      </sheetData>
      <sheetData sheetId="2" refreshError="1"/>
      <sheetData sheetId="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sheetName val="Changes Log"/>
      <sheetName val="Asset_Volatility"/>
      <sheetName val="_CIQHiddenCacheSheet"/>
      <sheetName val="Historical_Volatility"/>
      <sheetName val="Risk_Free"/>
      <sheetName val="Volatility_Data"/>
    </sheetNames>
    <sheetDataSet>
      <sheetData sheetId="0" refreshError="1"/>
      <sheetData sheetId="1" refreshError="1"/>
      <sheetData sheetId="2">
        <row r="44">
          <cell r="S44">
            <v>0.3</v>
          </cell>
        </row>
      </sheetData>
      <sheetData sheetId="3" refreshError="1"/>
      <sheetData sheetId="4" refreshError="1"/>
      <sheetData sheetId="5">
        <row r="26">
          <cell r="E26">
            <v>1.2795985401459854E-2</v>
          </cell>
        </row>
      </sheetData>
      <sheetData sheetId="6">
        <row r="26">
          <cell r="D26">
            <v>42033</v>
          </cell>
          <cell r="F26">
            <v>150.56333000000001</v>
          </cell>
          <cell r="K26">
            <v>42033</v>
          </cell>
          <cell r="M26">
            <v>26.592230000000001</v>
          </cell>
          <cell r="R26">
            <v>42033</v>
          </cell>
          <cell r="T26">
            <v>2.61</v>
          </cell>
          <cell r="Y26">
            <v>42033</v>
          </cell>
          <cell r="AA26">
            <v>311.77999999999997</v>
          </cell>
          <cell r="AF26">
            <v>42033</v>
          </cell>
          <cell r="AH26">
            <v>116.90808</v>
          </cell>
          <cell r="AM26">
            <v>42033</v>
          </cell>
          <cell r="AO26">
            <v>83.695319999999995</v>
          </cell>
          <cell r="AT26">
            <v>42033</v>
          </cell>
          <cell r="AV26">
            <v>40.743729999999999</v>
          </cell>
          <cell r="BA26">
            <v>42033</v>
          </cell>
          <cell r="BC26">
            <v>14.00192</v>
          </cell>
          <cell r="BH26">
            <v>42033</v>
          </cell>
          <cell r="BJ26">
            <v>23.449549999999999</v>
          </cell>
        </row>
        <row r="27">
          <cell r="D27">
            <v>42032</v>
          </cell>
          <cell r="F27">
            <v>146.75761</v>
          </cell>
          <cell r="K27">
            <v>42032</v>
          </cell>
          <cell r="M27">
            <v>26.186800000000002</v>
          </cell>
          <cell r="R27">
            <v>42032</v>
          </cell>
          <cell r="T27">
            <v>2.63</v>
          </cell>
          <cell r="Y27">
            <v>42032</v>
          </cell>
          <cell r="AA27">
            <v>303.91000000000003</v>
          </cell>
          <cell r="AF27">
            <v>42032</v>
          </cell>
          <cell r="AH27">
            <v>113.37822</v>
          </cell>
          <cell r="AM27">
            <v>42032</v>
          </cell>
          <cell r="AO27">
            <v>84.257760000000005</v>
          </cell>
          <cell r="AT27">
            <v>42032</v>
          </cell>
          <cell r="AV27">
            <v>40.56953</v>
          </cell>
          <cell r="BA27">
            <v>42032</v>
          </cell>
          <cell r="BC27">
            <v>13.784380000000001</v>
          </cell>
          <cell r="BH27">
            <v>42032</v>
          </cell>
          <cell r="BJ27">
            <v>23.21584</v>
          </cell>
        </row>
        <row r="28">
          <cell r="D28">
            <v>42031</v>
          </cell>
          <cell r="F28">
            <v>148.81057000000001</v>
          </cell>
          <cell r="K28">
            <v>42031</v>
          </cell>
          <cell r="M28">
            <v>26.279610000000002</v>
          </cell>
          <cell r="R28">
            <v>42031</v>
          </cell>
          <cell r="T28">
            <v>2.7</v>
          </cell>
          <cell r="Y28">
            <v>42031</v>
          </cell>
          <cell r="AA28">
            <v>306.75</v>
          </cell>
          <cell r="AF28">
            <v>42031</v>
          </cell>
          <cell r="AH28">
            <v>107.31159</v>
          </cell>
          <cell r="AM28">
            <v>42031</v>
          </cell>
          <cell r="AO28">
            <v>83.576909999999998</v>
          </cell>
          <cell r="AT28">
            <v>42031</v>
          </cell>
          <cell r="AV28">
            <v>41.024389999999997</v>
          </cell>
          <cell r="BA28">
            <v>42031</v>
          </cell>
          <cell r="BC28">
            <v>14.288679999999999</v>
          </cell>
          <cell r="BH28">
            <v>42031</v>
          </cell>
          <cell r="BJ28">
            <v>23.741700000000002</v>
          </cell>
        </row>
        <row r="29">
          <cell r="D29">
            <v>42030</v>
          </cell>
          <cell r="F29">
            <v>151.41550000000001</v>
          </cell>
          <cell r="K29">
            <v>42030</v>
          </cell>
          <cell r="M29">
            <v>27.324929999999998</v>
          </cell>
          <cell r="R29">
            <v>42030</v>
          </cell>
          <cell r="T29">
            <v>2.61</v>
          </cell>
          <cell r="Y29">
            <v>42030</v>
          </cell>
          <cell r="AA29">
            <v>309.66000000000003</v>
          </cell>
          <cell r="AF29">
            <v>42030</v>
          </cell>
          <cell r="AH29">
            <v>111.20525000000001</v>
          </cell>
          <cell r="AM29">
            <v>42030</v>
          </cell>
          <cell r="AO29">
            <v>83.626239999999996</v>
          </cell>
          <cell r="AT29">
            <v>42030</v>
          </cell>
          <cell r="AV29">
            <v>41.614730000000002</v>
          </cell>
          <cell r="BA29">
            <v>42030</v>
          </cell>
          <cell r="BC29">
            <v>14.45679</v>
          </cell>
          <cell r="BH29">
            <v>42030</v>
          </cell>
          <cell r="BJ29">
            <v>23.946200000000001</v>
          </cell>
        </row>
        <row r="30">
          <cell r="D30">
            <v>42027</v>
          </cell>
          <cell r="F30">
            <v>150.941</v>
          </cell>
          <cell r="K30">
            <v>42027</v>
          </cell>
          <cell r="M30">
            <v>27.5594</v>
          </cell>
          <cell r="R30">
            <v>42027</v>
          </cell>
          <cell r="T30">
            <v>2.4500000000000002</v>
          </cell>
          <cell r="Y30">
            <v>42027</v>
          </cell>
          <cell r="AA30">
            <v>312.39</v>
          </cell>
          <cell r="AF30">
            <v>42027</v>
          </cell>
          <cell r="AH30">
            <v>111.08726</v>
          </cell>
          <cell r="AM30">
            <v>42027</v>
          </cell>
          <cell r="AO30">
            <v>82.363219999999998</v>
          </cell>
          <cell r="AT30">
            <v>42027</v>
          </cell>
          <cell r="AV30">
            <v>41.914749999999998</v>
          </cell>
          <cell r="BA30">
            <v>42027</v>
          </cell>
          <cell r="BC30">
            <v>13.942589999999999</v>
          </cell>
          <cell r="BH30">
            <v>42027</v>
          </cell>
          <cell r="BJ30">
            <v>23.839079999999999</v>
          </cell>
        </row>
        <row r="31">
          <cell r="D31">
            <v>42026</v>
          </cell>
          <cell r="F31">
            <v>150.47618</v>
          </cell>
          <cell r="K31">
            <v>42026</v>
          </cell>
          <cell r="M31">
            <v>27.84271</v>
          </cell>
          <cell r="R31">
            <v>42026</v>
          </cell>
          <cell r="T31">
            <v>2.4700000000000002</v>
          </cell>
          <cell r="Y31">
            <v>42026</v>
          </cell>
          <cell r="AA31">
            <v>310.32</v>
          </cell>
          <cell r="AF31">
            <v>42026</v>
          </cell>
          <cell r="AH31">
            <v>110.51697</v>
          </cell>
          <cell r="AM31">
            <v>42026</v>
          </cell>
          <cell r="AO31">
            <v>82.807249999999996</v>
          </cell>
          <cell r="AT31">
            <v>42026</v>
          </cell>
          <cell r="AV31">
            <v>42.369610000000002</v>
          </cell>
          <cell r="BA31">
            <v>42026</v>
          </cell>
          <cell r="BC31">
            <v>13.89315</v>
          </cell>
          <cell r="BH31">
            <v>42026</v>
          </cell>
          <cell r="BJ31">
            <v>23.64432</v>
          </cell>
        </row>
        <row r="32">
          <cell r="D32">
            <v>42025</v>
          </cell>
          <cell r="F32">
            <v>147.28053</v>
          </cell>
          <cell r="K32">
            <v>42025</v>
          </cell>
          <cell r="M32">
            <v>27.197929999999999</v>
          </cell>
          <cell r="R32">
            <v>42025</v>
          </cell>
          <cell r="T32">
            <v>2.4500000000000002</v>
          </cell>
          <cell r="Y32">
            <v>42025</v>
          </cell>
          <cell r="AA32">
            <v>297.25</v>
          </cell>
          <cell r="AF32">
            <v>42025</v>
          </cell>
          <cell r="AH32">
            <v>107.71472</v>
          </cell>
          <cell r="AM32">
            <v>42025</v>
          </cell>
          <cell r="AO32">
            <v>80.853499999999997</v>
          </cell>
          <cell r="AT32">
            <v>42025</v>
          </cell>
          <cell r="AV32">
            <v>41.963140000000003</v>
          </cell>
          <cell r="BA32">
            <v>42025</v>
          </cell>
          <cell r="BC32">
            <v>13.636049999999999</v>
          </cell>
          <cell r="BH32">
            <v>42025</v>
          </cell>
          <cell r="BJ32">
            <v>23.410599999999999</v>
          </cell>
        </row>
        <row r="33">
          <cell r="D33">
            <v>42024</v>
          </cell>
          <cell r="F33">
            <v>151.98685</v>
          </cell>
          <cell r="K33">
            <v>42024</v>
          </cell>
          <cell r="M33">
            <v>27.422630000000002</v>
          </cell>
          <cell r="R33">
            <v>42024</v>
          </cell>
          <cell r="T33">
            <v>2.2400000000000002</v>
          </cell>
          <cell r="Y33">
            <v>42024</v>
          </cell>
          <cell r="AA33">
            <v>289.44</v>
          </cell>
          <cell r="AF33">
            <v>42024</v>
          </cell>
          <cell r="AH33">
            <v>106.89861999999999</v>
          </cell>
          <cell r="AM33">
            <v>42024</v>
          </cell>
          <cell r="AO33">
            <v>80.65616</v>
          </cell>
          <cell r="AT33">
            <v>42024</v>
          </cell>
          <cell r="AV33">
            <v>41.769579999999998</v>
          </cell>
          <cell r="BA33">
            <v>42024</v>
          </cell>
          <cell r="BC33">
            <v>13.73494</v>
          </cell>
          <cell r="BH33">
            <v>42024</v>
          </cell>
          <cell r="BJ33">
            <v>23.225570000000001</v>
          </cell>
        </row>
        <row r="34">
          <cell r="D34">
            <v>42020</v>
          </cell>
          <cell r="F34">
            <v>152.17084</v>
          </cell>
          <cell r="K34">
            <v>42020</v>
          </cell>
          <cell r="M34">
            <v>27.041620000000002</v>
          </cell>
          <cell r="R34">
            <v>42020</v>
          </cell>
          <cell r="T34">
            <v>2.39</v>
          </cell>
          <cell r="Y34">
            <v>42020</v>
          </cell>
          <cell r="AA34">
            <v>290.74</v>
          </cell>
          <cell r="AF34">
            <v>42020</v>
          </cell>
          <cell r="AH34">
            <v>104.21436</v>
          </cell>
          <cell r="AM34">
            <v>42020</v>
          </cell>
          <cell r="AO34">
            <v>81.169259999999994</v>
          </cell>
          <cell r="AT34">
            <v>42020</v>
          </cell>
          <cell r="AV34">
            <v>41.159880000000001</v>
          </cell>
          <cell r="BA34">
            <v>42020</v>
          </cell>
          <cell r="BC34">
            <v>13.556950000000001</v>
          </cell>
          <cell r="BH34">
            <v>42020</v>
          </cell>
          <cell r="BJ34">
            <v>22.972380000000001</v>
          </cell>
        </row>
        <row r="35">
          <cell r="D35">
            <v>42019</v>
          </cell>
          <cell r="F35">
            <v>149.68210999999999</v>
          </cell>
          <cell r="K35">
            <v>42019</v>
          </cell>
          <cell r="M35">
            <v>26.777850000000001</v>
          </cell>
          <cell r="R35">
            <v>42019</v>
          </cell>
          <cell r="T35">
            <v>2.52</v>
          </cell>
          <cell r="Y35">
            <v>42019</v>
          </cell>
          <cell r="AA35">
            <v>286.95</v>
          </cell>
          <cell r="AF35">
            <v>42019</v>
          </cell>
          <cell r="AH35">
            <v>105.03046000000001</v>
          </cell>
          <cell r="AM35">
            <v>42019</v>
          </cell>
          <cell r="AO35">
            <v>79.777959999999993</v>
          </cell>
          <cell r="AT35">
            <v>42019</v>
          </cell>
          <cell r="AV35">
            <v>41.014710000000001</v>
          </cell>
          <cell r="BA35">
            <v>42019</v>
          </cell>
          <cell r="BC35">
            <v>13.38884</v>
          </cell>
          <cell r="BH35">
            <v>42019</v>
          </cell>
          <cell r="BJ35">
            <v>22.96264</v>
          </cell>
        </row>
        <row r="36">
          <cell r="D36">
            <v>42018</v>
          </cell>
          <cell r="F36">
            <v>150.87321</v>
          </cell>
          <cell r="K36">
            <v>42018</v>
          </cell>
          <cell r="M36">
            <v>27.27609</v>
          </cell>
          <cell r="R36">
            <v>42018</v>
          </cell>
          <cell r="T36">
            <v>2.63</v>
          </cell>
          <cell r="Y36">
            <v>42018</v>
          </cell>
          <cell r="AA36">
            <v>293.27</v>
          </cell>
          <cell r="AF36">
            <v>42018</v>
          </cell>
          <cell r="AH36">
            <v>107.96053000000001</v>
          </cell>
          <cell r="AM36">
            <v>42018</v>
          </cell>
          <cell r="AO36">
            <v>80.863370000000003</v>
          </cell>
          <cell r="AT36">
            <v>42018</v>
          </cell>
          <cell r="AV36">
            <v>41.18891</v>
          </cell>
          <cell r="BA36">
            <v>42018</v>
          </cell>
          <cell r="BC36">
            <v>13.47784</v>
          </cell>
          <cell r="BH36">
            <v>42018</v>
          </cell>
          <cell r="BJ36">
            <v>23.157409999999999</v>
          </cell>
        </row>
        <row r="37">
          <cell r="D37">
            <v>42017</v>
          </cell>
          <cell r="F37">
            <v>151.85127</v>
          </cell>
          <cell r="K37">
            <v>42017</v>
          </cell>
          <cell r="M37">
            <v>27.447050000000001</v>
          </cell>
          <cell r="R37">
            <v>42017</v>
          </cell>
          <cell r="T37">
            <v>2.66</v>
          </cell>
          <cell r="Y37">
            <v>42017</v>
          </cell>
          <cell r="AA37">
            <v>294.74</v>
          </cell>
          <cell r="AF37">
            <v>42017</v>
          </cell>
          <cell r="AH37">
            <v>108.37350000000001</v>
          </cell>
          <cell r="AM37">
            <v>42017</v>
          </cell>
          <cell r="AO37">
            <v>81.406080000000003</v>
          </cell>
          <cell r="AT37">
            <v>42017</v>
          </cell>
          <cell r="AV37">
            <v>41.25665</v>
          </cell>
          <cell r="BA37">
            <v>42017</v>
          </cell>
          <cell r="BC37">
            <v>13.705270000000001</v>
          </cell>
          <cell r="BH37">
            <v>42017</v>
          </cell>
          <cell r="BJ37">
            <v>23.235309999999998</v>
          </cell>
        </row>
        <row r="38">
          <cell r="D38">
            <v>42016</v>
          </cell>
          <cell r="F38">
            <v>151.49297000000001</v>
          </cell>
          <cell r="K38">
            <v>42016</v>
          </cell>
          <cell r="M38">
            <v>27.403089999999999</v>
          </cell>
          <cell r="R38">
            <v>42016</v>
          </cell>
          <cell r="T38">
            <v>2.63</v>
          </cell>
          <cell r="Y38">
            <v>42016</v>
          </cell>
          <cell r="AA38">
            <v>291.41000000000003</v>
          </cell>
          <cell r="AF38">
            <v>42016</v>
          </cell>
          <cell r="AH38">
            <v>107.41974999999999</v>
          </cell>
          <cell r="AM38">
            <v>42016</v>
          </cell>
          <cell r="AO38">
            <v>81.711969999999994</v>
          </cell>
          <cell r="AT38">
            <v>42016</v>
          </cell>
          <cell r="AV38">
            <v>41.266330000000004</v>
          </cell>
          <cell r="BA38">
            <v>42016</v>
          </cell>
          <cell r="BC38">
            <v>13.87337</v>
          </cell>
          <cell r="BH38">
            <v>42016</v>
          </cell>
          <cell r="BJ38">
            <v>23.352170000000001</v>
          </cell>
        </row>
        <row r="39">
          <cell r="D39">
            <v>42013</v>
          </cell>
          <cell r="F39">
            <v>154.07854</v>
          </cell>
          <cell r="K39">
            <v>42013</v>
          </cell>
          <cell r="M39">
            <v>27.149080000000001</v>
          </cell>
          <cell r="R39">
            <v>42013</v>
          </cell>
          <cell r="T39">
            <v>2.63</v>
          </cell>
          <cell r="Y39">
            <v>42013</v>
          </cell>
          <cell r="AA39">
            <v>296.93</v>
          </cell>
          <cell r="AF39">
            <v>42013</v>
          </cell>
          <cell r="AH39">
            <v>110.13351</v>
          </cell>
          <cell r="AM39">
            <v>42013</v>
          </cell>
          <cell r="AO39">
            <v>82.728309999999993</v>
          </cell>
          <cell r="AT39">
            <v>42013</v>
          </cell>
          <cell r="AV39">
            <v>41.643770000000004</v>
          </cell>
          <cell r="BA39">
            <v>42013</v>
          </cell>
          <cell r="BC39">
            <v>14.753439999999999</v>
          </cell>
          <cell r="BH39">
            <v>42013</v>
          </cell>
          <cell r="BJ39">
            <v>23.400860000000002</v>
          </cell>
        </row>
        <row r="40">
          <cell r="D40">
            <v>42012</v>
          </cell>
          <cell r="F40">
            <v>153.41036</v>
          </cell>
          <cell r="K40">
            <v>42012</v>
          </cell>
          <cell r="M40">
            <v>26.875540000000001</v>
          </cell>
          <cell r="R40">
            <v>42012</v>
          </cell>
          <cell r="T40">
            <v>2.61</v>
          </cell>
          <cell r="Y40">
            <v>42012</v>
          </cell>
          <cell r="AA40">
            <v>300.45999999999998</v>
          </cell>
          <cell r="AF40">
            <v>42012</v>
          </cell>
          <cell r="AH40">
            <v>110.01552</v>
          </cell>
          <cell r="AM40">
            <v>42012</v>
          </cell>
          <cell r="AO40">
            <v>83.438760000000002</v>
          </cell>
          <cell r="AT40">
            <v>42012</v>
          </cell>
          <cell r="AV40">
            <v>42.108310000000003</v>
          </cell>
          <cell r="BA40">
            <v>42012</v>
          </cell>
          <cell r="BC40">
            <v>15.089639999999999</v>
          </cell>
          <cell r="BH40">
            <v>42012</v>
          </cell>
          <cell r="BJ40">
            <v>23.731960000000001</v>
          </cell>
        </row>
        <row r="41">
          <cell r="D41">
            <v>42011</v>
          </cell>
          <cell r="F41">
            <v>150.14693</v>
          </cell>
          <cell r="K41">
            <v>42011</v>
          </cell>
          <cell r="M41">
            <v>26.670380000000002</v>
          </cell>
          <cell r="R41">
            <v>42011</v>
          </cell>
          <cell r="T41">
            <v>2.58</v>
          </cell>
          <cell r="Y41">
            <v>42011</v>
          </cell>
          <cell r="AA41">
            <v>298.42</v>
          </cell>
          <cell r="AF41">
            <v>42011</v>
          </cell>
          <cell r="AH41">
            <v>105.94486999999999</v>
          </cell>
          <cell r="AM41">
            <v>42011</v>
          </cell>
          <cell r="AO41">
            <v>80.942310000000006</v>
          </cell>
          <cell r="AT41">
            <v>42011</v>
          </cell>
          <cell r="AV41">
            <v>41.605060000000002</v>
          </cell>
          <cell r="BA41">
            <v>42011</v>
          </cell>
          <cell r="BC41">
            <v>14.91165</v>
          </cell>
          <cell r="BH41">
            <v>42011</v>
          </cell>
          <cell r="BJ41">
            <v>23.449549999999999</v>
          </cell>
        </row>
        <row r="42">
          <cell r="D42">
            <v>42010</v>
          </cell>
          <cell r="F42">
            <v>151.13468</v>
          </cell>
          <cell r="K42">
            <v>42010</v>
          </cell>
          <cell r="M42">
            <v>26.42615</v>
          </cell>
          <cell r="R42">
            <v>42010</v>
          </cell>
          <cell r="T42">
            <v>2.63</v>
          </cell>
          <cell r="Y42">
            <v>42010</v>
          </cell>
          <cell r="AA42">
            <v>295.29000000000002</v>
          </cell>
          <cell r="AF42">
            <v>42010</v>
          </cell>
          <cell r="AH42">
            <v>104.47984</v>
          </cell>
          <cell r="AM42">
            <v>42010</v>
          </cell>
          <cell r="AO42">
            <v>78.139970000000005</v>
          </cell>
          <cell r="AT42">
            <v>42010</v>
          </cell>
          <cell r="AV42">
            <v>41.092129999999997</v>
          </cell>
          <cell r="BA42">
            <v>42010</v>
          </cell>
          <cell r="BC42">
            <v>15.00065</v>
          </cell>
          <cell r="BH42">
            <v>42010</v>
          </cell>
          <cell r="BJ42">
            <v>23.439810000000001</v>
          </cell>
        </row>
        <row r="43">
          <cell r="D43">
            <v>42009</v>
          </cell>
          <cell r="F43">
            <v>154.46589</v>
          </cell>
          <cell r="K43">
            <v>42009</v>
          </cell>
          <cell r="M43">
            <v>26.435919999999999</v>
          </cell>
          <cell r="R43">
            <v>42009</v>
          </cell>
          <cell r="T43">
            <v>2.66</v>
          </cell>
          <cell r="Y43">
            <v>42009</v>
          </cell>
          <cell r="AA43">
            <v>302.19</v>
          </cell>
          <cell r="AF43">
            <v>42009</v>
          </cell>
          <cell r="AH43">
            <v>104.47</v>
          </cell>
          <cell r="AM43">
            <v>42009</v>
          </cell>
          <cell r="AO43">
            <v>78.988560000000007</v>
          </cell>
          <cell r="AT43">
            <v>42009</v>
          </cell>
          <cell r="AV43">
            <v>40.782440000000001</v>
          </cell>
          <cell r="BA43">
            <v>42009</v>
          </cell>
          <cell r="BC43">
            <v>15.25774</v>
          </cell>
          <cell r="BH43">
            <v>42009</v>
          </cell>
          <cell r="BJ43">
            <v>23.955939999999998</v>
          </cell>
        </row>
        <row r="44">
          <cell r="D44">
            <v>42006</v>
          </cell>
          <cell r="F44">
            <v>156.93526</v>
          </cell>
          <cell r="K44">
            <v>42006</v>
          </cell>
          <cell r="M44">
            <v>26.973230000000001</v>
          </cell>
          <cell r="R44">
            <v>42006</v>
          </cell>
          <cell r="T44">
            <v>2.69</v>
          </cell>
          <cell r="Y44">
            <v>42006</v>
          </cell>
          <cell r="AA44">
            <v>308.52</v>
          </cell>
          <cell r="AF44">
            <v>42006</v>
          </cell>
          <cell r="AH44">
            <v>107.49841000000001</v>
          </cell>
          <cell r="AM44">
            <v>42006</v>
          </cell>
          <cell r="AO44">
            <v>79.442459999999997</v>
          </cell>
          <cell r="AT44">
            <v>42006</v>
          </cell>
          <cell r="AV44">
            <v>40.782440000000001</v>
          </cell>
          <cell r="BA44">
            <v>42006</v>
          </cell>
          <cell r="BC44">
            <v>15.59395</v>
          </cell>
          <cell r="BH44">
            <v>42006</v>
          </cell>
          <cell r="BJ44">
            <v>24.4039</v>
          </cell>
        </row>
        <row r="45">
          <cell r="D45">
            <v>42004</v>
          </cell>
          <cell r="F45">
            <v>155.36648</v>
          </cell>
          <cell r="K45">
            <v>42004</v>
          </cell>
          <cell r="M45">
            <v>26.98789</v>
          </cell>
          <cell r="R45">
            <v>42004</v>
          </cell>
          <cell r="T45">
            <v>2.67</v>
          </cell>
          <cell r="Y45">
            <v>42004</v>
          </cell>
          <cell r="AA45">
            <v>310.35000000000002</v>
          </cell>
          <cell r="AF45">
            <v>42004</v>
          </cell>
          <cell r="AH45">
            <v>108.53081</v>
          </cell>
          <cell r="AM45">
            <v>42004</v>
          </cell>
          <cell r="AO45">
            <v>79.659549999999996</v>
          </cell>
          <cell r="AT45">
            <v>42004</v>
          </cell>
          <cell r="AV45">
            <v>40.859859999999998</v>
          </cell>
          <cell r="BA45">
            <v>42004</v>
          </cell>
          <cell r="BC45">
            <v>15.84116</v>
          </cell>
          <cell r="BH45">
            <v>42004</v>
          </cell>
          <cell r="BJ45">
            <v>24.6084</v>
          </cell>
        </row>
        <row r="46">
          <cell r="D46">
            <v>42003</v>
          </cell>
          <cell r="F46">
            <v>154.98882</v>
          </cell>
          <cell r="K46">
            <v>42003</v>
          </cell>
          <cell r="M46">
            <v>27.516680000000001</v>
          </cell>
          <cell r="R46">
            <v>42003</v>
          </cell>
          <cell r="T46">
            <v>2.63</v>
          </cell>
          <cell r="Y46">
            <v>42003</v>
          </cell>
          <cell r="AA46">
            <v>310.3</v>
          </cell>
          <cell r="AF46">
            <v>42003</v>
          </cell>
          <cell r="AH46">
            <v>110.63496000000001</v>
          </cell>
          <cell r="AM46">
            <v>42003</v>
          </cell>
          <cell r="AO46">
            <v>80.73509</v>
          </cell>
          <cell r="AT46">
            <v>42003</v>
          </cell>
          <cell r="AV46">
            <v>41.382469999999998</v>
          </cell>
          <cell r="BA46">
            <v>42003</v>
          </cell>
          <cell r="BC46">
            <v>16.1477</v>
          </cell>
          <cell r="BH46">
            <v>42003</v>
          </cell>
          <cell r="BJ46">
            <v>24.900539999999999</v>
          </cell>
        </row>
        <row r="47">
          <cell r="D47">
            <v>42002</v>
          </cell>
          <cell r="F47">
            <v>155.43427</v>
          </cell>
          <cell r="K47">
            <v>42002</v>
          </cell>
          <cell r="M47">
            <v>27.613710000000001</v>
          </cell>
          <cell r="R47">
            <v>42002</v>
          </cell>
          <cell r="T47">
            <v>2.66</v>
          </cell>
          <cell r="Y47">
            <v>42002</v>
          </cell>
          <cell r="AA47">
            <v>312.04000000000002</v>
          </cell>
          <cell r="AF47">
            <v>42002</v>
          </cell>
          <cell r="AH47">
            <v>112.00167999999999</v>
          </cell>
          <cell r="AM47">
            <v>42002</v>
          </cell>
          <cell r="AO47">
            <v>79.736019999999996</v>
          </cell>
          <cell r="AT47">
            <v>42002</v>
          </cell>
          <cell r="AV47">
            <v>41.47925</v>
          </cell>
          <cell r="BA47">
            <v>42002</v>
          </cell>
          <cell r="BC47">
            <v>16.118030000000001</v>
          </cell>
          <cell r="BH47">
            <v>42002</v>
          </cell>
          <cell r="BJ47">
            <v>25.027139999999999</v>
          </cell>
        </row>
        <row r="48">
          <cell r="D48">
            <v>41999</v>
          </cell>
          <cell r="F48">
            <v>157.2064</v>
          </cell>
          <cell r="K48">
            <v>41999</v>
          </cell>
          <cell r="M48">
            <v>27.506979999999999</v>
          </cell>
          <cell r="R48">
            <v>41999</v>
          </cell>
          <cell r="T48">
            <v>2.65</v>
          </cell>
          <cell r="Y48">
            <v>41999</v>
          </cell>
          <cell r="AA48">
            <v>309.08999999999997</v>
          </cell>
          <cell r="AF48">
            <v>41999</v>
          </cell>
          <cell r="AH48">
            <v>112.08034000000001</v>
          </cell>
          <cell r="AM48">
            <v>41999</v>
          </cell>
          <cell r="AO48">
            <v>80.414000000000001</v>
          </cell>
          <cell r="AT48">
            <v>41999</v>
          </cell>
          <cell r="AV48">
            <v>41.57602</v>
          </cell>
          <cell r="BA48">
            <v>41999</v>
          </cell>
          <cell r="BC48">
            <v>15.623609999999999</v>
          </cell>
          <cell r="BH48">
            <v>41999</v>
          </cell>
          <cell r="BJ48">
            <v>25.105039999999999</v>
          </cell>
        </row>
        <row r="49">
          <cell r="D49">
            <v>41997</v>
          </cell>
          <cell r="F49">
            <v>156.70285000000001</v>
          </cell>
          <cell r="K49">
            <v>41997</v>
          </cell>
          <cell r="M49">
            <v>27.458469999999998</v>
          </cell>
          <cell r="R49">
            <v>41997</v>
          </cell>
          <cell r="T49">
            <v>2.65</v>
          </cell>
          <cell r="Y49">
            <v>41997</v>
          </cell>
          <cell r="AA49">
            <v>303.02999999999997</v>
          </cell>
          <cell r="AF49">
            <v>41997</v>
          </cell>
          <cell r="AH49">
            <v>110.13351</v>
          </cell>
          <cell r="AM49">
            <v>41997</v>
          </cell>
          <cell r="AO49">
            <v>80.639989999999997</v>
          </cell>
          <cell r="AT49">
            <v>41997</v>
          </cell>
          <cell r="AV49">
            <v>41.556669999999997</v>
          </cell>
          <cell r="BA49">
            <v>41997</v>
          </cell>
          <cell r="BC49">
            <v>15.771559999999999</v>
          </cell>
          <cell r="BH49">
            <v>41997</v>
          </cell>
          <cell r="BJ49">
            <v>25.153739999999999</v>
          </cell>
        </row>
        <row r="50">
          <cell r="D50">
            <v>41996</v>
          </cell>
          <cell r="F50">
            <v>157.10955999999999</v>
          </cell>
          <cell r="K50">
            <v>41996</v>
          </cell>
          <cell r="M50">
            <v>27.409949999999998</v>
          </cell>
          <cell r="R50">
            <v>41996</v>
          </cell>
          <cell r="T50">
            <v>2.67</v>
          </cell>
          <cell r="Y50">
            <v>41996</v>
          </cell>
          <cell r="AA50">
            <v>306.28500000000003</v>
          </cell>
          <cell r="AF50">
            <v>41996</v>
          </cell>
          <cell r="AH50">
            <v>110.65463</v>
          </cell>
          <cell r="AM50">
            <v>41996</v>
          </cell>
          <cell r="AO50">
            <v>80.492599999999996</v>
          </cell>
          <cell r="AT50">
            <v>41996</v>
          </cell>
          <cell r="AV50">
            <v>41.585700000000003</v>
          </cell>
          <cell r="BA50">
            <v>41996</v>
          </cell>
          <cell r="BC50">
            <v>15.820880000000001</v>
          </cell>
          <cell r="BH50">
            <v>41996</v>
          </cell>
          <cell r="BJ50">
            <v>25.20243</v>
          </cell>
        </row>
        <row r="51">
          <cell r="D51">
            <v>41995</v>
          </cell>
          <cell r="F51">
            <v>156.33485999999999</v>
          </cell>
          <cell r="K51">
            <v>41995</v>
          </cell>
          <cell r="M51">
            <v>27.380849999999999</v>
          </cell>
          <cell r="R51">
            <v>41995</v>
          </cell>
          <cell r="T51">
            <v>2.66</v>
          </cell>
          <cell r="Y51">
            <v>41995</v>
          </cell>
          <cell r="AA51">
            <v>306.54000000000002</v>
          </cell>
          <cell r="AF51">
            <v>41995</v>
          </cell>
          <cell r="AH51">
            <v>111.04792999999999</v>
          </cell>
          <cell r="AM51">
            <v>41995</v>
          </cell>
          <cell r="AO51">
            <v>81.553780000000003</v>
          </cell>
          <cell r="AT51">
            <v>41995</v>
          </cell>
          <cell r="AV51">
            <v>40.985680000000002</v>
          </cell>
          <cell r="BA51">
            <v>41995</v>
          </cell>
          <cell r="BC51">
            <v>15.623609999999999</v>
          </cell>
          <cell r="BH51">
            <v>41995</v>
          </cell>
          <cell r="BJ51">
            <v>25.03688</v>
          </cell>
        </row>
        <row r="52">
          <cell r="D52">
            <v>41992</v>
          </cell>
          <cell r="F52">
            <v>153.49752000000001</v>
          </cell>
          <cell r="K52">
            <v>41992</v>
          </cell>
          <cell r="M52">
            <v>26.944230000000001</v>
          </cell>
          <cell r="R52">
            <v>41992</v>
          </cell>
          <cell r="T52">
            <v>2.57</v>
          </cell>
          <cell r="Y52">
            <v>41992</v>
          </cell>
          <cell r="AA52">
            <v>299.89999999999998</v>
          </cell>
          <cell r="AF52">
            <v>41992</v>
          </cell>
          <cell r="AH52">
            <v>109.90736</v>
          </cell>
          <cell r="AM52">
            <v>41992</v>
          </cell>
          <cell r="AO52">
            <v>81.593090000000004</v>
          </cell>
          <cell r="AT52">
            <v>41992</v>
          </cell>
          <cell r="AV52">
            <v>40.598559999999999</v>
          </cell>
          <cell r="BA52">
            <v>41992</v>
          </cell>
          <cell r="BC52">
            <v>15.672929999999999</v>
          </cell>
          <cell r="BH52">
            <v>41992</v>
          </cell>
          <cell r="BJ52">
            <v>24.94923</v>
          </cell>
        </row>
        <row r="53">
          <cell r="D53">
            <v>41991</v>
          </cell>
          <cell r="F53">
            <v>152.69376</v>
          </cell>
          <cell r="K53">
            <v>41991</v>
          </cell>
          <cell r="M53">
            <v>26.8278</v>
          </cell>
          <cell r="R53">
            <v>41991</v>
          </cell>
          <cell r="T53">
            <v>2.5499999999999998</v>
          </cell>
          <cell r="Y53">
            <v>41991</v>
          </cell>
          <cell r="AA53">
            <v>297.73</v>
          </cell>
          <cell r="AF53">
            <v>41991</v>
          </cell>
          <cell r="AH53">
            <v>110.76279</v>
          </cell>
          <cell r="AM53">
            <v>41991</v>
          </cell>
          <cell r="AO53">
            <v>80.974069999999998</v>
          </cell>
          <cell r="AT53">
            <v>41991</v>
          </cell>
          <cell r="AV53">
            <v>41.024389999999997</v>
          </cell>
          <cell r="BA53">
            <v>41991</v>
          </cell>
          <cell r="BC53">
            <v>15.51512</v>
          </cell>
          <cell r="BH53">
            <v>41991</v>
          </cell>
          <cell r="BJ53">
            <v>24.4818</v>
          </cell>
        </row>
        <row r="54">
          <cell r="D54">
            <v>41990</v>
          </cell>
          <cell r="F54">
            <v>147.12558999999999</v>
          </cell>
          <cell r="K54">
            <v>41990</v>
          </cell>
          <cell r="M54">
            <v>26.01277</v>
          </cell>
          <cell r="R54">
            <v>41990</v>
          </cell>
          <cell r="T54">
            <v>2.5499999999999998</v>
          </cell>
          <cell r="Y54">
            <v>41990</v>
          </cell>
          <cell r="AA54">
            <v>298.88</v>
          </cell>
          <cell r="AF54">
            <v>41990</v>
          </cell>
          <cell r="AH54">
            <v>107.57706</v>
          </cell>
          <cell r="AM54">
            <v>41990</v>
          </cell>
          <cell r="AO54">
            <v>79.244730000000004</v>
          </cell>
          <cell r="AT54">
            <v>41990</v>
          </cell>
          <cell r="AV54">
            <v>40.211449999999999</v>
          </cell>
          <cell r="BA54">
            <v>41990</v>
          </cell>
          <cell r="BC54">
            <v>15.69266</v>
          </cell>
          <cell r="BH54">
            <v>41990</v>
          </cell>
          <cell r="BJ54">
            <v>23.790389999999999</v>
          </cell>
        </row>
        <row r="55">
          <cell r="D55">
            <v>41989</v>
          </cell>
          <cell r="F55">
            <v>146.62204</v>
          </cell>
          <cell r="K55">
            <v>41989</v>
          </cell>
          <cell r="M55">
            <v>25.794460000000001</v>
          </cell>
          <cell r="R55">
            <v>41989</v>
          </cell>
          <cell r="T55">
            <v>2.5</v>
          </cell>
          <cell r="Y55">
            <v>41989</v>
          </cell>
          <cell r="AA55">
            <v>295.06</v>
          </cell>
          <cell r="AF55">
            <v>41989</v>
          </cell>
          <cell r="AH55">
            <v>104.95671</v>
          </cell>
          <cell r="AM55">
            <v>41989</v>
          </cell>
          <cell r="AO55">
            <v>77.721739999999997</v>
          </cell>
          <cell r="AT55">
            <v>41989</v>
          </cell>
          <cell r="AV55">
            <v>39.088819999999998</v>
          </cell>
          <cell r="BA55">
            <v>41989</v>
          </cell>
          <cell r="BC55">
            <v>15.623609999999999</v>
          </cell>
          <cell r="BH55">
            <v>41989</v>
          </cell>
          <cell r="BJ55">
            <v>23.626380000000001</v>
          </cell>
        </row>
        <row r="56">
          <cell r="D56">
            <v>41988</v>
          </cell>
          <cell r="F56">
            <v>148.21986000000001</v>
          </cell>
          <cell r="K56">
            <v>41988</v>
          </cell>
          <cell r="M56">
            <v>25.88664</v>
          </cell>
          <cell r="R56">
            <v>41988</v>
          </cell>
          <cell r="T56">
            <v>2.4700000000000002</v>
          </cell>
          <cell r="Y56">
            <v>41988</v>
          </cell>
          <cell r="AA56">
            <v>306.07</v>
          </cell>
          <cell r="AF56">
            <v>41988</v>
          </cell>
          <cell r="AH56">
            <v>106.41191999999999</v>
          </cell>
          <cell r="AM56">
            <v>41988</v>
          </cell>
          <cell r="AO56">
            <v>78.183549999999997</v>
          </cell>
          <cell r="AT56">
            <v>41988</v>
          </cell>
          <cell r="AV56">
            <v>39.263019999999997</v>
          </cell>
          <cell r="BA56">
            <v>41988</v>
          </cell>
          <cell r="BC56">
            <v>15.771559999999999</v>
          </cell>
          <cell r="BH56">
            <v>41988</v>
          </cell>
          <cell r="BJ56">
            <v>23.722860000000001</v>
          </cell>
        </row>
        <row r="57">
          <cell r="D57">
            <v>41985</v>
          </cell>
          <cell r="F57">
            <v>150.46648999999999</v>
          </cell>
          <cell r="K57">
            <v>41985</v>
          </cell>
          <cell r="M57">
            <v>26.056439999999998</v>
          </cell>
          <cell r="R57">
            <v>41985</v>
          </cell>
          <cell r="T57">
            <v>2.52</v>
          </cell>
          <cell r="Y57">
            <v>41985</v>
          </cell>
          <cell r="AA57">
            <v>307.32</v>
          </cell>
          <cell r="AF57">
            <v>41985</v>
          </cell>
          <cell r="AH57">
            <v>107.8917</v>
          </cell>
          <cell r="AM57">
            <v>41985</v>
          </cell>
          <cell r="AO57">
            <v>77.91825</v>
          </cell>
          <cell r="AT57">
            <v>41985</v>
          </cell>
          <cell r="AV57">
            <v>39.59207</v>
          </cell>
          <cell r="BA57">
            <v>41985</v>
          </cell>
          <cell r="BC57">
            <v>15.860329999999999</v>
          </cell>
          <cell r="BH57">
            <v>41985</v>
          </cell>
          <cell r="BJ57">
            <v>24.012280000000001</v>
          </cell>
        </row>
        <row r="58">
          <cell r="D58">
            <v>41984</v>
          </cell>
          <cell r="F58">
            <v>155.97656000000001</v>
          </cell>
          <cell r="K58">
            <v>41984</v>
          </cell>
          <cell r="M58">
            <v>26.187419999999999</v>
          </cell>
          <cell r="R58">
            <v>41984</v>
          </cell>
          <cell r="T58">
            <v>2.4900000000000002</v>
          </cell>
          <cell r="Y58">
            <v>41984</v>
          </cell>
          <cell r="AA58">
            <v>307.36</v>
          </cell>
          <cell r="AF58">
            <v>41984</v>
          </cell>
          <cell r="AH58">
            <v>109.75004</v>
          </cell>
          <cell r="AM58">
            <v>41984</v>
          </cell>
          <cell r="AO58">
            <v>79.067869999999999</v>
          </cell>
          <cell r="AT58">
            <v>41984</v>
          </cell>
          <cell r="AV58">
            <v>40.19209</v>
          </cell>
          <cell r="BA58">
            <v>41984</v>
          </cell>
          <cell r="BC58">
            <v>16.64941</v>
          </cell>
          <cell r="BH58">
            <v>41984</v>
          </cell>
          <cell r="BJ58">
            <v>24.513940000000002</v>
          </cell>
        </row>
        <row r="59">
          <cell r="D59">
            <v>41983</v>
          </cell>
          <cell r="F59">
            <v>155.43427</v>
          </cell>
          <cell r="K59">
            <v>41983</v>
          </cell>
          <cell r="M59">
            <v>26.070989999999998</v>
          </cell>
          <cell r="R59">
            <v>41983</v>
          </cell>
          <cell r="T59">
            <v>2.48</v>
          </cell>
          <cell r="Y59">
            <v>41983</v>
          </cell>
          <cell r="AA59">
            <v>305.83999999999997</v>
          </cell>
          <cell r="AF59">
            <v>41983</v>
          </cell>
          <cell r="AH59">
            <v>110.07451</v>
          </cell>
          <cell r="AM59">
            <v>41983</v>
          </cell>
          <cell r="AO59">
            <v>79.077690000000004</v>
          </cell>
          <cell r="AT59">
            <v>41983</v>
          </cell>
          <cell r="AV59">
            <v>40.259839999999997</v>
          </cell>
          <cell r="BA59">
            <v>41983</v>
          </cell>
          <cell r="BC59">
            <v>16.097059999999999</v>
          </cell>
          <cell r="BH59">
            <v>41983</v>
          </cell>
          <cell r="BJ59">
            <v>24.378879999999999</v>
          </cell>
        </row>
        <row r="60">
          <cell r="D60">
            <v>41982</v>
          </cell>
          <cell r="F60">
            <v>157.83584999999999</v>
          </cell>
          <cell r="K60">
            <v>41982</v>
          </cell>
          <cell r="M60">
            <v>26.60463</v>
          </cell>
          <cell r="R60">
            <v>41982</v>
          </cell>
          <cell r="T60">
            <v>2.59</v>
          </cell>
          <cell r="Y60">
            <v>41982</v>
          </cell>
          <cell r="AA60">
            <v>312.5</v>
          </cell>
          <cell r="AF60">
            <v>41982</v>
          </cell>
          <cell r="AH60">
            <v>112.20816000000001</v>
          </cell>
          <cell r="AM60">
            <v>41982</v>
          </cell>
          <cell r="AO60">
            <v>79.873580000000004</v>
          </cell>
          <cell r="AT60">
            <v>41982</v>
          </cell>
          <cell r="AV60">
            <v>40.685659999999999</v>
          </cell>
          <cell r="BA60">
            <v>41982</v>
          </cell>
          <cell r="BC60">
            <v>16.619820000000001</v>
          </cell>
          <cell r="BH60">
            <v>41982</v>
          </cell>
          <cell r="BJ60">
            <v>24.677949999999999</v>
          </cell>
        </row>
        <row r="61">
          <cell r="D61">
            <v>41981</v>
          </cell>
          <cell r="F61">
            <v>156.74158</v>
          </cell>
          <cell r="K61">
            <v>41981</v>
          </cell>
          <cell r="M61">
            <v>26.420280000000002</v>
          </cell>
          <cell r="R61">
            <v>41981</v>
          </cell>
          <cell r="T61">
            <v>2.58</v>
          </cell>
          <cell r="Y61">
            <v>41981</v>
          </cell>
          <cell r="AA61">
            <v>306.64</v>
          </cell>
          <cell r="AF61">
            <v>41981</v>
          </cell>
          <cell r="AH61">
            <v>110.51697</v>
          </cell>
          <cell r="AM61">
            <v>41981</v>
          </cell>
          <cell r="AO61">
            <v>81.052670000000006</v>
          </cell>
          <cell r="AT61">
            <v>41981</v>
          </cell>
          <cell r="AV61">
            <v>41.750219999999999</v>
          </cell>
          <cell r="BA61">
            <v>41981</v>
          </cell>
          <cell r="BC61">
            <v>15.002219999999999</v>
          </cell>
          <cell r="BH61">
            <v>41981</v>
          </cell>
          <cell r="BJ61">
            <v>24.78407</v>
          </cell>
        </row>
        <row r="62">
          <cell r="D62">
            <v>41978</v>
          </cell>
          <cell r="F62">
            <v>158.10699</v>
          </cell>
          <cell r="K62">
            <v>41978</v>
          </cell>
          <cell r="M62">
            <v>26.682259999999999</v>
          </cell>
          <cell r="R62">
            <v>41978</v>
          </cell>
          <cell r="T62">
            <v>2.66</v>
          </cell>
          <cell r="Y62">
            <v>41978</v>
          </cell>
          <cell r="AA62">
            <v>312.63</v>
          </cell>
          <cell r="AF62">
            <v>41978</v>
          </cell>
          <cell r="AH62">
            <v>113.07342</v>
          </cell>
          <cell r="AM62">
            <v>41978</v>
          </cell>
          <cell r="AO62">
            <v>80.797200000000004</v>
          </cell>
          <cell r="AT62">
            <v>41978</v>
          </cell>
          <cell r="AV62">
            <v>42.127659999999999</v>
          </cell>
          <cell r="BA62">
            <v>41978</v>
          </cell>
          <cell r="BC62">
            <v>15.623609999999999</v>
          </cell>
          <cell r="BH62">
            <v>41978</v>
          </cell>
          <cell r="BJ62">
            <v>25.092780000000001</v>
          </cell>
        </row>
        <row r="63">
          <cell r="D63">
            <v>41977</v>
          </cell>
          <cell r="F63">
            <v>158.86232999999999</v>
          </cell>
          <cell r="K63">
            <v>41977</v>
          </cell>
          <cell r="M63">
            <v>26.944230000000001</v>
          </cell>
          <cell r="R63">
            <v>41977</v>
          </cell>
          <cell r="T63">
            <v>2.69</v>
          </cell>
          <cell r="Y63">
            <v>41977</v>
          </cell>
          <cell r="AA63">
            <v>316.93</v>
          </cell>
          <cell r="AF63">
            <v>41977</v>
          </cell>
          <cell r="AH63">
            <v>113.55521</v>
          </cell>
          <cell r="AM63">
            <v>41977</v>
          </cell>
          <cell r="AO63">
            <v>80.797200000000004</v>
          </cell>
          <cell r="AT63">
            <v>41977</v>
          </cell>
          <cell r="AV63">
            <v>42.09863</v>
          </cell>
          <cell r="BA63">
            <v>41977</v>
          </cell>
          <cell r="BC63">
            <v>15.36716</v>
          </cell>
          <cell r="BH63">
            <v>41977</v>
          </cell>
          <cell r="BJ63">
            <v>25.16996</v>
          </cell>
        </row>
        <row r="64">
          <cell r="D64">
            <v>41976</v>
          </cell>
          <cell r="F64">
            <v>159.31746999999999</v>
          </cell>
          <cell r="K64">
            <v>41976</v>
          </cell>
          <cell r="M64">
            <v>27.118870000000001</v>
          </cell>
          <cell r="R64">
            <v>41976</v>
          </cell>
          <cell r="T64">
            <v>2.74</v>
          </cell>
          <cell r="Y64">
            <v>41976</v>
          </cell>
          <cell r="AA64">
            <v>316.5</v>
          </cell>
          <cell r="AF64">
            <v>41976</v>
          </cell>
          <cell r="AH64">
            <v>113.98784000000001</v>
          </cell>
          <cell r="AM64">
            <v>41976</v>
          </cell>
          <cell r="AO64">
            <v>80.522080000000003</v>
          </cell>
          <cell r="AT64">
            <v>41976</v>
          </cell>
          <cell r="AV64">
            <v>42.388959999999997</v>
          </cell>
          <cell r="BA64">
            <v>41976</v>
          </cell>
          <cell r="BC64">
            <v>15.584160000000001</v>
          </cell>
          <cell r="BH64">
            <v>41976</v>
          </cell>
          <cell r="BJ64">
            <v>25.449739999999998</v>
          </cell>
        </row>
        <row r="65">
          <cell r="D65">
            <v>41975</v>
          </cell>
          <cell r="F65">
            <v>157.52597</v>
          </cell>
          <cell r="K65">
            <v>41975</v>
          </cell>
          <cell r="M65">
            <v>26.992740000000001</v>
          </cell>
          <cell r="R65">
            <v>41975</v>
          </cell>
          <cell r="T65">
            <v>2.68</v>
          </cell>
          <cell r="Y65">
            <v>41975</v>
          </cell>
          <cell r="AA65">
            <v>326.31</v>
          </cell>
          <cell r="AF65">
            <v>41975</v>
          </cell>
          <cell r="AH65">
            <v>112.70961</v>
          </cell>
          <cell r="AM65">
            <v>41975</v>
          </cell>
          <cell r="AO65">
            <v>80.698939999999993</v>
          </cell>
          <cell r="AT65">
            <v>41975</v>
          </cell>
          <cell r="AV65">
            <v>43.105119999999999</v>
          </cell>
          <cell r="BA65">
            <v>41975</v>
          </cell>
          <cell r="BC65">
            <v>15.12058</v>
          </cell>
          <cell r="BH65">
            <v>41975</v>
          </cell>
          <cell r="BJ65">
            <v>25.13137</v>
          </cell>
        </row>
        <row r="66">
          <cell r="D66">
            <v>41974</v>
          </cell>
          <cell r="F66">
            <v>156.43170000000001</v>
          </cell>
          <cell r="K66">
            <v>41974</v>
          </cell>
          <cell r="M66">
            <v>26.769580000000001</v>
          </cell>
          <cell r="R66">
            <v>41974</v>
          </cell>
          <cell r="T66">
            <v>2.67</v>
          </cell>
          <cell r="Y66">
            <v>41974</v>
          </cell>
          <cell r="AA66">
            <v>326</v>
          </cell>
          <cell r="AF66">
            <v>41974</v>
          </cell>
          <cell r="AH66">
            <v>113.14224</v>
          </cell>
          <cell r="AM66">
            <v>41974</v>
          </cell>
          <cell r="AO66">
            <v>80.571209999999994</v>
          </cell>
          <cell r="AT66">
            <v>41974</v>
          </cell>
          <cell r="AV66">
            <v>43.114800000000002</v>
          </cell>
          <cell r="BA66">
            <v>41974</v>
          </cell>
          <cell r="BC66">
            <v>15.248799999999999</v>
          </cell>
          <cell r="BH66">
            <v>41974</v>
          </cell>
          <cell r="BJ66">
            <v>25.102429999999998</v>
          </cell>
        </row>
        <row r="67">
          <cell r="D67">
            <v>41971</v>
          </cell>
          <cell r="F67">
            <v>157.04177999999999</v>
          </cell>
          <cell r="K67">
            <v>41971</v>
          </cell>
          <cell r="M67">
            <v>26.818090000000002</v>
          </cell>
          <cell r="R67">
            <v>41971</v>
          </cell>
          <cell r="T67">
            <v>2.79</v>
          </cell>
          <cell r="Y67">
            <v>41971</v>
          </cell>
          <cell r="AA67">
            <v>338.64</v>
          </cell>
          <cell r="AF67">
            <v>41971</v>
          </cell>
          <cell r="AH67">
            <v>116.93758</v>
          </cell>
          <cell r="AM67">
            <v>41971</v>
          </cell>
          <cell r="AO67">
            <v>80.757900000000006</v>
          </cell>
          <cell r="AT67">
            <v>41971</v>
          </cell>
          <cell r="AV67">
            <v>43.385779999999997</v>
          </cell>
          <cell r="BA67">
            <v>41971</v>
          </cell>
          <cell r="BC67">
            <v>15.820880000000001</v>
          </cell>
          <cell r="BH67">
            <v>41971</v>
          </cell>
          <cell r="BJ67">
            <v>25.555859999999999</v>
          </cell>
        </row>
        <row r="68">
          <cell r="D68">
            <v>41969</v>
          </cell>
          <cell r="F68">
            <v>156.82873000000001</v>
          </cell>
          <cell r="K68">
            <v>41969</v>
          </cell>
          <cell r="M68">
            <v>26.609490000000001</v>
          </cell>
          <cell r="R68">
            <v>41969</v>
          </cell>
          <cell r="T68">
            <v>2.84</v>
          </cell>
          <cell r="Y68">
            <v>41969</v>
          </cell>
          <cell r="AA68">
            <v>333.57</v>
          </cell>
          <cell r="AF68">
            <v>41969</v>
          </cell>
          <cell r="AH68">
            <v>117.0064</v>
          </cell>
          <cell r="AM68">
            <v>41969</v>
          </cell>
          <cell r="AO68">
            <v>80.079920000000001</v>
          </cell>
          <cell r="AT68">
            <v>41969</v>
          </cell>
          <cell r="AV68">
            <v>42.86318</v>
          </cell>
          <cell r="BA68">
            <v>41969</v>
          </cell>
          <cell r="BC68">
            <v>16.895990000000001</v>
          </cell>
          <cell r="BH68">
            <v>41969</v>
          </cell>
          <cell r="BJ68">
            <v>25.922460000000001</v>
          </cell>
        </row>
        <row r="69">
          <cell r="D69">
            <v>41968</v>
          </cell>
          <cell r="F69">
            <v>156.64474000000001</v>
          </cell>
          <cell r="K69">
            <v>41968</v>
          </cell>
          <cell r="M69">
            <v>26.468800000000002</v>
          </cell>
          <cell r="R69">
            <v>41968</v>
          </cell>
          <cell r="T69">
            <v>2.83</v>
          </cell>
          <cell r="Y69">
            <v>41968</v>
          </cell>
          <cell r="AA69">
            <v>335.04</v>
          </cell>
          <cell r="AF69">
            <v>41968</v>
          </cell>
          <cell r="AH69">
            <v>115.62985999999999</v>
          </cell>
          <cell r="AM69">
            <v>41968</v>
          </cell>
          <cell r="AO69">
            <v>79.568979999999996</v>
          </cell>
          <cell r="AT69">
            <v>41968</v>
          </cell>
          <cell r="AV69">
            <v>42.703490000000002</v>
          </cell>
          <cell r="BA69">
            <v>41968</v>
          </cell>
          <cell r="BC69">
            <v>17.12285</v>
          </cell>
          <cell r="BH69">
            <v>41968</v>
          </cell>
          <cell r="BJ69">
            <v>25.91281</v>
          </cell>
        </row>
        <row r="70">
          <cell r="D70">
            <v>41967</v>
          </cell>
          <cell r="F70">
            <v>157.02241000000001</v>
          </cell>
          <cell r="K70">
            <v>41967</v>
          </cell>
          <cell r="M70">
            <v>26.226230000000001</v>
          </cell>
          <cell r="R70">
            <v>41967</v>
          </cell>
          <cell r="T70">
            <v>2.83</v>
          </cell>
          <cell r="Y70">
            <v>41967</v>
          </cell>
          <cell r="AA70">
            <v>335.64</v>
          </cell>
          <cell r="AF70">
            <v>41967</v>
          </cell>
          <cell r="AH70">
            <v>116.63769000000001</v>
          </cell>
          <cell r="AM70">
            <v>41967</v>
          </cell>
          <cell r="AO70">
            <v>79.559160000000006</v>
          </cell>
          <cell r="AT70">
            <v>41967</v>
          </cell>
          <cell r="AV70">
            <v>42.549709999999997</v>
          </cell>
          <cell r="BA70">
            <v>41967</v>
          </cell>
          <cell r="BC70">
            <v>16.945309999999999</v>
          </cell>
          <cell r="BH70">
            <v>41967</v>
          </cell>
          <cell r="BJ70">
            <v>26.04787</v>
          </cell>
        </row>
        <row r="71">
          <cell r="D71">
            <v>41964</v>
          </cell>
          <cell r="F71">
            <v>155.83131</v>
          </cell>
          <cell r="K71">
            <v>41964</v>
          </cell>
          <cell r="M71">
            <v>26.080690000000001</v>
          </cell>
          <cell r="R71">
            <v>41964</v>
          </cell>
          <cell r="T71">
            <v>2.77</v>
          </cell>
          <cell r="Y71">
            <v>41964</v>
          </cell>
          <cell r="AA71">
            <v>332.63</v>
          </cell>
          <cell r="AF71">
            <v>41964</v>
          </cell>
          <cell r="AH71">
            <v>114.51879</v>
          </cell>
          <cell r="AM71">
            <v>41964</v>
          </cell>
          <cell r="AO71">
            <v>78.163899999999998</v>
          </cell>
          <cell r="AT71">
            <v>41964</v>
          </cell>
          <cell r="AV71">
            <v>42.770769999999999</v>
          </cell>
          <cell r="BA71">
            <v>41964</v>
          </cell>
          <cell r="BC71">
            <v>16.678999999999998</v>
          </cell>
          <cell r="BH71">
            <v>41964</v>
          </cell>
          <cell r="BJ71">
            <v>26.038219999999999</v>
          </cell>
        </row>
        <row r="72">
          <cell r="D72">
            <v>41963</v>
          </cell>
          <cell r="F72">
            <v>155.56016</v>
          </cell>
          <cell r="K72">
            <v>41963</v>
          </cell>
          <cell r="M72">
            <v>26.01277</v>
          </cell>
          <cell r="R72">
            <v>41963</v>
          </cell>
          <cell r="T72">
            <v>2.69</v>
          </cell>
          <cell r="Y72">
            <v>41963</v>
          </cell>
          <cell r="AA72">
            <v>330.54</v>
          </cell>
          <cell r="AF72">
            <v>41963</v>
          </cell>
          <cell r="AH72">
            <v>114.36147</v>
          </cell>
          <cell r="AM72">
            <v>41963</v>
          </cell>
          <cell r="AO72">
            <v>77.495750000000001</v>
          </cell>
          <cell r="AT72">
            <v>41963</v>
          </cell>
          <cell r="AV72">
            <v>42.53049</v>
          </cell>
          <cell r="BA72">
            <v>41963</v>
          </cell>
          <cell r="BC72">
            <v>16.55077</v>
          </cell>
          <cell r="BH72">
            <v>41963</v>
          </cell>
          <cell r="BJ72">
            <v>25.90316</v>
          </cell>
        </row>
        <row r="73">
          <cell r="D73">
            <v>41962</v>
          </cell>
          <cell r="F73">
            <v>156.32517999999999</v>
          </cell>
          <cell r="K73">
            <v>41962</v>
          </cell>
          <cell r="M73">
            <v>25.799320000000002</v>
          </cell>
          <cell r="R73">
            <v>41962</v>
          </cell>
          <cell r="T73">
            <v>2.63</v>
          </cell>
          <cell r="Y73">
            <v>41962</v>
          </cell>
          <cell r="AA73">
            <v>326.54000000000002</v>
          </cell>
          <cell r="AF73">
            <v>41962</v>
          </cell>
          <cell r="AH73">
            <v>112.74894</v>
          </cell>
          <cell r="AM73">
            <v>41962</v>
          </cell>
          <cell r="AO73">
            <v>78.340760000000003</v>
          </cell>
          <cell r="AT73">
            <v>41962</v>
          </cell>
          <cell r="AV73">
            <v>42.501649999999998</v>
          </cell>
          <cell r="BA73">
            <v>41962</v>
          </cell>
          <cell r="BC73">
            <v>16.531040000000001</v>
          </cell>
          <cell r="BH73">
            <v>41962</v>
          </cell>
          <cell r="BJ73">
            <v>25.970690000000001</v>
          </cell>
        </row>
        <row r="74">
          <cell r="D74">
            <v>41961</v>
          </cell>
          <cell r="F74">
            <v>156.77063000000001</v>
          </cell>
          <cell r="K74">
            <v>41961</v>
          </cell>
          <cell r="M74">
            <v>25.804169999999999</v>
          </cell>
          <cell r="R74">
            <v>41961</v>
          </cell>
          <cell r="T74">
            <v>2.65</v>
          </cell>
          <cell r="Y74">
            <v>41961</v>
          </cell>
          <cell r="AA74">
            <v>324.93</v>
          </cell>
          <cell r="AF74">
            <v>41961</v>
          </cell>
          <cell r="AH74">
            <v>113.53554</v>
          </cell>
          <cell r="AM74">
            <v>41961</v>
          </cell>
          <cell r="AO74">
            <v>79.598460000000003</v>
          </cell>
          <cell r="AT74">
            <v>41961</v>
          </cell>
          <cell r="AV74">
            <v>41.838470000000001</v>
          </cell>
          <cell r="BA74">
            <v>41961</v>
          </cell>
          <cell r="BC74">
            <v>16.609950000000001</v>
          </cell>
          <cell r="BH74">
            <v>41961</v>
          </cell>
          <cell r="BJ74">
            <v>26.05752</v>
          </cell>
        </row>
        <row r="75">
          <cell r="D75">
            <v>41960</v>
          </cell>
          <cell r="F75">
            <v>158.96885</v>
          </cell>
          <cell r="K75">
            <v>41960</v>
          </cell>
          <cell r="M75">
            <v>25.67803</v>
          </cell>
          <cell r="R75">
            <v>41960</v>
          </cell>
          <cell r="T75">
            <v>2.67</v>
          </cell>
          <cell r="Y75">
            <v>41960</v>
          </cell>
          <cell r="AA75">
            <v>323.05</v>
          </cell>
          <cell r="AF75">
            <v>41960</v>
          </cell>
          <cell r="AH75">
            <v>112.08034000000001</v>
          </cell>
          <cell r="AM75">
            <v>41960</v>
          </cell>
          <cell r="AO75">
            <v>78.959779999999995</v>
          </cell>
          <cell r="AT75">
            <v>41960</v>
          </cell>
          <cell r="AV75">
            <v>41.25217</v>
          </cell>
          <cell r="BA75">
            <v>41960</v>
          </cell>
          <cell r="BC75">
            <v>16.669129999999999</v>
          </cell>
          <cell r="BH75">
            <v>41960</v>
          </cell>
          <cell r="BJ75">
            <v>25.671620000000001</v>
          </cell>
        </row>
        <row r="76">
          <cell r="D76">
            <v>41957</v>
          </cell>
          <cell r="F76">
            <v>158.96885</v>
          </cell>
          <cell r="K76">
            <v>41957</v>
          </cell>
          <cell r="M76">
            <v>25.53734</v>
          </cell>
          <cell r="R76">
            <v>41957</v>
          </cell>
          <cell r="T76">
            <v>2.61</v>
          </cell>
          <cell r="Y76">
            <v>41957</v>
          </cell>
          <cell r="AA76">
            <v>327.82</v>
          </cell>
          <cell r="AF76">
            <v>41957</v>
          </cell>
          <cell r="AH76">
            <v>112.26715</v>
          </cell>
          <cell r="AM76">
            <v>41957</v>
          </cell>
          <cell r="AO76">
            <v>78.949960000000004</v>
          </cell>
          <cell r="AT76">
            <v>41957</v>
          </cell>
          <cell r="AV76">
            <v>41.06955</v>
          </cell>
          <cell r="BA76">
            <v>41957</v>
          </cell>
          <cell r="BC76">
            <v>17.182030000000001</v>
          </cell>
          <cell r="BH76">
            <v>41957</v>
          </cell>
          <cell r="BJ76">
            <v>25.526910000000001</v>
          </cell>
        </row>
        <row r="77">
          <cell r="D77">
            <v>41956</v>
          </cell>
          <cell r="F77">
            <v>157.64216999999999</v>
          </cell>
          <cell r="K77">
            <v>41956</v>
          </cell>
          <cell r="M77">
            <v>24.91638</v>
          </cell>
          <cell r="R77">
            <v>41956</v>
          </cell>
          <cell r="T77">
            <v>2.66</v>
          </cell>
          <cell r="Y77">
            <v>41956</v>
          </cell>
          <cell r="AA77">
            <v>316.48</v>
          </cell>
          <cell r="AF77">
            <v>41956</v>
          </cell>
          <cell r="AH77">
            <v>110.92994</v>
          </cell>
          <cell r="AM77">
            <v>41956</v>
          </cell>
          <cell r="AO77">
            <v>79.254559999999998</v>
          </cell>
          <cell r="AT77">
            <v>41956</v>
          </cell>
          <cell r="AV77">
            <v>41.127220000000001</v>
          </cell>
          <cell r="BA77">
            <v>41956</v>
          </cell>
          <cell r="BC77">
            <v>16.609950000000001</v>
          </cell>
          <cell r="BH77">
            <v>41956</v>
          </cell>
          <cell r="BJ77">
            <v>25.488320000000002</v>
          </cell>
        </row>
        <row r="78">
          <cell r="D78">
            <v>41955</v>
          </cell>
          <cell r="F78">
            <v>156.79968</v>
          </cell>
          <cell r="K78">
            <v>41955</v>
          </cell>
          <cell r="M78">
            <v>24.363330000000001</v>
          </cell>
          <cell r="R78">
            <v>41955</v>
          </cell>
          <cell r="T78">
            <v>2.71</v>
          </cell>
          <cell r="Y78">
            <v>41955</v>
          </cell>
          <cell r="AA78">
            <v>311.51</v>
          </cell>
          <cell r="AF78">
            <v>41955</v>
          </cell>
          <cell r="AH78">
            <v>109.38624</v>
          </cell>
          <cell r="AM78">
            <v>41955</v>
          </cell>
          <cell r="AO78">
            <v>78.841880000000003</v>
          </cell>
          <cell r="AT78">
            <v>41955</v>
          </cell>
          <cell r="AV78">
            <v>41.050330000000002</v>
          </cell>
          <cell r="BA78">
            <v>41955</v>
          </cell>
          <cell r="BC78">
            <v>17.043939999999999</v>
          </cell>
          <cell r="BH78">
            <v>41955</v>
          </cell>
          <cell r="BJ78">
            <v>25.584800000000001</v>
          </cell>
        </row>
        <row r="79">
          <cell r="D79">
            <v>41954</v>
          </cell>
          <cell r="F79">
            <v>158.13604000000001</v>
          </cell>
          <cell r="K79">
            <v>41954</v>
          </cell>
          <cell r="M79">
            <v>24.402139999999999</v>
          </cell>
          <cell r="R79">
            <v>41954</v>
          </cell>
          <cell r="T79">
            <v>2.73</v>
          </cell>
          <cell r="Y79">
            <v>41954</v>
          </cell>
          <cell r="AA79">
            <v>312.01</v>
          </cell>
          <cell r="AF79">
            <v>41954</v>
          </cell>
          <cell r="AH79">
            <v>107.86221</v>
          </cell>
          <cell r="AM79">
            <v>41954</v>
          </cell>
          <cell r="AO79">
            <v>78.213030000000003</v>
          </cell>
          <cell r="AT79">
            <v>41954</v>
          </cell>
          <cell r="AV79">
            <v>40.8581</v>
          </cell>
          <cell r="BA79">
            <v>41954</v>
          </cell>
          <cell r="BC79">
            <v>16.984760000000001</v>
          </cell>
          <cell r="BH79">
            <v>41954</v>
          </cell>
          <cell r="BJ79">
            <v>25.449739999999998</v>
          </cell>
        </row>
        <row r="80">
          <cell r="D80">
            <v>41953</v>
          </cell>
          <cell r="F80">
            <v>158.32004000000001</v>
          </cell>
          <cell r="K80">
            <v>41953</v>
          </cell>
          <cell r="M80">
            <v>24.402139999999999</v>
          </cell>
          <cell r="R80">
            <v>41953</v>
          </cell>
          <cell r="T80">
            <v>2.76</v>
          </cell>
          <cell r="Y80">
            <v>41953</v>
          </cell>
          <cell r="AA80">
            <v>305.11</v>
          </cell>
          <cell r="AF80">
            <v>41953</v>
          </cell>
          <cell r="AH80">
            <v>107.00678000000001</v>
          </cell>
          <cell r="AM80">
            <v>41953</v>
          </cell>
          <cell r="AO80">
            <v>77.711910000000003</v>
          </cell>
          <cell r="AT80">
            <v>41953</v>
          </cell>
          <cell r="AV80">
            <v>40.74277</v>
          </cell>
          <cell r="BA80">
            <v>41953</v>
          </cell>
          <cell r="BC80">
            <v>17.30039</v>
          </cell>
          <cell r="BH80">
            <v>41953</v>
          </cell>
          <cell r="BJ80">
            <v>25.536560000000001</v>
          </cell>
        </row>
        <row r="81">
          <cell r="D81">
            <v>41950</v>
          </cell>
          <cell r="F81">
            <v>156.94494</v>
          </cell>
          <cell r="K81">
            <v>41950</v>
          </cell>
          <cell r="M81">
            <v>24.576779999999999</v>
          </cell>
          <cell r="R81">
            <v>41950</v>
          </cell>
          <cell r="T81">
            <v>2.78</v>
          </cell>
          <cell r="Y81">
            <v>41950</v>
          </cell>
          <cell r="AA81">
            <v>299.86</v>
          </cell>
          <cell r="AF81">
            <v>41950</v>
          </cell>
          <cell r="AH81">
            <v>107.18377</v>
          </cell>
          <cell r="AM81">
            <v>41950</v>
          </cell>
          <cell r="AO81">
            <v>76.906199999999998</v>
          </cell>
          <cell r="AT81">
            <v>41950</v>
          </cell>
          <cell r="AV81">
            <v>40.675490000000003</v>
          </cell>
          <cell r="BA81">
            <v>41950</v>
          </cell>
          <cell r="BC81">
            <v>17.260940000000002</v>
          </cell>
          <cell r="BH81">
            <v>41950</v>
          </cell>
          <cell r="BJ81">
            <v>25.478680000000001</v>
          </cell>
        </row>
        <row r="82">
          <cell r="D82">
            <v>41949</v>
          </cell>
          <cell r="F82">
            <v>156.35423</v>
          </cell>
          <cell r="K82">
            <v>41949</v>
          </cell>
          <cell r="M82">
            <v>24.508859999999999</v>
          </cell>
          <cell r="R82">
            <v>41949</v>
          </cell>
          <cell r="T82">
            <v>2.76</v>
          </cell>
          <cell r="Y82">
            <v>41949</v>
          </cell>
          <cell r="AA82">
            <v>296.64</v>
          </cell>
          <cell r="AF82">
            <v>41949</v>
          </cell>
          <cell r="AH82">
            <v>106.87896000000001</v>
          </cell>
          <cell r="AM82">
            <v>41949</v>
          </cell>
          <cell r="AO82">
            <v>78.213030000000003</v>
          </cell>
          <cell r="AT82">
            <v>41949</v>
          </cell>
          <cell r="AV82">
            <v>40.646650000000001</v>
          </cell>
          <cell r="BA82">
            <v>41949</v>
          </cell>
          <cell r="BC82">
            <v>17.30039</v>
          </cell>
          <cell r="BH82">
            <v>41949</v>
          </cell>
          <cell r="BJ82">
            <v>25.430440000000001</v>
          </cell>
        </row>
        <row r="83">
          <cell r="D83">
            <v>41948</v>
          </cell>
          <cell r="F83">
            <v>155.63763</v>
          </cell>
          <cell r="K83">
            <v>41948</v>
          </cell>
          <cell r="M83">
            <v>24.402139999999999</v>
          </cell>
          <cell r="R83">
            <v>41948</v>
          </cell>
          <cell r="T83">
            <v>2.8</v>
          </cell>
          <cell r="Y83">
            <v>41948</v>
          </cell>
          <cell r="AA83">
            <v>296.52</v>
          </cell>
          <cell r="AF83">
            <v>41948</v>
          </cell>
          <cell r="AH83">
            <v>106.57415</v>
          </cell>
          <cell r="AM83">
            <v>41948</v>
          </cell>
          <cell r="AO83">
            <v>77.535049999999998</v>
          </cell>
          <cell r="AT83">
            <v>41948</v>
          </cell>
          <cell r="AV83">
            <v>40.665869999999998</v>
          </cell>
          <cell r="BA83">
            <v>41948</v>
          </cell>
          <cell r="BC83">
            <v>17.59629</v>
          </cell>
          <cell r="BH83">
            <v>41948</v>
          </cell>
          <cell r="BJ83">
            <v>24.909479999999999</v>
          </cell>
        </row>
        <row r="84">
          <cell r="D84">
            <v>41947</v>
          </cell>
          <cell r="F84">
            <v>156.43592000000001</v>
          </cell>
          <cell r="K84">
            <v>41947</v>
          </cell>
          <cell r="M84">
            <v>24.140160000000002</v>
          </cell>
          <cell r="R84">
            <v>41947</v>
          </cell>
          <cell r="T84">
            <v>2.83</v>
          </cell>
          <cell r="Y84">
            <v>41947</v>
          </cell>
          <cell r="AA84">
            <v>302.81</v>
          </cell>
          <cell r="AF84">
            <v>41947</v>
          </cell>
          <cell r="AH84">
            <v>106.31961</v>
          </cell>
          <cell r="AM84">
            <v>41947</v>
          </cell>
          <cell r="AO84">
            <v>78.124600000000001</v>
          </cell>
          <cell r="AT84">
            <v>41947</v>
          </cell>
          <cell r="AV84">
            <v>40.19491</v>
          </cell>
          <cell r="BA84">
            <v>41947</v>
          </cell>
          <cell r="BC84">
            <v>17.59629</v>
          </cell>
          <cell r="BH84">
            <v>41947</v>
          </cell>
          <cell r="BJ84">
            <v>24.79372</v>
          </cell>
        </row>
        <row r="85">
          <cell r="D85">
            <v>41946</v>
          </cell>
          <cell r="F85">
            <v>158.08059</v>
          </cell>
          <cell r="K85">
            <v>41946</v>
          </cell>
          <cell r="M85">
            <v>23.84909</v>
          </cell>
          <cell r="R85">
            <v>41946</v>
          </cell>
          <cell r="T85">
            <v>2.87</v>
          </cell>
          <cell r="Y85">
            <v>41946</v>
          </cell>
          <cell r="AA85">
            <v>305.72000000000003</v>
          </cell>
          <cell r="AF85">
            <v>41946</v>
          </cell>
          <cell r="AH85">
            <v>107.10281000000001</v>
          </cell>
          <cell r="AM85">
            <v>41946</v>
          </cell>
          <cell r="AO85">
            <v>77.210800000000006</v>
          </cell>
          <cell r="AT85">
            <v>41946</v>
          </cell>
          <cell r="AV85">
            <v>40.185299999999998</v>
          </cell>
          <cell r="BA85">
            <v>41946</v>
          </cell>
          <cell r="BC85">
            <v>18.1585</v>
          </cell>
          <cell r="BH85">
            <v>41946</v>
          </cell>
          <cell r="BJ85">
            <v>24.79372</v>
          </cell>
        </row>
        <row r="86">
          <cell r="D86">
            <v>41943</v>
          </cell>
          <cell r="F86">
            <v>158.11905999999999</v>
          </cell>
          <cell r="K86">
            <v>41943</v>
          </cell>
          <cell r="M86">
            <v>23.742360000000001</v>
          </cell>
          <cell r="R86">
            <v>41943</v>
          </cell>
          <cell r="T86">
            <v>2.8</v>
          </cell>
          <cell r="Y86">
            <v>41943</v>
          </cell>
          <cell r="AA86">
            <v>305.45999999999998</v>
          </cell>
          <cell r="AF86">
            <v>41943</v>
          </cell>
          <cell r="AH86">
            <v>105.73220999999999</v>
          </cell>
          <cell r="AM86">
            <v>41943</v>
          </cell>
          <cell r="AO86">
            <v>77.112539999999996</v>
          </cell>
          <cell r="AT86">
            <v>41943</v>
          </cell>
          <cell r="AV86">
            <v>40.252580000000002</v>
          </cell>
          <cell r="BA86">
            <v>41943</v>
          </cell>
          <cell r="BC86">
            <v>17.96124</v>
          </cell>
          <cell r="BH86">
            <v>41943</v>
          </cell>
          <cell r="BJ86">
            <v>24.899840000000001</v>
          </cell>
        </row>
        <row r="87">
          <cell r="D87">
            <v>41942</v>
          </cell>
          <cell r="F87">
            <v>158.07096999999999</v>
          </cell>
          <cell r="K87">
            <v>41942</v>
          </cell>
          <cell r="M87">
            <v>23.363949999999999</v>
          </cell>
          <cell r="R87">
            <v>41942</v>
          </cell>
          <cell r="T87">
            <v>2.75</v>
          </cell>
          <cell r="Y87">
            <v>41942</v>
          </cell>
          <cell r="AA87">
            <v>299.07</v>
          </cell>
          <cell r="AF87">
            <v>41942</v>
          </cell>
          <cell r="AH87">
            <v>104.73363000000001</v>
          </cell>
          <cell r="AM87">
            <v>41942</v>
          </cell>
          <cell r="AO87">
            <v>76.827600000000004</v>
          </cell>
          <cell r="AT87">
            <v>41942</v>
          </cell>
          <cell r="AV87">
            <v>39.791240000000002</v>
          </cell>
          <cell r="BA87">
            <v>41942</v>
          </cell>
          <cell r="BC87">
            <v>17.369430000000001</v>
          </cell>
          <cell r="BH87">
            <v>41942</v>
          </cell>
          <cell r="BJ87">
            <v>24.764769999999999</v>
          </cell>
        </row>
        <row r="88">
          <cell r="D88">
            <v>41941</v>
          </cell>
          <cell r="F88">
            <v>157.21496999999999</v>
          </cell>
          <cell r="K88">
            <v>41941</v>
          </cell>
          <cell r="M88">
            <v>23.38336</v>
          </cell>
          <cell r="R88">
            <v>41941</v>
          </cell>
          <cell r="T88">
            <v>2.77</v>
          </cell>
          <cell r="Y88">
            <v>41941</v>
          </cell>
          <cell r="AA88">
            <v>294.12</v>
          </cell>
          <cell r="AF88">
            <v>41941</v>
          </cell>
          <cell r="AH88">
            <v>105.08607000000001</v>
          </cell>
          <cell r="AM88">
            <v>41941</v>
          </cell>
          <cell r="AO88">
            <v>76.71951</v>
          </cell>
          <cell r="AT88">
            <v>41941</v>
          </cell>
          <cell r="AV88">
            <v>39.36833</v>
          </cell>
          <cell r="BA88">
            <v>41941</v>
          </cell>
          <cell r="BC88">
            <v>17.12285</v>
          </cell>
          <cell r="BH88">
            <v>41941</v>
          </cell>
          <cell r="BJ88">
            <v>24.755130000000001</v>
          </cell>
        </row>
        <row r="89">
          <cell r="D89">
            <v>41940</v>
          </cell>
          <cell r="F89">
            <v>157.34962999999999</v>
          </cell>
          <cell r="K89">
            <v>41940</v>
          </cell>
          <cell r="M89">
            <v>23.349399999999999</v>
          </cell>
          <cell r="R89">
            <v>41940</v>
          </cell>
          <cell r="T89">
            <v>2.72</v>
          </cell>
          <cell r="Y89">
            <v>41940</v>
          </cell>
          <cell r="AA89">
            <v>295.58999999999997</v>
          </cell>
          <cell r="AF89">
            <v>41940</v>
          </cell>
          <cell r="AH89">
            <v>104.49867</v>
          </cell>
          <cell r="AM89">
            <v>41940</v>
          </cell>
          <cell r="AO89">
            <v>77.122370000000004</v>
          </cell>
          <cell r="AT89">
            <v>41940</v>
          </cell>
          <cell r="AV89">
            <v>38.983879999999999</v>
          </cell>
          <cell r="BA89">
            <v>41940</v>
          </cell>
          <cell r="BC89">
            <v>17.842880000000001</v>
          </cell>
          <cell r="BH89">
            <v>41940</v>
          </cell>
          <cell r="BJ89">
            <v>24.967369999999999</v>
          </cell>
        </row>
        <row r="90">
          <cell r="D90">
            <v>41939</v>
          </cell>
          <cell r="F90">
            <v>155.68572</v>
          </cell>
          <cell r="K90">
            <v>41939</v>
          </cell>
          <cell r="M90">
            <v>23.053470000000001</v>
          </cell>
          <cell r="R90">
            <v>41939</v>
          </cell>
          <cell r="T90">
            <v>2.66</v>
          </cell>
          <cell r="Y90">
            <v>41939</v>
          </cell>
          <cell r="AA90">
            <v>289.97000000000003</v>
          </cell>
          <cell r="AF90">
            <v>41939</v>
          </cell>
          <cell r="AH90">
            <v>102.9029</v>
          </cell>
          <cell r="AM90">
            <v>41939</v>
          </cell>
          <cell r="AO90">
            <v>77.043760000000006</v>
          </cell>
          <cell r="AT90">
            <v>41939</v>
          </cell>
          <cell r="AV90">
            <v>39.176110000000001</v>
          </cell>
          <cell r="BA90">
            <v>41939</v>
          </cell>
          <cell r="BC90">
            <v>16.708590000000001</v>
          </cell>
          <cell r="BH90">
            <v>41939</v>
          </cell>
          <cell r="BJ90">
            <v>24.620059999999999</v>
          </cell>
        </row>
        <row r="91">
          <cell r="D91">
            <v>41936</v>
          </cell>
          <cell r="F91">
            <v>155.8877</v>
          </cell>
          <cell r="K91">
            <v>41936</v>
          </cell>
          <cell r="M91">
            <v>23.072870000000002</v>
          </cell>
          <cell r="R91">
            <v>41936</v>
          </cell>
          <cell r="T91">
            <v>2.68</v>
          </cell>
          <cell r="Y91">
            <v>41936</v>
          </cell>
          <cell r="AA91">
            <v>287.06</v>
          </cell>
          <cell r="AF91">
            <v>41936</v>
          </cell>
          <cell r="AH91">
            <v>103.01058999999999</v>
          </cell>
          <cell r="AM91">
            <v>41936</v>
          </cell>
          <cell r="AO91">
            <v>75.756590000000003</v>
          </cell>
          <cell r="AT91">
            <v>41936</v>
          </cell>
          <cell r="AV91">
            <v>39.435609999999997</v>
          </cell>
          <cell r="BA91">
            <v>41936</v>
          </cell>
          <cell r="BC91">
            <v>16.600090000000002</v>
          </cell>
          <cell r="BH91">
            <v>41936</v>
          </cell>
          <cell r="BJ91">
            <v>24.73583</v>
          </cell>
        </row>
        <row r="92">
          <cell r="D92">
            <v>41935</v>
          </cell>
          <cell r="F92">
            <v>155.98388</v>
          </cell>
          <cell r="K92">
            <v>41935</v>
          </cell>
          <cell r="M92">
            <v>22.864270000000001</v>
          </cell>
          <cell r="R92">
            <v>41935</v>
          </cell>
          <cell r="T92">
            <v>2.69</v>
          </cell>
          <cell r="Y92">
            <v>41935</v>
          </cell>
          <cell r="AA92">
            <v>313.18</v>
          </cell>
          <cell r="AF92">
            <v>41935</v>
          </cell>
          <cell r="AH92">
            <v>102.62878000000001</v>
          </cell>
          <cell r="AM92">
            <v>41935</v>
          </cell>
          <cell r="AO92">
            <v>75.117909999999995</v>
          </cell>
          <cell r="AT92">
            <v>41935</v>
          </cell>
          <cell r="AV92">
            <v>39.272219999999997</v>
          </cell>
          <cell r="BA92">
            <v>41935</v>
          </cell>
          <cell r="BC92">
            <v>16.92558</v>
          </cell>
          <cell r="BH92">
            <v>41935</v>
          </cell>
          <cell r="BJ92">
            <v>24.54288</v>
          </cell>
        </row>
        <row r="93">
          <cell r="D93">
            <v>41934</v>
          </cell>
          <cell r="F93">
            <v>155.60878</v>
          </cell>
          <cell r="K93">
            <v>41934</v>
          </cell>
          <cell r="M93">
            <v>22.568339999999999</v>
          </cell>
          <cell r="R93">
            <v>41934</v>
          </cell>
          <cell r="T93">
            <v>2.64</v>
          </cell>
          <cell r="Y93">
            <v>41934</v>
          </cell>
          <cell r="AA93">
            <v>312.97000000000003</v>
          </cell>
          <cell r="AF93">
            <v>41934</v>
          </cell>
          <cell r="AH93">
            <v>100.82741</v>
          </cell>
          <cell r="AM93">
            <v>41934</v>
          </cell>
          <cell r="AO93">
            <v>74.675749999999994</v>
          </cell>
          <cell r="AT93">
            <v>41934</v>
          </cell>
          <cell r="AV93">
            <v>39.041550000000001</v>
          </cell>
          <cell r="BA93">
            <v>41934</v>
          </cell>
          <cell r="BC93">
            <v>16.570499999999999</v>
          </cell>
          <cell r="BH93">
            <v>41934</v>
          </cell>
          <cell r="BJ93">
            <v>24.3017</v>
          </cell>
        </row>
        <row r="94">
          <cell r="D94">
            <v>41933</v>
          </cell>
          <cell r="F94">
            <v>156.99376000000001</v>
          </cell>
          <cell r="K94">
            <v>41933</v>
          </cell>
          <cell r="M94">
            <v>22.8109</v>
          </cell>
          <cell r="R94">
            <v>41933</v>
          </cell>
          <cell r="T94">
            <v>2.77</v>
          </cell>
          <cell r="Y94">
            <v>41933</v>
          </cell>
          <cell r="AA94">
            <v>315.33</v>
          </cell>
          <cell r="AF94">
            <v>41933</v>
          </cell>
          <cell r="AH94">
            <v>100.31833</v>
          </cell>
          <cell r="AM94">
            <v>41933</v>
          </cell>
          <cell r="AO94">
            <v>74.508719999999997</v>
          </cell>
          <cell r="AT94">
            <v>41933</v>
          </cell>
          <cell r="AV94">
            <v>39.099209999999999</v>
          </cell>
          <cell r="BA94">
            <v>41933</v>
          </cell>
          <cell r="BC94">
            <v>16.945309999999999</v>
          </cell>
          <cell r="BH94">
            <v>41933</v>
          </cell>
          <cell r="BJ94">
            <v>24.552530000000001</v>
          </cell>
        </row>
        <row r="95">
          <cell r="D95">
            <v>41932</v>
          </cell>
          <cell r="F95">
            <v>162.6395</v>
          </cell>
          <cell r="K95">
            <v>41932</v>
          </cell>
          <cell r="M95">
            <v>22.248149999999999</v>
          </cell>
          <cell r="R95">
            <v>41932</v>
          </cell>
          <cell r="T95">
            <v>2.67</v>
          </cell>
          <cell r="Y95">
            <v>41932</v>
          </cell>
          <cell r="AA95">
            <v>306.20999999999998</v>
          </cell>
          <cell r="AF95">
            <v>41932</v>
          </cell>
          <cell r="AH95">
            <v>97.665239999999997</v>
          </cell>
          <cell r="AM95">
            <v>41932</v>
          </cell>
          <cell r="AO95">
            <v>72.818690000000004</v>
          </cell>
          <cell r="AT95">
            <v>41932</v>
          </cell>
          <cell r="AV95">
            <v>41.607790000000001</v>
          </cell>
          <cell r="BA95">
            <v>41932</v>
          </cell>
          <cell r="BC95">
            <v>16.669129999999999</v>
          </cell>
          <cell r="BH95">
            <v>41932</v>
          </cell>
          <cell r="BJ95">
            <v>24.14734</v>
          </cell>
        </row>
        <row r="96">
          <cell r="D96">
            <v>41929</v>
          </cell>
          <cell r="F96">
            <v>175.09474</v>
          </cell>
          <cell r="K96">
            <v>41929</v>
          </cell>
          <cell r="M96">
            <v>22.558630000000001</v>
          </cell>
          <cell r="R96">
            <v>41929</v>
          </cell>
          <cell r="T96">
            <v>2.72</v>
          </cell>
          <cell r="Y96">
            <v>41929</v>
          </cell>
          <cell r="AA96">
            <v>303.64</v>
          </cell>
          <cell r="AF96">
            <v>41929</v>
          </cell>
          <cell r="AH96">
            <v>95.619119999999995</v>
          </cell>
          <cell r="AM96">
            <v>41929</v>
          </cell>
          <cell r="AO96">
            <v>72.337220000000002</v>
          </cell>
          <cell r="AT96">
            <v>41929</v>
          </cell>
          <cell r="AV96">
            <v>41.213720000000002</v>
          </cell>
          <cell r="BA96">
            <v>41929</v>
          </cell>
          <cell r="BC96">
            <v>16.817080000000001</v>
          </cell>
          <cell r="BH96">
            <v>41929</v>
          </cell>
          <cell r="BJ96">
            <v>23.944749999999999</v>
          </cell>
        </row>
        <row r="97">
          <cell r="D97">
            <v>41928</v>
          </cell>
          <cell r="F97">
            <v>172.96916999999999</v>
          </cell>
          <cell r="K97">
            <v>41928</v>
          </cell>
          <cell r="M97">
            <v>22.14142</v>
          </cell>
          <cell r="R97">
            <v>41928</v>
          </cell>
          <cell r="T97">
            <v>2.64</v>
          </cell>
          <cell r="Y97">
            <v>41928</v>
          </cell>
          <cell r="AA97">
            <v>302.86</v>
          </cell>
          <cell r="AF97">
            <v>41928</v>
          </cell>
          <cell r="AH97">
            <v>94.238730000000004</v>
          </cell>
          <cell r="AM97">
            <v>41928</v>
          </cell>
          <cell r="AO97">
            <v>70.873189999999994</v>
          </cell>
          <cell r="AT97">
            <v>41928</v>
          </cell>
          <cell r="AV97">
            <v>40.90616</v>
          </cell>
          <cell r="BA97">
            <v>41928</v>
          </cell>
          <cell r="BC97">
            <v>17.073530000000002</v>
          </cell>
          <cell r="BH97">
            <v>41928</v>
          </cell>
          <cell r="BJ97">
            <v>23.394850000000002</v>
          </cell>
        </row>
        <row r="98">
          <cell r="D98">
            <v>41927</v>
          </cell>
          <cell r="F98">
            <v>174.80619999999999</v>
          </cell>
          <cell r="K98">
            <v>41927</v>
          </cell>
          <cell r="M98">
            <v>22.277259999999998</v>
          </cell>
          <cell r="R98">
            <v>41927</v>
          </cell>
          <cell r="T98">
            <v>2.61</v>
          </cell>
          <cell r="Y98">
            <v>41927</v>
          </cell>
          <cell r="AA98">
            <v>305.97000000000003</v>
          </cell>
          <cell r="AF98">
            <v>41927</v>
          </cell>
          <cell r="AH98">
            <v>95.491849999999999</v>
          </cell>
          <cell r="AM98">
            <v>41927</v>
          </cell>
          <cell r="AO98">
            <v>71.95402</v>
          </cell>
          <cell r="AT98">
            <v>41927</v>
          </cell>
          <cell r="AV98">
            <v>41.55012</v>
          </cell>
          <cell r="BA98">
            <v>41927</v>
          </cell>
          <cell r="BC98">
            <v>16.72831</v>
          </cell>
          <cell r="BH98">
            <v>41927</v>
          </cell>
          <cell r="BJ98">
            <v>23.42379</v>
          </cell>
        </row>
        <row r="99">
          <cell r="D99">
            <v>41926</v>
          </cell>
          <cell r="F99">
            <v>176.77788000000001</v>
          </cell>
          <cell r="K99">
            <v>41926</v>
          </cell>
          <cell r="M99">
            <v>22.369430000000001</v>
          </cell>
          <cell r="R99">
            <v>41926</v>
          </cell>
          <cell r="T99">
            <v>2.62</v>
          </cell>
          <cell r="Y99">
            <v>41926</v>
          </cell>
          <cell r="AA99">
            <v>308.31</v>
          </cell>
          <cell r="AF99">
            <v>41926</v>
          </cell>
          <cell r="AH99">
            <v>96.676439999999999</v>
          </cell>
          <cell r="AM99">
            <v>41926</v>
          </cell>
          <cell r="AO99">
            <v>73.280500000000004</v>
          </cell>
          <cell r="AT99">
            <v>41926</v>
          </cell>
          <cell r="AV99">
            <v>41.944189999999999</v>
          </cell>
          <cell r="BA99">
            <v>41926</v>
          </cell>
          <cell r="BC99">
            <v>16.54091</v>
          </cell>
          <cell r="BH99">
            <v>41926</v>
          </cell>
          <cell r="BJ99">
            <v>23.250139999999998</v>
          </cell>
        </row>
        <row r="100">
          <cell r="D100">
            <v>41925</v>
          </cell>
          <cell r="F100">
            <v>176.50857999999999</v>
          </cell>
          <cell r="K100">
            <v>41925</v>
          </cell>
          <cell r="M100">
            <v>22.248149999999999</v>
          </cell>
          <cell r="R100">
            <v>41925</v>
          </cell>
          <cell r="T100">
            <v>2.74</v>
          </cell>
          <cell r="Y100">
            <v>41925</v>
          </cell>
          <cell r="AA100">
            <v>306.45</v>
          </cell>
          <cell r="AF100">
            <v>41925</v>
          </cell>
          <cell r="AH100">
            <v>97.714190000000002</v>
          </cell>
          <cell r="AM100">
            <v>41925</v>
          </cell>
          <cell r="AO100">
            <v>72.622169999999997</v>
          </cell>
          <cell r="AT100">
            <v>41925</v>
          </cell>
          <cell r="AV100">
            <v>42.357480000000002</v>
          </cell>
          <cell r="BA100">
            <v>41925</v>
          </cell>
          <cell r="BC100">
            <v>16.64941</v>
          </cell>
          <cell r="BH100">
            <v>41925</v>
          </cell>
          <cell r="BJ100">
            <v>23.105429999999998</v>
          </cell>
        </row>
        <row r="101">
          <cell r="D101">
            <v>41922</v>
          </cell>
          <cell r="F101">
            <v>178.82650000000001</v>
          </cell>
          <cell r="K101">
            <v>41922</v>
          </cell>
          <cell r="M101">
            <v>22.645959999999999</v>
          </cell>
          <cell r="R101">
            <v>41922</v>
          </cell>
          <cell r="T101">
            <v>2.72</v>
          </cell>
          <cell r="Y101">
            <v>41922</v>
          </cell>
          <cell r="AA101">
            <v>311.39</v>
          </cell>
          <cell r="AF101">
            <v>41922</v>
          </cell>
          <cell r="AH101">
            <v>98.614869999999996</v>
          </cell>
          <cell r="AM101">
            <v>41922</v>
          </cell>
          <cell r="AO101">
            <v>74.204120000000003</v>
          </cell>
          <cell r="AT101">
            <v>41922</v>
          </cell>
          <cell r="AV101">
            <v>42.74194</v>
          </cell>
          <cell r="BA101">
            <v>41922</v>
          </cell>
          <cell r="BC101">
            <v>16.570499999999999</v>
          </cell>
          <cell r="BH101">
            <v>41922</v>
          </cell>
          <cell r="BJ101">
            <v>23.41414</v>
          </cell>
        </row>
        <row r="102">
          <cell r="D102">
            <v>41921</v>
          </cell>
          <cell r="F102">
            <v>179.29777999999999</v>
          </cell>
          <cell r="K102">
            <v>41921</v>
          </cell>
          <cell r="M102">
            <v>23.470680000000002</v>
          </cell>
          <cell r="R102">
            <v>41921</v>
          </cell>
          <cell r="T102">
            <v>2.95</v>
          </cell>
          <cell r="Y102">
            <v>41921</v>
          </cell>
          <cell r="AA102">
            <v>315.37</v>
          </cell>
          <cell r="AF102">
            <v>41921</v>
          </cell>
          <cell r="AH102">
            <v>98.898780000000002</v>
          </cell>
          <cell r="AM102">
            <v>41921</v>
          </cell>
          <cell r="AO102">
            <v>74.086209999999994</v>
          </cell>
          <cell r="AT102">
            <v>41921</v>
          </cell>
          <cell r="AV102">
            <v>42.16525</v>
          </cell>
          <cell r="BA102">
            <v>41921</v>
          </cell>
          <cell r="BC102">
            <v>16.718450000000001</v>
          </cell>
          <cell r="BH102">
            <v>41921</v>
          </cell>
          <cell r="BJ102">
            <v>23.90616</v>
          </cell>
        </row>
        <row r="103">
          <cell r="D103">
            <v>41920</v>
          </cell>
          <cell r="F103">
            <v>182.12546</v>
          </cell>
          <cell r="K103">
            <v>41920</v>
          </cell>
          <cell r="M103">
            <v>23.92671</v>
          </cell>
          <cell r="R103">
            <v>41920</v>
          </cell>
          <cell r="T103">
            <v>3.28</v>
          </cell>
          <cell r="Y103">
            <v>41920</v>
          </cell>
          <cell r="AA103">
            <v>322.7</v>
          </cell>
          <cell r="AF103">
            <v>41920</v>
          </cell>
          <cell r="AH103">
            <v>98.683400000000006</v>
          </cell>
          <cell r="AM103">
            <v>41920</v>
          </cell>
          <cell r="AO103">
            <v>75.324250000000006</v>
          </cell>
          <cell r="AT103">
            <v>41920</v>
          </cell>
          <cell r="AV103">
            <v>42.818829999999998</v>
          </cell>
          <cell r="BA103">
            <v>41920</v>
          </cell>
          <cell r="BC103">
            <v>17.329979999999999</v>
          </cell>
          <cell r="BH103">
            <v>41920</v>
          </cell>
          <cell r="BJ103">
            <v>24.359580000000001</v>
          </cell>
        </row>
        <row r="104">
          <cell r="D104">
            <v>41919</v>
          </cell>
          <cell r="F104">
            <v>178.61491000000001</v>
          </cell>
          <cell r="K104">
            <v>41919</v>
          </cell>
          <cell r="M104">
            <v>23.902450000000002</v>
          </cell>
          <cell r="R104">
            <v>41919</v>
          </cell>
          <cell r="T104">
            <v>3.28</v>
          </cell>
          <cell r="Y104">
            <v>41919</v>
          </cell>
          <cell r="AA104">
            <v>316.98</v>
          </cell>
          <cell r="AF104">
            <v>41919</v>
          </cell>
          <cell r="AH104">
            <v>96.676439999999999</v>
          </cell>
          <cell r="AM104">
            <v>41919</v>
          </cell>
          <cell r="AO104">
            <v>73.192070000000001</v>
          </cell>
          <cell r="AT104">
            <v>41919</v>
          </cell>
          <cell r="AV104">
            <v>42.21331</v>
          </cell>
          <cell r="BA104">
            <v>41919</v>
          </cell>
          <cell r="BC104">
            <v>17.6752</v>
          </cell>
          <cell r="BH104">
            <v>41919</v>
          </cell>
          <cell r="BJ104">
            <v>23.935099999999998</v>
          </cell>
        </row>
        <row r="105">
          <cell r="D105">
            <v>41918</v>
          </cell>
          <cell r="F105">
            <v>181.81768</v>
          </cell>
          <cell r="K105">
            <v>41918</v>
          </cell>
          <cell r="M105">
            <v>24.266300000000001</v>
          </cell>
          <cell r="R105">
            <v>41918</v>
          </cell>
          <cell r="T105">
            <v>3.36</v>
          </cell>
          <cell r="Y105">
            <v>41918</v>
          </cell>
          <cell r="AA105">
            <v>322.2</v>
          </cell>
          <cell r="AF105">
            <v>41918</v>
          </cell>
          <cell r="AH105">
            <v>97.528170000000003</v>
          </cell>
          <cell r="AM105">
            <v>41918</v>
          </cell>
          <cell r="AO105">
            <v>74.489069999999998</v>
          </cell>
          <cell r="AT105">
            <v>41918</v>
          </cell>
          <cell r="AV105">
            <v>41.905749999999998</v>
          </cell>
          <cell r="BA105">
            <v>41918</v>
          </cell>
          <cell r="BC105">
            <v>18.14864</v>
          </cell>
          <cell r="BH105">
            <v>41918</v>
          </cell>
          <cell r="BJ105">
            <v>24.330639999999999</v>
          </cell>
        </row>
        <row r="106">
          <cell r="D106">
            <v>41915</v>
          </cell>
          <cell r="F106">
            <v>181.46181999999999</v>
          </cell>
          <cell r="K106">
            <v>41915</v>
          </cell>
          <cell r="M106">
            <v>24.557379999999998</v>
          </cell>
          <cell r="R106">
            <v>41915</v>
          </cell>
          <cell r="T106">
            <v>3.4</v>
          </cell>
          <cell r="Y106">
            <v>41915</v>
          </cell>
          <cell r="AA106">
            <v>322.74</v>
          </cell>
          <cell r="AF106">
            <v>41915</v>
          </cell>
          <cell r="AH106">
            <v>97.528170000000003</v>
          </cell>
          <cell r="AM106">
            <v>41915</v>
          </cell>
          <cell r="AO106">
            <v>74.832970000000003</v>
          </cell>
          <cell r="AT106">
            <v>41915</v>
          </cell>
          <cell r="AV106">
            <v>41.329059999999998</v>
          </cell>
          <cell r="BA106">
            <v>41915</v>
          </cell>
          <cell r="BC106">
            <v>18.237410000000001</v>
          </cell>
          <cell r="BH106">
            <v>41915</v>
          </cell>
          <cell r="BJ106">
            <v>24.504290000000001</v>
          </cell>
        </row>
        <row r="107">
          <cell r="D107">
            <v>41914</v>
          </cell>
          <cell r="F107">
            <v>179.76906</v>
          </cell>
          <cell r="K107">
            <v>41914</v>
          </cell>
          <cell r="M107">
            <v>24.314810000000001</v>
          </cell>
          <cell r="R107">
            <v>41914</v>
          </cell>
          <cell r="T107">
            <v>3.39</v>
          </cell>
          <cell r="Y107">
            <v>41914</v>
          </cell>
          <cell r="AA107">
            <v>318.41000000000003</v>
          </cell>
          <cell r="AF107">
            <v>41914</v>
          </cell>
          <cell r="AH107">
            <v>97.802300000000002</v>
          </cell>
          <cell r="AM107">
            <v>41914</v>
          </cell>
          <cell r="AO107">
            <v>73.742310000000003</v>
          </cell>
          <cell r="AT107">
            <v>41914</v>
          </cell>
          <cell r="AV107">
            <v>41.002270000000003</v>
          </cell>
          <cell r="BA107">
            <v>41914</v>
          </cell>
          <cell r="BC107">
            <v>18.44454</v>
          </cell>
          <cell r="BH107">
            <v>41914</v>
          </cell>
          <cell r="BJ107">
            <v>24.234169999999999</v>
          </cell>
        </row>
        <row r="108">
          <cell r="D108">
            <v>41913</v>
          </cell>
          <cell r="F108">
            <v>180.01912999999999</v>
          </cell>
          <cell r="K108">
            <v>41913</v>
          </cell>
          <cell r="M108">
            <v>24.285699999999999</v>
          </cell>
          <cell r="R108">
            <v>41913</v>
          </cell>
          <cell r="T108">
            <v>3.35</v>
          </cell>
          <cell r="Y108">
            <v>41913</v>
          </cell>
          <cell r="AA108">
            <v>317.45999999999998</v>
          </cell>
          <cell r="AF108">
            <v>41913</v>
          </cell>
          <cell r="AH108">
            <v>97.097409999999996</v>
          </cell>
          <cell r="AM108">
            <v>41913</v>
          </cell>
          <cell r="AO108">
            <v>73.280500000000004</v>
          </cell>
          <cell r="AT108">
            <v>41913</v>
          </cell>
          <cell r="AV108">
            <v>41.079160000000002</v>
          </cell>
          <cell r="BA108">
            <v>41913</v>
          </cell>
          <cell r="BC108">
            <v>18.464269999999999</v>
          </cell>
          <cell r="BH108">
            <v>41913</v>
          </cell>
          <cell r="BJ108">
            <v>24.272760000000002</v>
          </cell>
        </row>
        <row r="109">
          <cell r="D109">
            <v>41912</v>
          </cell>
          <cell r="F109">
            <v>182.57749999999999</v>
          </cell>
          <cell r="K109">
            <v>41912</v>
          </cell>
          <cell r="M109">
            <v>24.42154</v>
          </cell>
          <cell r="R109">
            <v>41912</v>
          </cell>
          <cell r="T109">
            <v>3.41</v>
          </cell>
          <cell r="Y109">
            <v>41912</v>
          </cell>
          <cell r="AA109">
            <v>322.44</v>
          </cell>
          <cell r="AF109">
            <v>41912</v>
          </cell>
          <cell r="AH109">
            <v>98.634450000000001</v>
          </cell>
          <cell r="AM109">
            <v>41912</v>
          </cell>
          <cell r="AO109">
            <v>73.614570000000001</v>
          </cell>
          <cell r="AT109">
            <v>41912</v>
          </cell>
          <cell r="AV109">
            <v>41.002270000000003</v>
          </cell>
          <cell r="BA109">
            <v>41912</v>
          </cell>
          <cell r="BC109">
            <v>18.789760000000001</v>
          </cell>
          <cell r="BH109">
            <v>41912</v>
          </cell>
          <cell r="BJ109">
            <v>24.716539999999998</v>
          </cell>
        </row>
        <row r="110">
          <cell r="D110">
            <v>41911</v>
          </cell>
          <cell r="F110">
            <v>182.39475999999999</v>
          </cell>
          <cell r="K110">
            <v>41911</v>
          </cell>
          <cell r="M110">
            <v>24.188680000000002</v>
          </cell>
          <cell r="R110">
            <v>41911</v>
          </cell>
          <cell r="T110">
            <v>3.55</v>
          </cell>
          <cell r="Y110">
            <v>41911</v>
          </cell>
          <cell r="AA110">
            <v>321.82</v>
          </cell>
          <cell r="AF110">
            <v>41911</v>
          </cell>
          <cell r="AH110">
            <v>98.007890000000003</v>
          </cell>
          <cell r="AM110">
            <v>41911</v>
          </cell>
          <cell r="AO110">
            <v>74.312200000000004</v>
          </cell>
          <cell r="AT110">
            <v>41911</v>
          </cell>
          <cell r="AV110">
            <v>40.60821</v>
          </cell>
          <cell r="BA110">
            <v>41911</v>
          </cell>
          <cell r="BC110">
            <v>18.839079999999999</v>
          </cell>
          <cell r="BH110">
            <v>41911</v>
          </cell>
          <cell r="BJ110">
            <v>24.523589999999999</v>
          </cell>
        </row>
        <row r="111">
          <cell r="D111">
            <v>41908</v>
          </cell>
          <cell r="F111">
            <v>182.79871</v>
          </cell>
          <cell r="K111">
            <v>41908</v>
          </cell>
          <cell r="M111">
            <v>24.073129999999999</v>
          </cell>
          <cell r="R111">
            <v>41908</v>
          </cell>
          <cell r="T111">
            <v>3.6</v>
          </cell>
          <cell r="Y111">
            <v>41908</v>
          </cell>
          <cell r="AA111">
            <v>323.20999999999998</v>
          </cell>
          <cell r="AF111">
            <v>41908</v>
          </cell>
          <cell r="AH111">
            <v>98.634450000000001</v>
          </cell>
          <cell r="AM111">
            <v>41908</v>
          </cell>
          <cell r="AO111">
            <v>74.024799999999999</v>
          </cell>
          <cell r="AT111">
            <v>41908</v>
          </cell>
          <cell r="AV111">
            <v>40.56015</v>
          </cell>
          <cell r="BA111">
            <v>41908</v>
          </cell>
          <cell r="BC111">
            <v>18.80949</v>
          </cell>
          <cell r="BH111">
            <v>41908</v>
          </cell>
          <cell r="BJ111">
            <v>24.726179999999999</v>
          </cell>
        </row>
        <row r="112">
          <cell r="D112">
            <v>41907</v>
          </cell>
          <cell r="F112">
            <v>181.78882999999999</v>
          </cell>
          <cell r="K112">
            <v>41907</v>
          </cell>
          <cell r="M112">
            <v>23.630179999999999</v>
          </cell>
          <cell r="R112">
            <v>41907</v>
          </cell>
          <cell r="T112">
            <v>3.63</v>
          </cell>
          <cell r="Y112">
            <v>41907</v>
          </cell>
          <cell r="AA112">
            <v>321.93</v>
          </cell>
          <cell r="AF112">
            <v>41907</v>
          </cell>
          <cell r="AH112">
            <v>95.814920000000001</v>
          </cell>
          <cell r="AM112">
            <v>41907</v>
          </cell>
          <cell r="AO112">
            <v>74.494299999999996</v>
          </cell>
          <cell r="AT112">
            <v>41907</v>
          </cell>
          <cell r="AV112">
            <v>40.156469999999999</v>
          </cell>
          <cell r="BA112">
            <v>41907</v>
          </cell>
          <cell r="BC112">
            <v>18.700990000000001</v>
          </cell>
          <cell r="BH112">
            <v>41907</v>
          </cell>
          <cell r="BJ112">
            <v>24.649000000000001</v>
          </cell>
        </row>
        <row r="113">
          <cell r="D113">
            <v>41906</v>
          </cell>
          <cell r="F113">
            <v>184.96275</v>
          </cell>
          <cell r="K113">
            <v>41906</v>
          </cell>
          <cell r="M113">
            <v>24.05387</v>
          </cell>
          <cell r="R113">
            <v>41906</v>
          </cell>
          <cell r="T113">
            <v>3.7</v>
          </cell>
          <cell r="Y113">
            <v>41906</v>
          </cell>
          <cell r="AA113">
            <v>328.21</v>
          </cell>
          <cell r="AF113">
            <v>41906</v>
          </cell>
          <cell r="AH113">
            <v>99.61345</v>
          </cell>
          <cell r="AM113">
            <v>41906</v>
          </cell>
          <cell r="AO113">
            <v>75.961489999999998</v>
          </cell>
          <cell r="AT113">
            <v>41906</v>
          </cell>
          <cell r="AV113">
            <v>40.627429999999997</v>
          </cell>
          <cell r="BA113">
            <v>41906</v>
          </cell>
          <cell r="BC113">
            <v>18.986429999999999</v>
          </cell>
          <cell r="BH113">
            <v>41906</v>
          </cell>
          <cell r="BJ113">
            <v>25.015599999999999</v>
          </cell>
        </row>
        <row r="114">
          <cell r="D114">
            <v>41905</v>
          </cell>
          <cell r="F114">
            <v>184.29911000000001</v>
          </cell>
          <cell r="K114">
            <v>41905</v>
          </cell>
          <cell r="M114">
            <v>23.78425</v>
          </cell>
          <cell r="R114">
            <v>41905</v>
          </cell>
          <cell r="T114">
            <v>3.69</v>
          </cell>
          <cell r="Y114">
            <v>41905</v>
          </cell>
          <cell r="AA114">
            <v>323.63</v>
          </cell>
          <cell r="AF114">
            <v>41905</v>
          </cell>
          <cell r="AH114">
            <v>100.48475999999999</v>
          </cell>
          <cell r="AM114">
            <v>41905</v>
          </cell>
          <cell r="AO114">
            <v>74.200860000000006</v>
          </cell>
          <cell r="AT114">
            <v>41905</v>
          </cell>
          <cell r="AV114">
            <v>40.262189999999997</v>
          </cell>
          <cell r="BA114">
            <v>41905</v>
          </cell>
          <cell r="BC114">
            <v>19.34076</v>
          </cell>
          <cell r="BH114">
            <v>41905</v>
          </cell>
          <cell r="BJ114">
            <v>25.102429999999998</v>
          </cell>
        </row>
        <row r="115">
          <cell r="D115">
            <v>41904</v>
          </cell>
          <cell r="F115">
            <v>185.73219</v>
          </cell>
          <cell r="K115">
            <v>41904</v>
          </cell>
          <cell r="M115">
            <v>24.044239999999999</v>
          </cell>
          <cell r="R115">
            <v>41904</v>
          </cell>
          <cell r="T115">
            <v>3.76</v>
          </cell>
          <cell r="Y115">
            <v>41904</v>
          </cell>
          <cell r="AA115">
            <v>324.5</v>
          </cell>
          <cell r="AF115">
            <v>41904</v>
          </cell>
          <cell r="AH115">
            <v>98.937939999999998</v>
          </cell>
          <cell r="AM115">
            <v>41904</v>
          </cell>
          <cell r="AO115">
            <v>74.210639999999998</v>
          </cell>
          <cell r="AT115">
            <v>41904</v>
          </cell>
          <cell r="AV115">
            <v>40.579369999999997</v>
          </cell>
          <cell r="BA115">
            <v>41904</v>
          </cell>
          <cell r="BC115">
            <v>19.330919999999999</v>
          </cell>
          <cell r="BH115">
            <v>41904</v>
          </cell>
          <cell r="BJ115">
            <v>25.160309999999999</v>
          </cell>
        </row>
        <row r="116">
          <cell r="D116">
            <v>41901</v>
          </cell>
          <cell r="F116">
            <v>186.58819</v>
          </cell>
          <cell r="K116">
            <v>41901</v>
          </cell>
          <cell r="M116">
            <v>24.265709999999999</v>
          </cell>
          <cell r="R116">
            <v>41901</v>
          </cell>
          <cell r="T116">
            <v>3.81</v>
          </cell>
          <cell r="Y116">
            <v>41901</v>
          </cell>
          <cell r="AA116">
            <v>331.32</v>
          </cell>
          <cell r="AF116">
            <v>41901</v>
          </cell>
          <cell r="AH116">
            <v>98.840040000000002</v>
          </cell>
          <cell r="AM116">
            <v>41901</v>
          </cell>
          <cell r="AO116">
            <v>74.425830000000005</v>
          </cell>
          <cell r="AT116">
            <v>41901</v>
          </cell>
          <cell r="AV116">
            <v>40.415979999999998</v>
          </cell>
          <cell r="BA116">
            <v>41901</v>
          </cell>
          <cell r="BC116">
            <v>19.468720000000001</v>
          </cell>
          <cell r="BH116">
            <v>41901</v>
          </cell>
          <cell r="BJ116">
            <v>25.362909999999999</v>
          </cell>
        </row>
        <row r="117">
          <cell r="D117">
            <v>41900</v>
          </cell>
          <cell r="F117">
            <v>186.34773999999999</v>
          </cell>
          <cell r="K117">
            <v>41900</v>
          </cell>
          <cell r="M117">
            <v>24.284970000000001</v>
          </cell>
          <cell r="R117">
            <v>41900</v>
          </cell>
          <cell r="T117">
            <v>3.88</v>
          </cell>
          <cell r="Y117">
            <v>41900</v>
          </cell>
          <cell r="AA117">
            <v>325</v>
          </cell>
          <cell r="AF117">
            <v>41900</v>
          </cell>
          <cell r="AH117">
            <v>99.652609999999996</v>
          </cell>
          <cell r="AM117">
            <v>41900</v>
          </cell>
          <cell r="AO117">
            <v>73.770480000000006</v>
          </cell>
          <cell r="AT117">
            <v>41900</v>
          </cell>
          <cell r="AV117">
            <v>40.166080000000001</v>
          </cell>
          <cell r="BA117">
            <v>41900</v>
          </cell>
          <cell r="BC117">
            <v>19.734470000000002</v>
          </cell>
          <cell r="BH117">
            <v>41900</v>
          </cell>
          <cell r="BJ117">
            <v>25.285730000000001</v>
          </cell>
        </row>
        <row r="118">
          <cell r="D118">
            <v>41899</v>
          </cell>
          <cell r="F118">
            <v>185.43403000000001</v>
          </cell>
          <cell r="K118">
            <v>41899</v>
          </cell>
          <cell r="M118">
            <v>24.270530000000001</v>
          </cell>
          <cell r="R118">
            <v>41899</v>
          </cell>
          <cell r="T118">
            <v>3.82</v>
          </cell>
          <cell r="Y118">
            <v>41899</v>
          </cell>
          <cell r="AA118">
            <v>324</v>
          </cell>
          <cell r="AF118">
            <v>41899</v>
          </cell>
          <cell r="AH118">
            <v>99.447019999999995</v>
          </cell>
          <cell r="AM118">
            <v>41899</v>
          </cell>
          <cell r="AO118">
            <v>73.320549999999997</v>
          </cell>
          <cell r="AT118">
            <v>41899</v>
          </cell>
          <cell r="AV118">
            <v>39.993079999999999</v>
          </cell>
          <cell r="BA118">
            <v>41899</v>
          </cell>
          <cell r="BC118">
            <v>19.724620000000002</v>
          </cell>
          <cell r="BH118">
            <v>41899</v>
          </cell>
          <cell r="BJ118">
            <v>25.13137</v>
          </cell>
        </row>
        <row r="119">
          <cell r="D119">
            <v>41898</v>
          </cell>
          <cell r="F119">
            <v>185.58792</v>
          </cell>
          <cell r="K119">
            <v>41898</v>
          </cell>
          <cell r="M119">
            <v>24.284970000000001</v>
          </cell>
          <cell r="R119">
            <v>41898</v>
          </cell>
          <cell r="T119">
            <v>3.81</v>
          </cell>
          <cell r="Y119">
            <v>41898</v>
          </cell>
          <cell r="AA119">
            <v>327.76</v>
          </cell>
          <cell r="AF119">
            <v>41898</v>
          </cell>
          <cell r="AH119">
            <v>98.742140000000006</v>
          </cell>
          <cell r="AM119">
            <v>41898</v>
          </cell>
          <cell r="AO119">
            <v>73.897639999999996</v>
          </cell>
          <cell r="AT119">
            <v>41898</v>
          </cell>
          <cell r="AV119">
            <v>40.021909999999998</v>
          </cell>
          <cell r="BA119">
            <v>41898</v>
          </cell>
          <cell r="BC119">
            <v>19.803370000000001</v>
          </cell>
          <cell r="BH119">
            <v>41898</v>
          </cell>
          <cell r="BJ119">
            <v>25.073969999999999</v>
          </cell>
        </row>
        <row r="120">
          <cell r="D120">
            <v>41897</v>
          </cell>
          <cell r="F120">
            <v>184.48186000000001</v>
          </cell>
          <cell r="K120">
            <v>41897</v>
          </cell>
          <cell r="M120">
            <v>24.1309</v>
          </cell>
          <cell r="R120">
            <v>41897</v>
          </cell>
          <cell r="T120">
            <v>3.91</v>
          </cell>
          <cell r="Y120">
            <v>41897</v>
          </cell>
          <cell r="AA120">
            <v>323.89</v>
          </cell>
          <cell r="AF120">
            <v>41897</v>
          </cell>
          <cell r="AH120">
            <v>99.49597</v>
          </cell>
          <cell r="AM120">
            <v>41897</v>
          </cell>
          <cell r="AO120">
            <v>73.320549999999997</v>
          </cell>
          <cell r="AT120">
            <v>41897</v>
          </cell>
          <cell r="AV120">
            <v>39.887349999999998</v>
          </cell>
          <cell r="BA120">
            <v>41897</v>
          </cell>
          <cell r="BC120">
            <v>19.419499999999999</v>
          </cell>
          <cell r="BH120">
            <v>41897</v>
          </cell>
          <cell r="BJ120">
            <v>24.79654</v>
          </cell>
        </row>
        <row r="121">
          <cell r="D121">
            <v>41894</v>
          </cell>
          <cell r="F121">
            <v>183.97210000000001</v>
          </cell>
          <cell r="K121">
            <v>41894</v>
          </cell>
          <cell r="M121">
            <v>24.22719</v>
          </cell>
          <cell r="R121">
            <v>41894</v>
          </cell>
          <cell r="T121">
            <v>3.96</v>
          </cell>
          <cell r="Y121">
            <v>41894</v>
          </cell>
          <cell r="AA121">
            <v>331.19</v>
          </cell>
          <cell r="AF121">
            <v>41894</v>
          </cell>
          <cell r="AH121">
            <v>99.52534</v>
          </cell>
          <cell r="AM121">
            <v>41894</v>
          </cell>
          <cell r="AO121">
            <v>73.741140000000001</v>
          </cell>
          <cell r="AT121">
            <v>41894</v>
          </cell>
          <cell r="AV121">
            <v>39.8489</v>
          </cell>
          <cell r="BA121">
            <v>41894</v>
          </cell>
          <cell r="BC121">
            <v>19.675409999999999</v>
          </cell>
          <cell r="BH121">
            <v>41894</v>
          </cell>
          <cell r="BJ121">
            <v>24.748709999999999</v>
          </cell>
        </row>
        <row r="122">
          <cell r="D122">
            <v>41893</v>
          </cell>
          <cell r="F122">
            <v>184.39528999999999</v>
          </cell>
          <cell r="K122">
            <v>41893</v>
          </cell>
          <cell r="M122">
            <v>24.246449999999999</v>
          </cell>
          <cell r="R122">
            <v>41893</v>
          </cell>
          <cell r="T122">
            <v>4.08</v>
          </cell>
          <cell r="Y122">
            <v>41893</v>
          </cell>
          <cell r="AA122">
            <v>330.52</v>
          </cell>
          <cell r="AF122">
            <v>41893</v>
          </cell>
          <cell r="AH122">
            <v>99.300169999999994</v>
          </cell>
          <cell r="AM122">
            <v>41893</v>
          </cell>
          <cell r="AO122">
            <v>73.613979999999998</v>
          </cell>
          <cell r="AT122">
            <v>41893</v>
          </cell>
          <cell r="AV122">
            <v>40.319859999999998</v>
          </cell>
          <cell r="BA122">
            <v>41893</v>
          </cell>
          <cell r="BC122">
            <v>19.714780000000001</v>
          </cell>
          <cell r="BH122">
            <v>41893</v>
          </cell>
          <cell r="BJ122">
            <v>24.892209999999999</v>
          </cell>
        </row>
        <row r="123">
          <cell r="D123">
            <v>41892</v>
          </cell>
          <cell r="F123">
            <v>184.22217000000001</v>
          </cell>
          <cell r="K123">
            <v>41892</v>
          </cell>
          <cell r="M123">
            <v>24.00572</v>
          </cell>
          <cell r="R123">
            <v>41892</v>
          </cell>
          <cell r="T123">
            <v>4.08</v>
          </cell>
          <cell r="Y123">
            <v>41892</v>
          </cell>
          <cell r="AA123">
            <v>331.33</v>
          </cell>
          <cell r="AF123">
            <v>41892</v>
          </cell>
          <cell r="AH123">
            <v>98.879199999999997</v>
          </cell>
          <cell r="AM123">
            <v>41892</v>
          </cell>
          <cell r="AO123">
            <v>73.829170000000005</v>
          </cell>
          <cell r="AT123">
            <v>41892</v>
          </cell>
          <cell r="AV123">
            <v>40.238169999999997</v>
          </cell>
          <cell r="BA123">
            <v>41892</v>
          </cell>
          <cell r="BC123">
            <v>19.626200000000001</v>
          </cell>
          <cell r="BH123">
            <v>41892</v>
          </cell>
          <cell r="BJ123">
            <v>24.825240000000001</v>
          </cell>
        </row>
        <row r="124">
          <cell r="D124">
            <v>41891</v>
          </cell>
          <cell r="F124">
            <v>182.73139</v>
          </cell>
          <cell r="K124">
            <v>41891</v>
          </cell>
          <cell r="M124">
            <v>23.938320000000001</v>
          </cell>
          <cell r="R124">
            <v>41891</v>
          </cell>
          <cell r="T124">
            <v>4.08</v>
          </cell>
          <cell r="Y124">
            <v>41891</v>
          </cell>
          <cell r="AA124">
            <v>329.75</v>
          </cell>
          <cell r="AF124">
            <v>41891</v>
          </cell>
          <cell r="AH124">
            <v>95.932400000000001</v>
          </cell>
          <cell r="AM124">
            <v>41891</v>
          </cell>
          <cell r="AO124">
            <v>73.643330000000006</v>
          </cell>
          <cell r="AT124">
            <v>41891</v>
          </cell>
          <cell r="AV124">
            <v>40.018700000000003</v>
          </cell>
          <cell r="BA124">
            <v>41891</v>
          </cell>
          <cell r="BC124">
            <v>19.60651</v>
          </cell>
          <cell r="BH124">
            <v>41891</v>
          </cell>
          <cell r="BJ124">
            <v>24.77741</v>
          </cell>
        </row>
        <row r="125">
          <cell r="D125">
            <v>41890</v>
          </cell>
          <cell r="F125">
            <v>182.87566000000001</v>
          </cell>
          <cell r="K125">
            <v>41890</v>
          </cell>
          <cell r="M125">
            <v>24.024979999999999</v>
          </cell>
          <cell r="R125">
            <v>41890</v>
          </cell>
          <cell r="T125">
            <v>4.13</v>
          </cell>
          <cell r="Y125">
            <v>41890</v>
          </cell>
          <cell r="AA125">
            <v>342.34</v>
          </cell>
          <cell r="AF125">
            <v>41890</v>
          </cell>
          <cell r="AH125">
            <v>96.294629999999998</v>
          </cell>
          <cell r="AM125">
            <v>41890</v>
          </cell>
          <cell r="AO125">
            <v>73.7607</v>
          </cell>
          <cell r="AT125">
            <v>41890</v>
          </cell>
          <cell r="AV125">
            <v>39.866030000000002</v>
          </cell>
          <cell r="BA125">
            <v>41890</v>
          </cell>
          <cell r="BC125">
            <v>19.7197</v>
          </cell>
          <cell r="BH125">
            <v>41890</v>
          </cell>
          <cell r="BJ125">
            <v>24.94961</v>
          </cell>
        </row>
        <row r="126">
          <cell r="D126">
            <v>41887</v>
          </cell>
          <cell r="F126">
            <v>183.89516</v>
          </cell>
          <cell r="K126">
            <v>41887</v>
          </cell>
          <cell r="M126">
            <v>24.073129999999999</v>
          </cell>
          <cell r="R126">
            <v>41887</v>
          </cell>
          <cell r="T126">
            <v>4.1500000000000004</v>
          </cell>
          <cell r="Y126">
            <v>41887</v>
          </cell>
          <cell r="AA126">
            <v>346.38</v>
          </cell>
          <cell r="AF126">
            <v>41887</v>
          </cell>
          <cell r="AH126">
            <v>96.891819999999996</v>
          </cell>
          <cell r="AM126">
            <v>41887</v>
          </cell>
          <cell r="AO126">
            <v>73.672669999999997</v>
          </cell>
          <cell r="AT126">
            <v>41887</v>
          </cell>
          <cell r="AV126">
            <v>39.923279999999998</v>
          </cell>
          <cell r="BA126">
            <v>41887</v>
          </cell>
          <cell r="BC126">
            <v>19.754149999999999</v>
          </cell>
          <cell r="BH126">
            <v>41887</v>
          </cell>
          <cell r="BJ126">
            <v>24.96874</v>
          </cell>
        </row>
        <row r="127">
          <cell r="D127">
            <v>41886</v>
          </cell>
          <cell r="F127">
            <v>183.39502999999999</v>
          </cell>
          <cell r="K127">
            <v>41886</v>
          </cell>
          <cell r="M127">
            <v>23.986460000000001</v>
          </cell>
          <cell r="R127">
            <v>41886</v>
          </cell>
          <cell r="T127">
            <v>4.1500000000000004</v>
          </cell>
          <cell r="Y127">
            <v>41886</v>
          </cell>
          <cell r="AA127">
            <v>345.95</v>
          </cell>
          <cell r="AF127">
            <v>41886</v>
          </cell>
          <cell r="AH127">
            <v>96.059669999999997</v>
          </cell>
          <cell r="AM127">
            <v>41886</v>
          </cell>
          <cell r="AO127">
            <v>72.674980000000005</v>
          </cell>
          <cell r="AT127">
            <v>41886</v>
          </cell>
          <cell r="AV127">
            <v>39.951909999999998</v>
          </cell>
          <cell r="BA127">
            <v>41886</v>
          </cell>
          <cell r="BC127">
            <v>19.704940000000001</v>
          </cell>
          <cell r="BH127">
            <v>41886</v>
          </cell>
          <cell r="BJ127">
            <v>24.834810000000001</v>
          </cell>
        </row>
        <row r="128">
          <cell r="D128">
            <v>41885</v>
          </cell>
          <cell r="F128">
            <v>184.61651000000001</v>
          </cell>
          <cell r="K128">
            <v>41885</v>
          </cell>
          <cell r="M128">
            <v>24.111640000000001</v>
          </cell>
          <cell r="R128">
            <v>41885</v>
          </cell>
          <cell r="T128">
            <v>4.1900000000000004</v>
          </cell>
          <cell r="Y128">
            <v>41885</v>
          </cell>
          <cell r="AA128">
            <v>339</v>
          </cell>
          <cell r="AF128">
            <v>41885</v>
          </cell>
          <cell r="AH128">
            <v>96.862449999999995</v>
          </cell>
          <cell r="AM128">
            <v>41885</v>
          </cell>
          <cell r="AO128">
            <v>72.743449999999996</v>
          </cell>
          <cell r="AT128">
            <v>41885</v>
          </cell>
          <cell r="AV128">
            <v>39.866030000000002</v>
          </cell>
          <cell r="BA128">
            <v>41885</v>
          </cell>
          <cell r="BC128">
            <v>19.76399</v>
          </cell>
          <cell r="BH128">
            <v>41885</v>
          </cell>
          <cell r="BJ128">
            <v>24.825240000000001</v>
          </cell>
        </row>
        <row r="129">
          <cell r="D129">
            <v>41884</v>
          </cell>
          <cell r="F129">
            <v>184.24141</v>
          </cell>
          <cell r="K129">
            <v>41884</v>
          </cell>
          <cell r="M129">
            <v>23.95758</v>
          </cell>
          <cell r="R129">
            <v>41884</v>
          </cell>
          <cell r="T129">
            <v>4.16</v>
          </cell>
          <cell r="Y129">
            <v>41884</v>
          </cell>
          <cell r="AA129">
            <v>342.38</v>
          </cell>
          <cell r="AF129">
            <v>41884</v>
          </cell>
          <cell r="AH129">
            <v>101.1309</v>
          </cell>
          <cell r="AM129">
            <v>41884</v>
          </cell>
          <cell r="AO129">
            <v>72.215260000000001</v>
          </cell>
          <cell r="AT129">
            <v>41884</v>
          </cell>
          <cell r="AV129">
            <v>39.73245</v>
          </cell>
          <cell r="BA129">
            <v>41884</v>
          </cell>
          <cell r="BC129">
            <v>19.734470000000002</v>
          </cell>
          <cell r="BH129">
            <v>41884</v>
          </cell>
          <cell r="BJ129">
            <v>24.729579999999999</v>
          </cell>
        </row>
        <row r="130">
          <cell r="D130">
            <v>41880</v>
          </cell>
          <cell r="F130">
            <v>184.95313999999999</v>
          </cell>
          <cell r="K130">
            <v>41880</v>
          </cell>
          <cell r="M130">
            <v>24.063500000000001</v>
          </cell>
          <cell r="R130">
            <v>41880</v>
          </cell>
          <cell r="T130">
            <v>4.17</v>
          </cell>
          <cell r="Y130">
            <v>41880</v>
          </cell>
          <cell r="AA130">
            <v>339.04</v>
          </cell>
          <cell r="AF130">
            <v>41880</v>
          </cell>
          <cell r="AH130">
            <v>100.3477</v>
          </cell>
          <cell r="AM130">
            <v>41880</v>
          </cell>
          <cell r="AO130">
            <v>72.088099999999997</v>
          </cell>
          <cell r="AT130">
            <v>41880</v>
          </cell>
          <cell r="AV130">
            <v>39.808779999999999</v>
          </cell>
          <cell r="BA130">
            <v>41880</v>
          </cell>
          <cell r="BC130">
            <v>19.645879999999998</v>
          </cell>
          <cell r="BH130">
            <v>41880</v>
          </cell>
          <cell r="BJ130">
            <v>24.853940000000001</v>
          </cell>
        </row>
        <row r="131">
          <cell r="D131">
            <v>41879</v>
          </cell>
          <cell r="F131">
            <v>184.66460000000001</v>
          </cell>
          <cell r="K131">
            <v>41879</v>
          </cell>
          <cell r="M131">
            <v>23.92869</v>
          </cell>
          <cell r="R131">
            <v>41879</v>
          </cell>
          <cell r="T131">
            <v>4.1399999999999997</v>
          </cell>
          <cell r="Y131">
            <v>41879</v>
          </cell>
          <cell r="AA131">
            <v>340.02</v>
          </cell>
          <cell r="AF131">
            <v>41879</v>
          </cell>
          <cell r="AH131">
            <v>100.10295000000001</v>
          </cell>
          <cell r="AM131">
            <v>41879</v>
          </cell>
          <cell r="AO131">
            <v>71.667509999999993</v>
          </cell>
          <cell r="AT131">
            <v>41879</v>
          </cell>
          <cell r="AV131">
            <v>39.722900000000003</v>
          </cell>
          <cell r="BA131">
            <v>41879</v>
          </cell>
          <cell r="BC131">
            <v>19.586829999999999</v>
          </cell>
          <cell r="BH131">
            <v>41879</v>
          </cell>
          <cell r="BJ131">
            <v>24.882639999999999</v>
          </cell>
        </row>
        <row r="132">
          <cell r="D132">
            <v>41878</v>
          </cell>
          <cell r="F132">
            <v>184.90504999999999</v>
          </cell>
          <cell r="K132">
            <v>41878</v>
          </cell>
          <cell r="M132">
            <v>23.88054</v>
          </cell>
          <cell r="R132">
            <v>41878</v>
          </cell>
          <cell r="T132">
            <v>4.16</v>
          </cell>
          <cell r="Y132">
            <v>41878</v>
          </cell>
          <cell r="AA132">
            <v>343.18</v>
          </cell>
          <cell r="AF132">
            <v>41878</v>
          </cell>
          <cell r="AH132">
            <v>99.985470000000007</v>
          </cell>
          <cell r="AM132">
            <v>41878</v>
          </cell>
          <cell r="AO132">
            <v>71.080629999999999</v>
          </cell>
          <cell r="AT132">
            <v>41878</v>
          </cell>
          <cell r="AV132">
            <v>39.694279999999999</v>
          </cell>
          <cell r="BA132">
            <v>41878</v>
          </cell>
          <cell r="BC132">
            <v>19.508089999999999</v>
          </cell>
          <cell r="BH132">
            <v>41878</v>
          </cell>
          <cell r="BJ132">
            <v>24.997440000000001</v>
          </cell>
        </row>
        <row r="133">
          <cell r="D133">
            <v>41877</v>
          </cell>
          <cell r="F133">
            <v>185.61677</v>
          </cell>
          <cell r="K133">
            <v>41877</v>
          </cell>
          <cell r="M133">
            <v>23.890170000000001</v>
          </cell>
          <cell r="R133">
            <v>41877</v>
          </cell>
          <cell r="T133">
            <v>4.1900000000000004</v>
          </cell>
          <cell r="Y133">
            <v>41877</v>
          </cell>
          <cell r="AA133">
            <v>341.83</v>
          </cell>
          <cell r="AF133">
            <v>41877</v>
          </cell>
          <cell r="AH133">
            <v>98.770529999999994</v>
          </cell>
          <cell r="AM133">
            <v>41877</v>
          </cell>
          <cell r="AO133">
            <v>71.716409999999996</v>
          </cell>
          <cell r="AT133">
            <v>41877</v>
          </cell>
          <cell r="AV133">
            <v>39.694279999999999</v>
          </cell>
          <cell r="BA133">
            <v>41877</v>
          </cell>
          <cell r="BC133">
            <v>19.832889999999999</v>
          </cell>
          <cell r="BH133">
            <v>41877</v>
          </cell>
          <cell r="BJ133">
            <v>24.882639999999999</v>
          </cell>
        </row>
        <row r="134">
          <cell r="D134">
            <v>41876</v>
          </cell>
          <cell r="F134">
            <v>183.85668999999999</v>
          </cell>
          <cell r="K134">
            <v>41876</v>
          </cell>
          <cell r="M134">
            <v>23.78425</v>
          </cell>
          <cell r="R134">
            <v>41876</v>
          </cell>
          <cell r="T134">
            <v>4.18</v>
          </cell>
          <cell r="Y134">
            <v>41876</v>
          </cell>
          <cell r="AA134">
            <v>334.02</v>
          </cell>
          <cell r="AF134">
            <v>41876</v>
          </cell>
          <cell r="AH134">
            <v>99.407859999999999</v>
          </cell>
          <cell r="AM134">
            <v>41876</v>
          </cell>
          <cell r="AO134">
            <v>71.84357</v>
          </cell>
          <cell r="AT134">
            <v>41876</v>
          </cell>
          <cell r="AV134">
            <v>39.512979999999999</v>
          </cell>
          <cell r="BA134">
            <v>41876</v>
          </cell>
          <cell r="BC134">
            <v>19.626200000000001</v>
          </cell>
          <cell r="BH134">
            <v>41876</v>
          </cell>
          <cell r="BJ134">
            <v>25.064409999999999</v>
          </cell>
        </row>
        <row r="135">
          <cell r="D135">
            <v>41873</v>
          </cell>
          <cell r="F135">
            <v>183.13534000000001</v>
          </cell>
          <cell r="K135">
            <v>41873</v>
          </cell>
          <cell r="M135">
            <v>23.7361</v>
          </cell>
          <cell r="R135">
            <v>41873</v>
          </cell>
          <cell r="T135">
            <v>4.25</v>
          </cell>
          <cell r="Y135">
            <v>41873</v>
          </cell>
          <cell r="AA135">
            <v>331.59</v>
          </cell>
          <cell r="AF135">
            <v>41873</v>
          </cell>
          <cell r="AH135">
            <v>99.192480000000003</v>
          </cell>
          <cell r="AM135">
            <v>41873</v>
          </cell>
          <cell r="AO135">
            <v>71.334940000000003</v>
          </cell>
          <cell r="AT135">
            <v>41873</v>
          </cell>
          <cell r="AV135">
            <v>39.236269999999998</v>
          </cell>
          <cell r="BA135">
            <v>41873</v>
          </cell>
          <cell r="BC135">
            <v>19.576979999999999</v>
          </cell>
          <cell r="BH135">
            <v>41873</v>
          </cell>
          <cell r="BJ135">
            <v>25.016570000000002</v>
          </cell>
        </row>
        <row r="136">
          <cell r="D136">
            <v>41872</v>
          </cell>
          <cell r="F136">
            <v>183.92401000000001</v>
          </cell>
          <cell r="K136">
            <v>41872</v>
          </cell>
          <cell r="M136">
            <v>23.967199999999998</v>
          </cell>
          <cell r="R136">
            <v>41872</v>
          </cell>
          <cell r="T136">
            <v>4.24</v>
          </cell>
          <cell r="Y136">
            <v>41872</v>
          </cell>
          <cell r="AA136">
            <v>332.91</v>
          </cell>
          <cell r="AF136">
            <v>41872</v>
          </cell>
          <cell r="AH136">
            <v>98.468019999999996</v>
          </cell>
          <cell r="AM136">
            <v>41872</v>
          </cell>
          <cell r="AO136">
            <v>71.501230000000007</v>
          </cell>
          <cell r="AT136">
            <v>41872</v>
          </cell>
          <cell r="AV136">
            <v>39.512979999999999</v>
          </cell>
          <cell r="BA136">
            <v>41872</v>
          </cell>
          <cell r="BC136">
            <v>19.419499999999999</v>
          </cell>
          <cell r="BH136">
            <v>41872</v>
          </cell>
          <cell r="BJ136">
            <v>25.28444</v>
          </cell>
        </row>
        <row r="137">
          <cell r="D137">
            <v>41871</v>
          </cell>
          <cell r="F137">
            <v>182.83718999999999</v>
          </cell>
          <cell r="K137">
            <v>41871</v>
          </cell>
          <cell r="M137">
            <v>23.793880000000001</v>
          </cell>
          <cell r="R137">
            <v>41871</v>
          </cell>
          <cell r="T137">
            <v>4.28</v>
          </cell>
          <cell r="Y137">
            <v>41871</v>
          </cell>
          <cell r="AA137">
            <v>335.78</v>
          </cell>
          <cell r="AF137">
            <v>41871</v>
          </cell>
          <cell r="AH137">
            <v>98.45823</v>
          </cell>
          <cell r="AM137">
            <v>41871</v>
          </cell>
          <cell r="AO137">
            <v>70.89479</v>
          </cell>
          <cell r="AT137">
            <v>41871</v>
          </cell>
          <cell r="AV137">
            <v>39.360309999999998</v>
          </cell>
          <cell r="BA137">
            <v>41871</v>
          </cell>
          <cell r="BC137">
            <v>19.114380000000001</v>
          </cell>
          <cell r="BH137">
            <v>41871</v>
          </cell>
          <cell r="BJ137">
            <v>25.217469999999999</v>
          </cell>
        </row>
        <row r="138">
          <cell r="D138">
            <v>41870</v>
          </cell>
          <cell r="F138">
            <v>182.80833000000001</v>
          </cell>
          <cell r="K138">
            <v>41870</v>
          </cell>
          <cell r="M138">
            <v>23.726469999999999</v>
          </cell>
          <cell r="R138">
            <v>41870</v>
          </cell>
          <cell r="T138">
            <v>4.2699999999999996</v>
          </cell>
          <cell r="Y138">
            <v>41870</v>
          </cell>
          <cell r="AA138">
            <v>335.13</v>
          </cell>
          <cell r="AF138">
            <v>41870</v>
          </cell>
          <cell r="AH138">
            <v>98.419070000000005</v>
          </cell>
          <cell r="AM138">
            <v>41870</v>
          </cell>
          <cell r="AO138">
            <v>71.012159999999994</v>
          </cell>
          <cell r="AT138">
            <v>41870</v>
          </cell>
          <cell r="AV138">
            <v>39.36985</v>
          </cell>
          <cell r="BA138">
            <v>41870</v>
          </cell>
          <cell r="BC138">
            <v>19.330919999999999</v>
          </cell>
          <cell r="BH138">
            <v>41870</v>
          </cell>
          <cell r="BJ138">
            <v>24.920909999999999</v>
          </cell>
        </row>
        <row r="139">
          <cell r="D139">
            <v>41869</v>
          </cell>
          <cell r="F139">
            <v>182.12546</v>
          </cell>
          <cell r="K139">
            <v>41869</v>
          </cell>
          <cell r="M139">
            <v>23.716840000000001</v>
          </cell>
          <cell r="R139">
            <v>41869</v>
          </cell>
          <cell r="T139">
            <v>4.21</v>
          </cell>
          <cell r="Y139">
            <v>41869</v>
          </cell>
          <cell r="AA139">
            <v>334.53</v>
          </cell>
          <cell r="AF139">
            <v>41869</v>
          </cell>
          <cell r="AH139">
            <v>97.077830000000006</v>
          </cell>
          <cell r="AM139">
            <v>41869</v>
          </cell>
          <cell r="AO139">
            <v>70.630690000000001</v>
          </cell>
          <cell r="AT139">
            <v>41869</v>
          </cell>
          <cell r="AV139">
            <v>39.455730000000003</v>
          </cell>
          <cell r="BA139">
            <v>41869</v>
          </cell>
          <cell r="BC139">
            <v>19.399819999999998</v>
          </cell>
          <cell r="BH139">
            <v>41869</v>
          </cell>
          <cell r="BJ139">
            <v>24.94004</v>
          </cell>
        </row>
        <row r="140">
          <cell r="D140">
            <v>41866</v>
          </cell>
          <cell r="F140">
            <v>180.22111000000001</v>
          </cell>
          <cell r="K140">
            <v>41866</v>
          </cell>
          <cell r="M140">
            <v>23.524260000000002</v>
          </cell>
          <cell r="R140">
            <v>41866</v>
          </cell>
          <cell r="T140">
            <v>4.13</v>
          </cell>
          <cell r="Y140">
            <v>41866</v>
          </cell>
          <cell r="AA140">
            <v>333.63</v>
          </cell>
          <cell r="AF140">
            <v>41866</v>
          </cell>
          <cell r="AH140">
            <v>95.922610000000006</v>
          </cell>
          <cell r="AM140">
            <v>41866</v>
          </cell>
          <cell r="AO140">
            <v>69.867750000000001</v>
          </cell>
          <cell r="AT140">
            <v>41866</v>
          </cell>
          <cell r="AV140">
            <v>39.007260000000002</v>
          </cell>
          <cell r="BA140">
            <v>41866</v>
          </cell>
          <cell r="BC140">
            <v>19.301390000000001</v>
          </cell>
          <cell r="BH140">
            <v>41866</v>
          </cell>
          <cell r="BJ140">
            <v>24.528680000000001</v>
          </cell>
        </row>
        <row r="141">
          <cell r="D141">
            <v>41865</v>
          </cell>
          <cell r="F141">
            <v>180.702</v>
          </cell>
          <cell r="K141">
            <v>41865</v>
          </cell>
          <cell r="M141">
            <v>23.630179999999999</v>
          </cell>
          <cell r="R141">
            <v>41865</v>
          </cell>
          <cell r="T141">
            <v>4.08</v>
          </cell>
          <cell r="Y141">
            <v>41865</v>
          </cell>
          <cell r="AA141">
            <v>333.21</v>
          </cell>
          <cell r="AF141">
            <v>41865</v>
          </cell>
          <cell r="AH141">
            <v>95.452690000000004</v>
          </cell>
          <cell r="AM141">
            <v>41865</v>
          </cell>
          <cell r="AO141">
            <v>70.552440000000004</v>
          </cell>
          <cell r="AT141">
            <v>41865</v>
          </cell>
          <cell r="AV141">
            <v>38.339329999999997</v>
          </cell>
          <cell r="BA141">
            <v>41865</v>
          </cell>
          <cell r="BC141">
            <v>19.252179999999999</v>
          </cell>
          <cell r="BH141">
            <v>41865</v>
          </cell>
          <cell r="BJ141">
            <v>24.758279999999999</v>
          </cell>
        </row>
        <row r="142">
          <cell r="D142">
            <v>41864</v>
          </cell>
          <cell r="F142">
            <v>180.76933</v>
          </cell>
          <cell r="K142">
            <v>41864</v>
          </cell>
          <cell r="M142">
            <v>24.265709999999999</v>
          </cell>
          <cell r="R142">
            <v>41864</v>
          </cell>
          <cell r="T142">
            <v>4.1100000000000003</v>
          </cell>
          <cell r="Y142">
            <v>41864</v>
          </cell>
          <cell r="AA142">
            <v>326.27999999999997</v>
          </cell>
          <cell r="AF142">
            <v>41864</v>
          </cell>
          <cell r="AH142">
            <v>95.198149999999998</v>
          </cell>
          <cell r="AM142">
            <v>41864</v>
          </cell>
          <cell r="AO142">
            <v>70.307910000000007</v>
          </cell>
          <cell r="AT142">
            <v>41864</v>
          </cell>
          <cell r="AV142">
            <v>38.110320000000002</v>
          </cell>
          <cell r="BA142">
            <v>41864</v>
          </cell>
          <cell r="BC142">
            <v>19.212810000000001</v>
          </cell>
          <cell r="BH142">
            <v>41864</v>
          </cell>
          <cell r="BJ142">
            <v>24.710439999999998</v>
          </cell>
        </row>
        <row r="143">
          <cell r="D143">
            <v>41863</v>
          </cell>
          <cell r="F143">
            <v>180.18262999999999</v>
          </cell>
          <cell r="K143">
            <v>41863</v>
          </cell>
          <cell r="M143">
            <v>24.217569999999998</v>
          </cell>
          <cell r="R143">
            <v>41863</v>
          </cell>
          <cell r="T143">
            <v>4.08</v>
          </cell>
          <cell r="Y143">
            <v>41863</v>
          </cell>
          <cell r="AA143">
            <v>319.32</v>
          </cell>
          <cell r="AF143">
            <v>41863</v>
          </cell>
          <cell r="AH143">
            <v>93.954819999999998</v>
          </cell>
          <cell r="AM143">
            <v>41863</v>
          </cell>
          <cell r="AO143">
            <v>69.466719999999995</v>
          </cell>
          <cell r="AT143">
            <v>41863</v>
          </cell>
          <cell r="AV143">
            <v>37.862229999999997</v>
          </cell>
          <cell r="BA143">
            <v>41863</v>
          </cell>
          <cell r="BC143">
            <v>19.01595</v>
          </cell>
          <cell r="BH143">
            <v>41863</v>
          </cell>
          <cell r="BJ143">
            <v>24.499980000000001</v>
          </cell>
        </row>
        <row r="144">
          <cell r="D144">
            <v>41862</v>
          </cell>
          <cell r="F144">
            <v>180.30767</v>
          </cell>
          <cell r="K144">
            <v>41862</v>
          </cell>
          <cell r="M144">
            <v>24.294599999999999</v>
          </cell>
          <cell r="R144">
            <v>41862</v>
          </cell>
          <cell r="T144">
            <v>4.1399999999999997</v>
          </cell>
          <cell r="Y144">
            <v>41862</v>
          </cell>
          <cell r="AA144">
            <v>318.33</v>
          </cell>
          <cell r="AF144">
            <v>41862</v>
          </cell>
          <cell r="AH144">
            <v>93.974400000000003</v>
          </cell>
          <cell r="AM144">
            <v>41862</v>
          </cell>
          <cell r="AO144">
            <v>69.681910000000002</v>
          </cell>
          <cell r="AT144">
            <v>41862</v>
          </cell>
          <cell r="AV144">
            <v>37.757269999999998</v>
          </cell>
          <cell r="BA144">
            <v>41862</v>
          </cell>
          <cell r="BC144">
            <v>19.330919999999999</v>
          </cell>
          <cell r="BH144">
            <v>41862</v>
          </cell>
          <cell r="BJ144">
            <v>24.672180000000001</v>
          </cell>
        </row>
        <row r="145">
          <cell r="D145">
            <v>41859</v>
          </cell>
          <cell r="F145">
            <v>179.49976000000001</v>
          </cell>
          <cell r="K145">
            <v>41859</v>
          </cell>
          <cell r="M145">
            <v>24.10201</v>
          </cell>
          <cell r="R145">
            <v>41859</v>
          </cell>
          <cell r="T145">
            <v>4.12</v>
          </cell>
          <cell r="Y145">
            <v>41859</v>
          </cell>
          <cell r="AA145">
            <v>316.8</v>
          </cell>
          <cell r="AF145">
            <v>41859</v>
          </cell>
          <cell r="AH145">
            <v>92.750649999999993</v>
          </cell>
          <cell r="AM145">
            <v>41859</v>
          </cell>
          <cell r="AO145">
            <v>69.388469999999998</v>
          </cell>
          <cell r="AT145">
            <v>41859</v>
          </cell>
          <cell r="AV145">
            <v>37.642769999999999</v>
          </cell>
          <cell r="BA145">
            <v>41859</v>
          </cell>
          <cell r="BC145">
            <v>19.291550000000001</v>
          </cell>
          <cell r="BH145">
            <v>41859</v>
          </cell>
          <cell r="BJ145">
            <v>24.547809999999998</v>
          </cell>
        </row>
        <row r="146">
          <cell r="D146">
            <v>41858</v>
          </cell>
          <cell r="F146">
            <v>177.25878</v>
          </cell>
          <cell r="K146">
            <v>41858</v>
          </cell>
          <cell r="M146">
            <v>23.938320000000001</v>
          </cell>
          <cell r="R146">
            <v>41858</v>
          </cell>
          <cell r="T146">
            <v>4.0999999999999996</v>
          </cell>
          <cell r="Y146">
            <v>41858</v>
          </cell>
          <cell r="AA146">
            <v>311.45</v>
          </cell>
          <cell r="AF146">
            <v>41858</v>
          </cell>
          <cell r="AH146">
            <v>92.496099999999998</v>
          </cell>
          <cell r="AM146">
            <v>41858</v>
          </cell>
          <cell r="AO146">
            <v>68.469030000000004</v>
          </cell>
          <cell r="AT146">
            <v>41858</v>
          </cell>
          <cell r="AV146">
            <v>37.547350000000002</v>
          </cell>
          <cell r="BA146">
            <v>41858</v>
          </cell>
          <cell r="BC146">
            <v>19.18328</v>
          </cell>
          <cell r="BH146">
            <v>41858</v>
          </cell>
          <cell r="BJ146">
            <v>24.394749999999998</v>
          </cell>
        </row>
        <row r="147">
          <cell r="D147">
            <v>41857</v>
          </cell>
          <cell r="F147">
            <v>178.86497</v>
          </cell>
          <cell r="K147">
            <v>41857</v>
          </cell>
          <cell r="M147">
            <v>24.00572</v>
          </cell>
          <cell r="R147">
            <v>41857</v>
          </cell>
          <cell r="T147">
            <v>4.12</v>
          </cell>
          <cell r="Y147">
            <v>41857</v>
          </cell>
          <cell r="AA147">
            <v>313.89</v>
          </cell>
          <cell r="AF147">
            <v>41857</v>
          </cell>
          <cell r="AH147">
            <v>92.505889999999994</v>
          </cell>
          <cell r="AM147">
            <v>41857</v>
          </cell>
          <cell r="AO147">
            <v>68.811369999999997</v>
          </cell>
          <cell r="AT147">
            <v>41857</v>
          </cell>
          <cell r="AV147">
            <v>38.091239999999999</v>
          </cell>
          <cell r="BA147">
            <v>41857</v>
          </cell>
          <cell r="BC147">
            <v>19.242339999999999</v>
          </cell>
          <cell r="BH147">
            <v>41857</v>
          </cell>
          <cell r="BJ147">
            <v>24.337350000000001</v>
          </cell>
        </row>
        <row r="148">
          <cell r="D148">
            <v>41856</v>
          </cell>
          <cell r="F148">
            <v>178.89383000000001</v>
          </cell>
          <cell r="K148">
            <v>41856</v>
          </cell>
          <cell r="M148">
            <v>24.044239999999999</v>
          </cell>
          <cell r="R148">
            <v>41856</v>
          </cell>
          <cell r="T148">
            <v>4.08</v>
          </cell>
          <cell r="Y148">
            <v>41856</v>
          </cell>
          <cell r="AA148">
            <v>312.32</v>
          </cell>
          <cell r="AF148">
            <v>41856</v>
          </cell>
          <cell r="AH148">
            <v>92.661760000000001</v>
          </cell>
          <cell r="AM148">
            <v>41856</v>
          </cell>
          <cell r="AO148">
            <v>69.124369999999999</v>
          </cell>
          <cell r="AT148">
            <v>41856</v>
          </cell>
          <cell r="AV148">
            <v>37.38514</v>
          </cell>
          <cell r="BA148">
            <v>41856</v>
          </cell>
          <cell r="BC148">
            <v>19.0947</v>
          </cell>
          <cell r="BH148">
            <v>41856</v>
          </cell>
          <cell r="BJ148">
            <v>23.935549999999999</v>
          </cell>
        </row>
        <row r="149">
          <cell r="D149">
            <v>41855</v>
          </cell>
          <cell r="F149">
            <v>181.32241999999999</v>
          </cell>
          <cell r="K149">
            <v>41855</v>
          </cell>
          <cell r="M149">
            <v>24.232009999999999</v>
          </cell>
          <cell r="R149">
            <v>41855</v>
          </cell>
          <cell r="T149">
            <v>4</v>
          </cell>
          <cell r="Y149">
            <v>41855</v>
          </cell>
          <cell r="AA149">
            <v>313.64999999999998</v>
          </cell>
          <cell r="AF149">
            <v>41855</v>
          </cell>
          <cell r="AH149">
            <v>93.119609999999994</v>
          </cell>
          <cell r="AM149">
            <v>41855</v>
          </cell>
          <cell r="AO149">
            <v>68.742900000000006</v>
          </cell>
          <cell r="AT149">
            <v>41855</v>
          </cell>
          <cell r="AV149">
            <v>37.595059999999997</v>
          </cell>
          <cell r="BA149">
            <v>41855</v>
          </cell>
          <cell r="BC149">
            <v>19.468720000000001</v>
          </cell>
          <cell r="BH149">
            <v>41855</v>
          </cell>
          <cell r="BJ149">
            <v>24.174720000000001</v>
          </cell>
        </row>
        <row r="150">
          <cell r="D150">
            <v>41852</v>
          </cell>
          <cell r="F150">
            <v>180.85391999999999</v>
          </cell>
          <cell r="K150">
            <v>41852</v>
          </cell>
          <cell r="M150">
            <v>24.073129999999999</v>
          </cell>
          <cell r="R150">
            <v>41852</v>
          </cell>
          <cell r="T150">
            <v>3.97</v>
          </cell>
          <cell r="Y150">
            <v>41852</v>
          </cell>
          <cell r="AA150">
            <v>307.06</v>
          </cell>
          <cell r="AF150">
            <v>41852</v>
          </cell>
          <cell r="AH150">
            <v>93.645660000000007</v>
          </cell>
          <cell r="AM150">
            <v>41852</v>
          </cell>
          <cell r="AO150">
            <v>70.787189999999995</v>
          </cell>
          <cell r="AT150">
            <v>41852</v>
          </cell>
          <cell r="AV150">
            <v>37.490099999999998</v>
          </cell>
          <cell r="BA150">
            <v>41852</v>
          </cell>
          <cell r="BC150">
            <v>19.301390000000001</v>
          </cell>
          <cell r="BH150">
            <v>41852</v>
          </cell>
          <cell r="BJ150">
            <v>24.251249999999999</v>
          </cell>
        </row>
        <row r="151">
          <cell r="D151">
            <v>41851</v>
          </cell>
          <cell r="F151">
            <v>183.26338999999999</v>
          </cell>
          <cell r="K151">
            <v>41851</v>
          </cell>
          <cell r="M151">
            <v>24.294599999999999</v>
          </cell>
          <cell r="R151">
            <v>41851</v>
          </cell>
          <cell r="T151">
            <v>3.91</v>
          </cell>
          <cell r="Y151">
            <v>41851</v>
          </cell>
          <cell r="AA151">
            <v>312.99</v>
          </cell>
          <cell r="AF151">
            <v>41851</v>
          </cell>
          <cell r="AH151">
            <v>93.129360000000005</v>
          </cell>
          <cell r="AM151">
            <v>41851</v>
          </cell>
          <cell r="AO151">
            <v>70.082939999999994</v>
          </cell>
          <cell r="AT151">
            <v>41851</v>
          </cell>
          <cell r="AV151">
            <v>37.490099999999998</v>
          </cell>
          <cell r="BA151">
            <v>41851</v>
          </cell>
          <cell r="BC151">
            <v>20.157699999999998</v>
          </cell>
          <cell r="BH151">
            <v>41851</v>
          </cell>
          <cell r="BJ151">
            <v>24.059920000000002</v>
          </cell>
        </row>
        <row r="152">
          <cell r="D152">
            <v>41850</v>
          </cell>
          <cell r="F152">
            <v>185.49119999999999</v>
          </cell>
          <cell r="K152">
            <v>41850</v>
          </cell>
          <cell r="M152">
            <v>24.679770000000001</v>
          </cell>
          <cell r="R152">
            <v>41850</v>
          </cell>
          <cell r="T152">
            <v>3.82</v>
          </cell>
          <cell r="Y152">
            <v>41850</v>
          </cell>
          <cell r="AA152">
            <v>322.51</v>
          </cell>
          <cell r="AF152">
            <v>41850</v>
          </cell>
          <cell r="AH152">
            <v>95.61345</v>
          </cell>
          <cell r="AM152">
            <v>41850</v>
          </cell>
          <cell r="AO152">
            <v>71.158879999999996</v>
          </cell>
          <cell r="AT152">
            <v>41850</v>
          </cell>
          <cell r="AV152">
            <v>37.80498</v>
          </cell>
          <cell r="BA152">
            <v>41850</v>
          </cell>
          <cell r="BC152">
            <v>20.974640000000001</v>
          </cell>
          <cell r="BH152">
            <v>41850</v>
          </cell>
          <cell r="BJ152">
            <v>24.528680000000001</v>
          </cell>
        </row>
        <row r="153">
          <cell r="D153">
            <v>41849</v>
          </cell>
          <cell r="F153">
            <v>186.03620000000001</v>
          </cell>
          <cell r="K153">
            <v>41849</v>
          </cell>
          <cell r="M153">
            <v>24.756799999999998</v>
          </cell>
          <cell r="R153">
            <v>41849</v>
          </cell>
          <cell r="T153">
            <v>3.79</v>
          </cell>
          <cell r="Y153">
            <v>41849</v>
          </cell>
          <cell r="AA153">
            <v>320</v>
          </cell>
          <cell r="AF153">
            <v>41849</v>
          </cell>
          <cell r="AH153">
            <v>95.837509999999995</v>
          </cell>
          <cell r="AM153">
            <v>41849</v>
          </cell>
          <cell r="AO153">
            <v>70.718720000000005</v>
          </cell>
          <cell r="AT153">
            <v>41849</v>
          </cell>
          <cell r="AV153">
            <v>38.501539999999999</v>
          </cell>
          <cell r="BA153">
            <v>41849</v>
          </cell>
          <cell r="BC153">
            <v>20.738409999999998</v>
          </cell>
          <cell r="BH153">
            <v>41849</v>
          </cell>
          <cell r="BJ153">
            <v>24.346910000000001</v>
          </cell>
        </row>
        <row r="154">
          <cell r="D154">
            <v>41848</v>
          </cell>
          <cell r="F154">
            <v>187.19311999999999</v>
          </cell>
          <cell r="K154">
            <v>41848</v>
          </cell>
          <cell r="M154">
            <v>24.959019999999999</v>
          </cell>
          <cell r="R154">
            <v>41848</v>
          </cell>
          <cell r="T154">
            <v>3.73</v>
          </cell>
          <cell r="Y154">
            <v>41848</v>
          </cell>
          <cell r="AA154">
            <v>320.41000000000003</v>
          </cell>
          <cell r="AF154">
            <v>41848</v>
          </cell>
          <cell r="AH154">
            <v>96.460970000000003</v>
          </cell>
          <cell r="AM154">
            <v>41848</v>
          </cell>
          <cell r="AO154">
            <v>70.953469999999996</v>
          </cell>
          <cell r="AT154">
            <v>41848</v>
          </cell>
          <cell r="AV154">
            <v>38.816420000000001</v>
          </cell>
          <cell r="BA154">
            <v>41848</v>
          </cell>
          <cell r="BC154">
            <v>20.36439</v>
          </cell>
          <cell r="BH154">
            <v>41848</v>
          </cell>
          <cell r="BJ154">
            <v>24.48085</v>
          </cell>
        </row>
        <row r="155">
          <cell r="D155">
            <v>41845</v>
          </cell>
          <cell r="F155">
            <v>185.87365</v>
          </cell>
          <cell r="K155">
            <v>41845</v>
          </cell>
          <cell r="M155">
            <v>25.007159999999999</v>
          </cell>
          <cell r="R155">
            <v>41845</v>
          </cell>
          <cell r="T155">
            <v>3.76</v>
          </cell>
          <cell r="Y155">
            <v>41845</v>
          </cell>
          <cell r="AA155">
            <v>324.01</v>
          </cell>
          <cell r="AF155">
            <v>41845</v>
          </cell>
          <cell r="AH155">
            <v>95.146829999999994</v>
          </cell>
          <cell r="AM155">
            <v>41845</v>
          </cell>
          <cell r="AO155">
            <v>70.640469999999993</v>
          </cell>
          <cell r="AT155">
            <v>41845</v>
          </cell>
          <cell r="AV155">
            <v>39.121760000000002</v>
          </cell>
          <cell r="BA155">
            <v>41845</v>
          </cell>
          <cell r="BC155">
            <v>20.797470000000001</v>
          </cell>
          <cell r="BH155">
            <v>41845</v>
          </cell>
          <cell r="BJ155">
            <v>24.672180000000001</v>
          </cell>
        </row>
        <row r="156">
          <cell r="D156">
            <v>41844</v>
          </cell>
          <cell r="F156">
            <v>186.67680999999999</v>
          </cell>
          <cell r="K156">
            <v>41844</v>
          </cell>
          <cell r="M156">
            <v>24.872350000000001</v>
          </cell>
          <cell r="R156">
            <v>41844</v>
          </cell>
          <cell r="T156">
            <v>3.73</v>
          </cell>
          <cell r="Y156">
            <v>41844</v>
          </cell>
          <cell r="AA156">
            <v>358.61</v>
          </cell>
          <cell r="AF156">
            <v>41844</v>
          </cell>
          <cell r="AH156">
            <v>94.522400000000005</v>
          </cell>
          <cell r="AM156">
            <v>41844</v>
          </cell>
          <cell r="AO156">
            <v>70.845879999999994</v>
          </cell>
          <cell r="AT156">
            <v>41844</v>
          </cell>
          <cell r="AV156">
            <v>39.093139999999998</v>
          </cell>
          <cell r="BA156">
            <v>41844</v>
          </cell>
          <cell r="BC156">
            <v>20.70889</v>
          </cell>
          <cell r="BH156">
            <v>41844</v>
          </cell>
          <cell r="BJ156">
            <v>24.81568</v>
          </cell>
        </row>
        <row r="157">
          <cell r="D157">
            <v>41843</v>
          </cell>
          <cell r="F157">
            <v>185.13741999999999</v>
          </cell>
          <cell r="K157">
            <v>41843</v>
          </cell>
          <cell r="M157">
            <v>24.727920000000001</v>
          </cell>
          <cell r="R157">
            <v>41843</v>
          </cell>
          <cell r="T157">
            <v>3.76</v>
          </cell>
          <cell r="Y157">
            <v>41843</v>
          </cell>
          <cell r="AA157">
            <v>358.14</v>
          </cell>
          <cell r="AF157">
            <v>41843</v>
          </cell>
          <cell r="AH157">
            <v>94.678259999999995</v>
          </cell>
          <cell r="AM157">
            <v>41843</v>
          </cell>
          <cell r="AO157">
            <v>69.887309999999999</v>
          </cell>
          <cell r="AT157">
            <v>41843</v>
          </cell>
          <cell r="AV157">
            <v>38.940469999999998</v>
          </cell>
          <cell r="BA157">
            <v>41843</v>
          </cell>
          <cell r="BC157">
            <v>21.014009999999999</v>
          </cell>
          <cell r="BH157">
            <v>41843</v>
          </cell>
          <cell r="BJ157">
            <v>24.78698</v>
          </cell>
        </row>
        <row r="158">
          <cell r="D158">
            <v>41842</v>
          </cell>
          <cell r="F158">
            <v>185.57724999999999</v>
          </cell>
          <cell r="K158">
            <v>41842</v>
          </cell>
          <cell r="M158">
            <v>24.987909999999999</v>
          </cell>
          <cell r="R158">
            <v>41842</v>
          </cell>
          <cell r="T158">
            <v>3.8</v>
          </cell>
          <cell r="Y158">
            <v>41842</v>
          </cell>
          <cell r="AA158">
            <v>360.84</v>
          </cell>
          <cell r="AF158">
            <v>41842</v>
          </cell>
          <cell r="AH158">
            <v>92.272099999999995</v>
          </cell>
          <cell r="AM158">
            <v>41842</v>
          </cell>
          <cell r="AO158">
            <v>69.173280000000005</v>
          </cell>
          <cell r="AT158">
            <v>41842</v>
          </cell>
          <cell r="AV158">
            <v>39.303060000000002</v>
          </cell>
          <cell r="BA158">
            <v>41842</v>
          </cell>
          <cell r="BC158">
            <v>21.11243</v>
          </cell>
          <cell r="BH158">
            <v>41842</v>
          </cell>
          <cell r="BJ158">
            <v>24.892209999999999</v>
          </cell>
        </row>
        <row r="159">
          <cell r="D159">
            <v>41841</v>
          </cell>
          <cell r="F159">
            <v>182.47935000000001</v>
          </cell>
          <cell r="K159">
            <v>41841</v>
          </cell>
          <cell r="M159">
            <v>24.89161</v>
          </cell>
          <cell r="R159">
            <v>41841</v>
          </cell>
          <cell r="T159">
            <v>3.78</v>
          </cell>
          <cell r="Y159">
            <v>41841</v>
          </cell>
          <cell r="AA159">
            <v>359.76</v>
          </cell>
          <cell r="AF159">
            <v>41841</v>
          </cell>
          <cell r="AH159">
            <v>91.511279999999999</v>
          </cell>
          <cell r="AM159">
            <v>41841</v>
          </cell>
          <cell r="AO159">
            <v>68.537499999999994</v>
          </cell>
          <cell r="AT159">
            <v>41841</v>
          </cell>
          <cell r="AV159">
            <v>40.457630000000002</v>
          </cell>
          <cell r="BA159">
            <v>41841</v>
          </cell>
          <cell r="BC159">
            <v>20.95495</v>
          </cell>
          <cell r="BH159">
            <v>41841</v>
          </cell>
          <cell r="BJ159">
            <v>24.853940000000001</v>
          </cell>
        </row>
        <row r="160">
          <cell r="D160">
            <v>41838</v>
          </cell>
          <cell r="F160">
            <v>184.05699000000001</v>
          </cell>
          <cell r="K160">
            <v>41838</v>
          </cell>
          <cell r="M160">
            <v>24.949390000000001</v>
          </cell>
          <cell r="R160">
            <v>41838</v>
          </cell>
          <cell r="T160">
            <v>3.83</v>
          </cell>
          <cell r="Y160">
            <v>41838</v>
          </cell>
          <cell r="AA160">
            <v>358.66</v>
          </cell>
          <cell r="AF160">
            <v>41838</v>
          </cell>
          <cell r="AH160">
            <v>91.989590000000007</v>
          </cell>
          <cell r="AM160">
            <v>41838</v>
          </cell>
          <cell r="AO160">
            <v>69.505840000000006</v>
          </cell>
          <cell r="AT160">
            <v>41838</v>
          </cell>
          <cell r="AV160">
            <v>40.486260000000001</v>
          </cell>
          <cell r="BA160">
            <v>41838</v>
          </cell>
          <cell r="BC160">
            <v>21.575040000000001</v>
          </cell>
          <cell r="BH160">
            <v>41838</v>
          </cell>
          <cell r="BJ160">
            <v>25.313140000000001</v>
          </cell>
        </row>
        <row r="161">
          <cell r="D161">
            <v>41837</v>
          </cell>
          <cell r="F161">
            <v>184.04741999999999</v>
          </cell>
          <cell r="K161">
            <v>41837</v>
          </cell>
          <cell r="M161">
            <v>24.679770000000001</v>
          </cell>
          <cell r="R161">
            <v>41837</v>
          </cell>
          <cell r="T161">
            <v>4.57</v>
          </cell>
          <cell r="Y161">
            <v>41837</v>
          </cell>
          <cell r="AA161">
            <v>352.45400000000001</v>
          </cell>
          <cell r="AF161">
            <v>41837</v>
          </cell>
          <cell r="AH161">
            <v>90.684119999999993</v>
          </cell>
          <cell r="AM161">
            <v>41837</v>
          </cell>
          <cell r="AO161">
            <v>69.036339999999996</v>
          </cell>
          <cell r="AT161">
            <v>41837</v>
          </cell>
          <cell r="AV161">
            <v>40.095039999999997</v>
          </cell>
          <cell r="BA161">
            <v>41837</v>
          </cell>
          <cell r="BC161">
            <v>21.023849999999999</v>
          </cell>
          <cell r="BH161">
            <v>41837</v>
          </cell>
          <cell r="BJ161">
            <v>25.45664</v>
          </cell>
        </row>
        <row r="162">
          <cell r="D162">
            <v>41836</v>
          </cell>
          <cell r="F162">
            <v>183.92312999999999</v>
          </cell>
          <cell r="K162">
            <v>41836</v>
          </cell>
          <cell r="M162">
            <v>25.01679</v>
          </cell>
          <cell r="R162">
            <v>41836</v>
          </cell>
          <cell r="T162">
            <v>4.66</v>
          </cell>
          <cell r="Y162">
            <v>41836</v>
          </cell>
          <cell r="AA162">
            <v>355.9</v>
          </cell>
          <cell r="AF162">
            <v>41836</v>
          </cell>
          <cell r="AH162">
            <v>92.330550000000002</v>
          </cell>
          <cell r="AM162">
            <v>41836</v>
          </cell>
          <cell r="AO162">
            <v>69.447149999999993</v>
          </cell>
          <cell r="AT162">
            <v>41836</v>
          </cell>
          <cell r="AV162">
            <v>40.190460000000002</v>
          </cell>
          <cell r="BA162">
            <v>41836</v>
          </cell>
          <cell r="BC162">
            <v>21.565200000000001</v>
          </cell>
          <cell r="BH162">
            <v>41836</v>
          </cell>
          <cell r="BJ162">
            <v>25.848870000000002</v>
          </cell>
        </row>
        <row r="163">
          <cell r="D163">
            <v>41835</v>
          </cell>
          <cell r="F163">
            <v>180.22286</v>
          </cell>
          <cell r="K163">
            <v>41835</v>
          </cell>
          <cell r="M163">
            <v>24.71829</v>
          </cell>
          <cell r="R163">
            <v>41835</v>
          </cell>
          <cell r="T163">
            <v>4.53</v>
          </cell>
          <cell r="Y163">
            <v>41835</v>
          </cell>
          <cell r="AA163">
            <v>354.44</v>
          </cell>
          <cell r="AF163">
            <v>41835</v>
          </cell>
          <cell r="AH163">
            <v>92.856589999999997</v>
          </cell>
          <cell r="AM163">
            <v>41835</v>
          </cell>
          <cell r="AO163">
            <v>69.456940000000003</v>
          </cell>
          <cell r="AT163">
            <v>41835</v>
          </cell>
          <cell r="AV163">
            <v>40.171370000000003</v>
          </cell>
          <cell r="BA163">
            <v>41835</v>
          </cell>
          <cell r="BC163">
            <v>21.515979999999999</v>
          </cell>
          <cell r="BH163">
            <v>41835</v>
          </cell>
          <cell r="BJ163">
            <v>25.45664</v>
          </cell>
        </row>
        <row r="164">
          <cell r="D164">
            <v>41834</v>
          </cell>
          <cell r="F164">
            <v>181.53278</v>
          </cell>
          <cell r="K164">
            <v>41834</v>
          </cell>
          <cell r="M164">
            <v>24.49681</v>
          </cell>
          <cell r="R164">
            <v>41834</v>
          </cell>
          <cell r="T164">
            <v>4.6399999999999997</v>
          </cell>
          <cell r="Y164">
            <v>41834</v>
          </cell>
          <cell r="AA164">
            <v>355.32</v>
          </cell>
          <cell r="AF164">
            <v>41834</v>
          </cell>
          <cell r="AH164">
            <v>93.957390000000004</v>
          </cell>
          <cell r="AM164">
            <v>41834</v>
          </cell>
          <cell r="AO164">
            <v>69.095029999999994</v>
          </cell>
          <cell r="AT164">
            <v>41834</v>
          </cell>
          <cell r="AV164">
            <v>40.438549999999999</v>
          </cell>
          <cell r="BA164">
            <v>41834</v>
          </cell>
          <cell r="BC164">
            <v>22.332920000000001</v>
          </cell>
          <cell r="BH164">
            <v>41834</v>
          </cell>
          <cell r="BJ164">
            <v>25.504470000000001</v>
          </cell>
        </row>
        <row r="165">
          <cell r="D165">
            <v>41831</v>
          </cell>
          <cell r="F165">
            <v>179.75434999999999</v>
          </cell>
          <cell r="K165">
            <v>41831</v>
          </cell>
          <cell r="M165">
            <v>24.57385</v>
          </cell>
          <cell r="R165">
            <v>41831</v>
          </cell>
          <cell r="T165">
            <v>4.37</v>
          </cell>
          <cell r="Y165">
            <v>41831</v>
          </cell>
          <cell r="AA165">
            <v>346.2</v>
          </cell>
          <cell r="AF165">
            <v>41831</v>
          </cell>
          <cell r="AH165">
            <v>92.759180000000001</v>
          </cell>
          <cell r="AM165">
            <v>41831</v>
          </cell>
          <cell r="AO165">
            <v>68.93853</v>
          </cell>
          <cell r="AT165">
            <v>41831</v>
          </cell>
          <cell r="AV165">
            <v>40.047330000000002</v>
          </cell>
          <cell r="BA165">
            <v>41831</v>
          </cell>
          <cell r="BC165">
            <v>22.22465</v>
          </cell>
          <cell r="BH165">
            <v>41831</v>
          </cell>
          <cell r="BJ165">
            <v>25.399239999999999</v>
          </cell>
        </row>
        <row r="166">
          <cell r="D166">
            <v>41830</v>
          </cell>
          <cell r="F166">
            <v>179.46751</v>
          </cell>
          <cell r="K166">
            <v>41830</v>
          </cell>
          <cell r="M166">
            <v>24.49681</v>
          </cell>
          <cell r="R166">
            <v>41830</v>
          </cell>
          <cell r="T166">
            <v>4.29</v>
          </cell>
          <cell r="Y166">
            <v>41830</v>
          </cell>
          <cell r="AA166">
            <v>327.92</v>
          </cell>
          <cell r="AF166">
            <v>41830</v>
          </cell>
          <cell r="AH166">
            <v>92.578959999999995</v>
          </cell>
          <cell r="AM166">
            <v>41830</v>
          </cell>
          <cell r="AO166">
            <v>68.967870000000005</v>
          </cell>
          <cell r="AT166">
            <v>41830</v>
          </cell>
          <cell r="AV166">
            <v>40.324039999999997</v>
          </cell>
          <cell r="BA166">
            <v>41830</v>
          </cell>
          <cell r="BC166">
            <v>22.529769999999999</v>
          </cell>
          <cell r="BH166">
            <v>41830</v>
          </cell>
          <cell r="BJ166">
            <v>25.064409999999999</v>
          </cell>
        </row>
        <row r="167">
          <cell r="D167">
            <v>41829</v>
          </cell>
          <cell r="F167">
            <v>180.15593000000001</v>
          </cell>
          <cell r="K167">
            <v>41829</v>
          </cell>
          <cell r="M167">
            <v>24.49681</v>
          </cell>
          <cell r="R167">
            <v>41829</v>
          </cell>
          <cell r="T167">
            <v>4.2300000000000004</v>
          </cell>
          <cell r="Y167">
            <v>41829</v>
          </cell>
          <cell r="AA167">
            <v>329.97</v>
          </cell>
          <cell r="AF167">
            <v>41829</v>
          </cell>
          <cell r="AH167">
            <v>92.924779999999998</v>
          </cell>
          <cell r="AM167">
            <v>41829</v>
          </cell>
          <cell r="AO167">
            <v>68.703779999999995</v>
          </cell>
          <cell r="AT167">
            <v>41829</v>
          </cell>
          <cell r="AV167">
            <v>40.028239999999997</v>
          </cell>
          <cell r="BA167">
            <v>41829</v>
          </cell>
          <cell r="BC167">
            <v>22.490400000000001</v>
          </cell>
          <cell r="BH167">
            <v>41829</v>
          </cell>
          <cell r="BJ167">
            <v>25.179210000000001</v>
          </cell>
        </row>
        <row r="168">
          <cell r="D168">
            <v>41828</v>
          </cell>
          <cell r="F168">
            <v>179.00856999999999</v>
          </cell>
          <cell r="K168">
            <v>41828</v>
          </cell>
          <cell r="M168">
            <v>24.140529999999998</v>
          </cell>
          <cell r="R168">
            <v>41828</v>
          </cell>
          <cell r="T168">
            <v>4.22</v>
          </cell>
          <cell r="Y168">
            <v>41828</v>
          </cell>
          <cell r="AA168">
            <v>323.81</v>
          </cell>
          <cell r="AF168">
            <v>41828</v>
          </cell>
          <cell r="AH168">
            <v>92.885819999999995</v>
          </cell>
          <cell r="AM168">
            <v>41828</v>
          </cell>
          <cell r="AO168">
            <v>68.244060000000005</v>
          </cell>
          <cell r="AT168">
            <v>41828</v>
          </cell>
          <cell r="AV168">
            <v>40.018700000000003</v>
          </cell>
          <cell r="BA168">
            <v>41828</v>
          </cell>
          <cell r="BC168">
            <v>22.5593</v>
          </cell>
          <cell r="BH168">
            <v>41828</v>
          </cell>
          <cell r="BJ168">
            <v>25.227039999999999</v>
          </cell>
        </row>
        <row r="169">
          <cell r="D169">
            <v>41827</v>
          </cell>
          <cell r="F169">
            <v>179.79259999999999</v>
          </cell>
          <cell r="K169">
            <v>41827</v>
          </cell>
          <cell r="M169">
            <v>24.294599999999999</v>
          </cell>
          <cell r="R169">
            <v>41827</v>
          </cell>
          <cell r="T169">
            <v>4.26</v>
          </cell>
          <cell r="Y169">
            <v>41827</v>
          </cell>
          <cell r="AA169">
            <v>333.55</v>
          </cell>
          <cell r="AF169">
            <v>41827</v>
          </cell>
          <cell r="AH169">
            <v>93.487840000000006</v>
          </cell>
          <cell r="AM169">
            <v>41827</v>
          </cell>
          <cell r="AO169">
            <v>68.840710000000001</v>
          </cell>
          <cell r="AT169">
            <v>41827</v>
          </cell>
          <cell r="AV169">
            <v>40.209539999999997</v>
          </cell>
          <cell r="BA169">
            <v>41827</v>
          </cell>
          <cell r="BC169">
            <v>22.598669999999998</v>
          </cell>
          <cell r="BH169">
            <v>41827</v>
          </cell>
          <cell r="BJ169">
            <v>25.59057</v>
          </cell>
        </row>
        <row r="170">
          <cell r="D170">
            <v>41823</v>
          </cell>
          <cell r="F170">
            <v>180.26111</v>
          </cell>
          <cell r="K170">
            <v>41823</v>
          </cell>
          <cell r="M170">
            <v>24.256080000000001</v>
          </cell>
          <cell r="R170">
            <v>41823</v>
          </cell>
          <cell r="T170">
            <v>4.24</v>
          </cell>
          <cell r="Y170">
            <v>41823</v>
          </cell>
          <cell r="AA170">
            <v>337.49200000000002</v>
          </cell>
          <cell r="AF170">
            <v>41823</v>
          </cell>
          <cell r="AH170">
            <v>91.599930000000001</v>
          </cell>
          <cell r="AM170">
            <v>41823</v>
          </cell>
          <cell r="AO170">
            <v>68.870059999999995</v>
          </cell>
          <cell r="AT170">
            <v>41823</v>
          </cell>
          <cell r="AV170">
            <v>40.29542</v>
          </cell>
          <cell r="BA170">
            <v>41823</v>
          </cell>
          <cell r="BC170">
            <v>23.071120000000001</v>
          </cell>
          <cell r="BH170">
            <v>41823</v>
          </cell>
          <cell r="BJ170">
            <v>25.695799999999998</v>
          </cell>
        </row>
        <row r="171">
          <cell r="D171">
            <v>41822</v>
          </cell>
          <cell r="F171">
            <v>180.12725</v>
          </cell>
          <cell r="K171">
            <v>41822</v>
          </cell>
          <cell r="M171">
            <v>24.10201</v>
          </cell>
          <cell r="R171">
            <v>41822</v>
          </cell>
          <cell r="T171">
            <v>4.34</v>
          </cell>
          <cell r="Y171">
            <v>41822</v>
          </cell>
          <cell r="AA171">
            <v>332.85</v>
          </cell>
          <cell r="AF171">
            <v>41822</v>
          </cell>
          <cell r="AH171">
            <v>91.064139999999995</v>
          </cell>
          <cell r="AM171">
            <v>41822</v>
          </cell>
          <cell r="AO171">
            <v>68.067989999999995</v>
          </cell>
          <cell r="AT171">
            <v>41822</v>
          </cell>
          <cell r="AV171">
            <v>40.352670000000003</v>
          </cell>
          <cell r="BA171">
            <v>41822</v>
          </cell>
          <cell r="BC171">
            <v>22.864419999999999</v>
          </cell>
          <cell r="BH171">
            <v>41822</v>
          </cell>
          <cell r="BJ171">
            <v>25.45664</v>
          </cell>
        </row>
        <row r="172">
          <cell r="D172">
            <v>41821</v>
          </cell>
          <cell r="F172">
            <v>178.17671999999999</v>
          </cell>
          <cell r="K172">
            <v>41821</v>
          </cell>
          <cell r="M172">
            <v>23.967199999999998</v>
          </cell>
          <cell r="R172">
            <v>41821</v>
          </cell>
          <cell r="T172">
            <v>4.22</v>
          </cell>
          <cell r="Y172">
            <v>41821</v>
          </cell>
          <cell r="AA172">
            <v>332.39</v>
          </cell>
          <cell r="AF172">
            <v>41821</v>
          </cell>
          <cell r="AH172">
            <v>91.103110000000001</v>
          </cell>
          <cell r="AM172">
            <v>41821</v>
          </cell>
          <cell r="AO172">
            <v>68.097340000000003</v>
          </cell>
          <cell r="AT172">
            <v>41821</v>
          </cell>
          <cell r="AV172">
            <v>40.352670000000003</v>
          </cell>
          <cell r="BA172">
            <v>41821</v>
          </cell>
          <cell r="BC172">
            <v>22.54946</v>
          </cell>
          <cell r="BH172">
            <v>41821</v>
          </cell>
          <cell r="BJ172">
            <v>25.255739999999999</v>
          </cell>
        </row>
        <row r="173">
          <cell r="D173">
            <v>41820</v>
          </cell>
          <cell r="F173">
            <v>173.31952999999999</v>
          </cell>
          <cell r="K173">
            <v>41820</v>
          </cell>
          <cell r="M173">
            <v>23.747409999999999</v>
          </cell>
          <cell r="R173">
            <v>41820</v>
          </cell>
          <cell r="T173">
            <v>4.1900000000000004</v>
          </cell>
          <cell r="Y173">
            <v>41820</v>
          </cell>
          <cell r="AA173">
            <v>324.77999999999997</v>
          </cell>
          <cell r="AF173">
            <v>41820</v>
          </cell>
          <cell r="AH173">
            <v>90.528360000000006</v>
          </cell>
          <cell r="AM173">
            <v>41820</v>
          </cell>
          <cell r="AO173">
            <v>67.060519999999997</v>
          </cell>
          <cell r="AT173">
            <v>41820</v>
          </cell>
          <cell r="AV173">
            <v>40.419460000000001</v>
          </cell>
          <cell r="BA173">
            <v>41820</v>
          </cell>
          <cell r="BC173">
            <v>21.78173</v>
          </cell>
          <cell r="BH173">
            <v>41820</v>
          </cell>
          <cell r="BJ173">
            <v>25.140940000000001</v>
          </cell>
        </row>
        <row r="174">
          <cell r="D174">
            <v>41817</v>
          </cell>
          <cell r="F174">
            <v>173.74023</v>
          </cell>
          <cell r="K174">
            <v>41817</v>
          </cell>
          <cell r="M174">
            <v>23.60407</v>
          </cell>
          <cell r="R174">
            <v>41817</v>
          </cell>
          <cell r="T174">
            <v>4.1100000000000003</v>
          </cell>
          <cell r="Y174">
            <v>41817</v>
          </cell>
          <cell r="AA174">
            <v>324.57</v>
          </cell>
          <cell r="AF174">
            <v>41817</v>
          </cell>
          <cell r="AH174">
            <v>89.602909999999994</v>
          </cell>
          <cell r="AM174">
            <v>41817</v>
          </cell>
          <cell r="AO174">
            <v>67.647400000000005</v>
          </cell>
          <cell r="AT174">
            <v>41817</v>
          </cell>
          <cell r="AV174">
            <v>40.257249999999999</v>
          </cell>
          <cell r="BA174">
            <v>41817</v>
          </cell>
          <cell r="BC174">
            <v>21.89</v>
          </cell>
          <cell r="BH174">
            <v>41817</v>
          </cell>
          <cell r="BJ174">
            <v>25.28444</v>
          </cell>
        </row>
        <row r="175">
          <cell r="D175">
            <v>41816</v>
          </cell>
          <cell r="F175">
            <v>172.459</v>
          </cell>
          <cell r="K175">
            <v>41816</v>
          </cell>
          <cell r="M175">
            <v>23.556280000000001</v>
          </cell>
          <cell r="R175">
            <v>41816</v>
          </cell>
          <cell r="T175">
            <v>4.03</v>
          </cell>
          <cell r="Y175">
            <v>41816</v>
          </cell>
          <cell r="AA175">
            <v>325.69</v>
          </cell>
          <cell r="AF175">
            <v>41816</v>
          </cell>
          <cell r="AH175">
            <v>88.550820000000002</v>
          </cell>
          <cell r="AM175">
            <v>41816</v>
          </cell>
          <cell r="AO175">
            <v>67.380859999999998</v>
          </cell>
          <cell r="AT175">
            <v>41816</v>
          </cell>
          <cell r="AV175">
            <v>40.104579999999999</v>
          </cell>
          <cell r="BA175">
            <v>41816</v>
          </cell>
          <cell r="BC175">
            <v>21.78173</v>
          </cell>
          <cell r="BH175">
            <v>41816</v>
          </cell>
          <cell r="BJ175">
            <v>25.150510000000001</v>
          </cell>
        </row>
        <row r="176">
          <cell r="D176">
            <v>41815</v>
          </cell>
          <cell r="F176">
            <v>172.79365000000001</v>
          </cell>
          <cell r="K176">
            <v>41815</v>
          </cell>
          <cell r="M176">
            <v>23.623180000000001</v>
          </cell>
          <cell r="R176">
            <v>41815</v>
          </cell>
          <cell r="T176">
            <v>3.96</v>
          </cell>
          <cell r="Y176">
            <v>41815</v>
          </cell>
          <cell r="AA176">
            <v>327.44</v>
          </cell>
          <cell r="AF176">
            <v>41815</v>
          </cell>
          <cell r="AH176">
            <v>88.024780000000007</v>
          </cell>
          <cell r="AM176">
            <v>41815</v>
          </cell>
          <cell r="AO176">
            <v>67.692310000000006</v>
          </cell>
          <cell r="AT176">
            <v>41815</v>
          </cell>
          <cell r="AV176">
            <v>40.037790000000001</v>
          </cell>
          <cell r="BA176">
            <v>41815</v>
          </cell>
          <cell r="BC176">
            <v>21.939209999999999</v>
          </cell>
          <cell r="BH176">
            <v>41815</v>
          </cell>
          <cell r="BJ176">
            <v>25.27487</v>
          </cell>
        </row>
        <row r="177">
          <cell r="D177">
            <v>41814</v>
          </cell>
          <cell r="F177">
            <v>172.94664</v>
          </cell>
          <cell r="K177">
            <v>41814</v>
          </cell>
          <cell r="M177">
            <v>23.441610000000001</v>
          </cell>
          <cell r="R177">
            <v>41814</v>
          </cell>
          <cell r="T177">
            <v>3.94</v>
          </cell>
          <cell r="Y177">
            <v>41814</v>
          </cell>
          <cell r="AA177">
            <v>324.16000000000003</v>
          </cell>
          <cell r="AF177">
            <v>41814</v>
          </cell>
          <cell r="AH177">
            <v>87.946839999999995</v>
          </cell>
          <cell r="AM177">
            <v>41814</v>
          </cell>
          <cell r="AO177">
            <v>66.777420000000006</v>
          </cell>
          <cell r="AT177">
            <v>41814</v>
          </cell>
          <cell r="AV177">
            <v>39.932830000000003</v>
          </cell>
          <cell r="BA177">
            <v>41814</v>
          </cell>
          <cell r="BC177">
            <v>22.342040000000001</v>
          </cell>
          <cell r="BH177">
            <v>41814</v>
          </cell>
          <cell r="BJ177">
            <v>25.42794</v>
          </cell>
        </row>
        <row r="178">
          <cell r="D178">
            <v>41813</v>
          </cell>
          <cell r="F178">
            <v>174.15136999999999</v>
          </cell>
          <cell r="K178">
            <v>41813</v>
          </cell>
          <cell r="M178">
            <v>23.60407</v>
          </cell>
          <cell r="R178">
            <v>41813</v>
          </cell>
          <cell r="T178">
            <v>4.01</v>
          </cell>
          <cell r="Y178">
            <v>41813</v>
          </cell>
          <cell r="AA178">
            <v>327.24</v>
          </cell>
          <cell r="AF178">
            <v>41813</v>
          </cell>
          <cell r="AH178">
            <v>88.48263</v>
          </cell>
          <cell r="AM178">
            <v>41813</v>
          </cell>
          <cell r="AO178">
            <v>66.991540000000001</v>
          </cell>
          <cell r="AT178">
            <v>41813</v>
          </cell>
          <cell r="AV178">
            <v>39.81832</v>
          </cell>
          <cell r="BA178">
            <v>41813</v>
          </cell>
          <cell r="BC178">
            <v>22.057110000000002</v>
          </cell>
          <cell r="BH178">
            <v>41813</v>
          </cell>
          <cell r="BJ178">
            <v>25.523599999999998</v>
          </cell>
        </row>
        <row r="179">
          <cell r="D179">
            <v>41810</v>
          </cell>
          <cell r="F179">
            <v>173.58725000000001</v>
          </cell>
          <cell r="K179">
            <v>41810</v>
          </cell>
          <cell r="M179">
            <v>23.728300000000001</v>
          </cell>
          <cell r="R179">
            <v>41810</v>
          </cell>
          <cell r="T179">
            <v>4.0999999999999996</v>
          </cell>
          <cell r="Y179">
            <v>41810</v>
          </cell>
          <cell r="AA179">
            <v>324.2</v>
          </cell>
          <cell r="AF179">
            <v>41810</v>
          </cell>
          <cell r="AH179">
            <v>88.560559999999995</v>
          </cell>
          <cell r="AM179">
            <v>41810</v>
          </cell>
          <cell r="AO179">
            <v>67.283529999999999</v>
          </cell>
          <cell r="AT179">
            <v>41810</v>
          </cell>
          <cell r="AV179">
            <v>39.780160000000002</v>
          </cell>
          <cell r="BA179">
            <v>41810</v>
          </cell>
          <cell r="BC179">
            <v>22.273260000000001</v>
          </cell>
          <cell r="BH179">
            <v>41810</v>
          </cell>
          <cell r="BJ179">
            <v>25.801030000000001</v>
          </cell>
        </row>
        <row r="180">
          <cell r="D180">
            <v>41809</v>
          </cell>
          <cell r="F180">
            <v>174.80154999999999</v>
          </cell>
          <cell r="K180">
            <v>41809</v>
          </cell>
          <cell r="M180">
            <v>23.613620000000001</v>
          </cell>
          <cell r="R180">
            <v>41809</v>
          </cell>
          <cell r="T180">
            <v>4.3600000000000003</v>
          </cell>
          <cell r="Y180">
            <v>41809</v>
          </cell>
          <cell r="AA180">
            <v>327</v>
          </cell>
          <cell r="AF180">
            <v>41809</v>
          </cell>
          <cell r="AH180">
            <v>89.486009999999993</v>
          </cell>
          <cell r="AM180">
            <v>41809</v>
          </cell>
          <cell r="AO180">
            <v>66.865009999999998</v>
          </cell>
          <cell r="AT180">
            <v>41809</v>
          </cell>
          <cell r="AV180">
            <v>39.875570000000003</v>
          </cell>
          <cell r="BA180">
            <v>41809</v>
          </cell>
          <cell r="BC180">
            <v>21.909739999999999</v>
          </cell>
          <cell r="BH180">
            <v>41809</v>
          </cell>
          <cell r="BJ180">
            <v>25.76277</v>
          </cell>
        </row>
        <row r="181">
          <cell r="D181">
            <v>41808</v>
          </cell>
          <cell r="F181">
            <v>175.54733999999999</v>
          </cell>
          <cell r="K181">
            <v>41808</v>
          </cell>
          <cell r="M181">
            <v>23.53717</v>
          </cell>
          <cell r="R181">
            <v>41808</v>
          </cell>
          <cell r="T181">
            <v>4.4000000000000004</v>
          </cell>
          <cell r="Y181">
            <v>41808</v>
          </cell>
          <cell r="AA181">
            <v>334.38</v>
          </cell>
          <cell r="AF181">
            <v>41808</v>
          </cell>
          <cell r="AH181">
            <v>89.797740000000005</v>
          </cell>
          <cell r="AM181">
            <v>41808</v>
          </cell>
          <cell r="AO181">
            <v>66.903949999999995</v>
          </cell>
          <cell r="AT181">
            <v>41808</v>
          </cell>
          <cell r="AV181">
            <v>39.656109999999998</v>
          </cell>
          <cell r="BA181">
            <v>41808</v>
          </cell>
          <cell r="BC181">
            <v>21.988340000000001</v>
          </cell>
          <cell r="BH181">
            <v>41808</v>
          </cell>
          <cell r="BJ181">
            <v>25.514040000000001</v>
          </cell>
        </row>
        <row r="182">
          <cell r="D182">
            <v>41807</v>
          </cell>
          <cell r="F182">
            <v>174.26611</v>
          </cell>
          <cell r="K182">
            <v>41807</v>
          </cell>
          <cell r="M182">
            <v>23.412939999999999</v>
          </cell>
          <cell r="R182">
            <v>41807</v>
          </cell>
          <cell r="T182">
            <v>4.47</v>
          </cell>
          <cell r="Y182">
            <v>41807</v>
          </cell>
          <cell r="AA182">
            <v>325.62</v>
          </cell>
          <cell r="AF182">
            <v>41807</v>
          </cell>
          <cell r="AH182">
            <v>89.700320000000005</v>
          </cell>
          <cell r="AM182">
            <v>41807</v>
          </cell>
          <cell r="AO182">
            <v>66.397829999999999</v>
          </cell>
          <cell r="AT182">
            <v>41807</v>
          </cell>
          <cell r="AV182">
            <v>39.045430000000003</v>
          </cell>
          <cell r="BA182">
            <v>41807</v>
          </cell>
          <cell r="BC182">
            <v>21.585519999999999</v>
          </cell>
          <cell r="BH182">
            <v>41807</v>
          </cell>
          <cell r="BJ182">
            <v>25.495059999999999</v>
          </cell>
        </row>
        <row r="183">
          <cell r="D183">
            <v>41806</v>
          </cell>
          <cell r="F183">
            <v>174.35216</v>
          </cell>
          <cell r="K183">
            <v>41806</v>
          </cell>
          <cell r="M183">
            <v>23.441610000000001</v>
          </cell>
          <cell r="R183">
            <v>41806</v>
          </cell>
          <cell r="T183">
            <v>4.4400000000000004</v>
          </cell>
          <cell r="Y183">
            <v>41806</v>
          </cell>
          <cell r="AA183">
            <v>327.62</v>
          </cell>
          <cell r="AF183">
            <v>41806</v>
          </cell>
          <cell r="AH183">
            <v>89.817220000000006</v>
          </cell>
          <cell r="AM183">
            <v>41806</v>
          </cell>
          <cell r="AO183">
            <v>65.804130000000001</v>
          </cell>
          <cell r="AT183">
            <v>41806</v>
          </cell>
          <cell r="AV183">
            <v>38.797339999999998</v>
          </cell>
          <cell r="BA183">
            <v>41806</v>
          </cell>
          <cell r="BC183">
            <v>21.487269999999999</v>
          </cell>
          <cell r="BH183">
            <v>41806</v>
          </cell>
          <cell r="BJ183">
            <v>25.447620000000001</v>
          </cell>
        </row>
        <row r="184">
          <cell r="D184">
            <v>41803</v>
          </cell>
          <cell r="F184">
            <v>174.55295000000001</v>
          </cell>
          <cell r="K184">
            <v>41803</v>
          </cell>
          <cell r="M184">
            <v>23.60407</v>
          </cell>
          <cell r="R184">
            <v>41803</v>
          </cell>
          <cell r="T184">
            <v>4.28</v>
          </cell>
          <cell r="Y184">
            <v>41803</v>
          </cell>
          <cell r="AA184">
            <v>326.27</v>
          </cell>
          <cell r="AF184">
            <v>41803</v>
          </cell>
          <cell r="AH184">
            <v>88.921000000000006</v>
          </cell>
          <cell r="AM184">
            <v>41803</v>
          </cell>
          <cell r="AO184">
            <v>65.940389999999994</v>
          </cell>
          <cell r="AT184">
            <v>41803</v>
          </cell>
          <cell r="AV184">
            <v>38.520629999999997</v>
          </cell>
          <cell r="BA184">
            <v>41803</v>
          </cell>
          <cell r="BC184">
            <v>21.46762</v>
          </cell>
          <cell r="BH184">
            <v>41803</v>
          </cell>
          <cell r="BJ184">
            <v>25.656359999999999</v>
          </cell>
        </row>
        <row r="185">
          <cell r="D185">
            <v>41802</v>
          </cell>
          <cell r="F185">
            <v>173.27171999999999</v>
          </cell>
          <cell r="K185">
            <v>41802</v>
          </cell>
          <cell r="M185">
            <v>23.565840000000001</v>
          </cell>
          <cell r="R185">
            <v>41802</v>
          </cell>
          <cell r="T185">
            <v>4.29</v>
          </cell>
          <cell r="Y185">
            <v>41802</v>
          </cell>
          <cell r="AA185">
            <v>325.91000000000003</v>
          </cell>
          <cell r="AF185">
            <v>41802</v>
          </cell>
          <cell r="AH185">
            <v>89.904899999999998</v>
          </cell>
          <cell r="AM185">
            <v>41802</v>
          </cell>
          <cell r="AO185">
            <v>66.105850000000004</v>
          </cell>
          <cell r="AT185">
            <v>41802</v>
          </cell>
          <cell r="AV185">
            <v>38.568330000000003</v>
          </cell>
          <cell r="BA185">
            <v>41802</v>
          </cell>
          <cell r="BC185">
            <v>21.49709</v>
          </cell>
          <cell r="BH185">
            <v>41802</v>
          </cell>
          <cell r="BJ185">
            <v>25.580449999999999</v>
          </cell>
        </row>
        <row r="186">
          <cell r="D186">
            <v>41801</v>
          </cell>
          <cell r="F186">
            <v>174.25655</v>
          </cell>
          <cell r="K186">
            <v>41801</v>
          </cell>
          <cell r="M186">
            <v>23.928979999999999</v>
          </cell>
          <cell r="R186">
            <v>41801</v>
          </cell>
          <cell r="T186">
            <v>4.29</v>
          </cell>
          <cell r="Y186">
            <v>41801</v>
          </cell>
          <cell r="AA186">
            <v>335.2</v>
          </cell>
          <cell r="AF186">
            <v>41801</v>
          </cell>
          <cell r="AH186">
            <v>91.43432</v>
          </cell>
          <cell r="AM186">
            <v>41801</v>
          </cell>
          <cell r="AO186">
            <v>68.062160000000006</v>
          </cell>
          <cell r="AT186">
            <v>41801</v>
          </cell>
          <cell r="AV186">
            <v>38.697150000000001</v>
          </cell>
          <cell r="BA186">
            <v>41801</v>
          </cell>
          <cell r="BC186">
            <v>21.251470000000001</v>
          </cell>
          <cell r="BH186">
            <v>41801</v>
          </cell>
          <cell r="BJ186">
            <v>25.760729999999999</v>
          </cell>
        </row>
        <row r="187">
          <cell r="D187">
            <v>41800</v>
          </cell>
          <cell r="F187">
            <v>176.20706999999999</v>
          </cell>
          <cell r="K187">
            <v>41800</v>
          </cell>
          <cell r="M187">
            <v>23.890750000000001</v>
          </cell>
          <cell r="R187">
            <v>41800</v>
          </cell>
          <cell r="T187">
            <v>4.2</v>
          </cell>
          <cell r="Y187">
            <v>41800</v>
          </cell>
          <cell r="AA187">
            <v>332.41</v>
          </cell>
          <cell r="AF187">
            <v>41800</v>
          </cell>
          <cell r="AH187">
            <v>91.814239999999998</v>
          </cell>
          <cell r="AM187">
            <v>41800</v>
          </cell>
          <cell r="AO187">
            <v>68.159490000000005</v>
          </cell>
          <cell r="AT187">
            <v>41800</v>
          </cell>
          <cell r="AV187">
            <v>38.896030000000003</v>
          </cell>
          <cell r="BA187">
            <v>41800</v>
          </cell>
          <cell r="BC187">
            <v>21.75254</v>
          </cell>
          <cell r="BH187">
            <v>41800</v>
          </cell>
          <cell r="BJ187">
            <v>26.007429999999999</v>
          </cell>
        </row>
        <row r="188">
          <cell r="D188">
            <v>41799</v>
          </cell>
          <cell r="F188">
            <v>178.05242000000001</v>
          </cell>
          <cell r="K188">
            <v>41799</v>
          </cell>
          <cell r="M188">
            <v>23.699629999999999</v>
          </cell>
          <cell r="R188">
            <v>41799</v>
          </cell>
          <cell r="T188">
            <v>4.07</v>
          </cell>
          <cell r="Y188">
            <v>41799</v>
          </cell>
          <cell r="AA188">
            <v>327.5</v>
          </cell>
          <cell r="AF188">
            <v>41799</v>
          </cell>
          <cell r="AH188">
            <v>91.278459999999995</v>
          </cell>
          <cell r="AM188">
            <v>41799</v>
          </cell>
          <cell r="AO188">
            <v>68.821330000000003</v>
          </cell>
          <cell r="AT188">
            <v>41799</v>
          </cell>
          <cell r="AV188">
            <v>38.744500000000002</v>
          </cell>
          <cell r="BA188">
            <v>41799</v>
          </cell>
          <cell r="BC188">
            <v>21.919560000000001</v>
          </cell>
          <cell r="BH188">
            <v>41799</v>
          </cell>
          <cell r="BJ188">
            <v>26.035889999999998</v>
          </cell>
        </row>
        <row r="189">
          <cell r="D189">
            <v>41796</v>
          </cell>
          <cell r="F189">
            <v>178.19585000000001</v>
          </cell>
          <cell r="K189">
            <v>41796</v>
          </cell>
          <cell r="M189">
            <v>23.728300000000001</v>
          </cell>
          <cell r="R189">
            <v>41796</v>
          </cell>
          <cell r="T189">
            <v>4.0599999999999996</v>
          </cell>
          <cell r="Y189">
            <v>41796</v>
          </cell>
          <cell r="AA189">
            <v>329.67</v>
          </cell>
          <cell r="AF189">
            <v>41796</v>
          </cell>
          <cell r="AH189">
            <v>89.840879999999999</v>
          </cell>
          <cell r="AM189">
            <v>41796</v>
          </cell>
          <cell r="AO189">
            <v>68.879720000000006</v>
          </cell>
          <cell r="AT189">
            <v>41796</v>
          </cell>
          <cell r="AV189">
            <v>38.820270000000001</v>
          </cell>
          <cell r="BA189">
            <v>41796</v>
          </cell>
          <cell r="BC189">
            <v>21.75254</v>
          </cell>
          <cell r="BH189">
            <v>41796</v>
          </cell>
          <cell r="BJ189">
            <v>25.789200000000001</v>
          </cell>
        </row>
        <row r="190">
          <cell r="D190">
            <v>41795</v>
          </cell>
          <cell r="F190">
            <v>177.82294999999999</v>
          </cell>
          <cell r="K190">
            <v>41795</v>
          </cell>
          <cell r="M190">
            <v>23.60407</v>
          </cell>
          <cell r="R190">
            <v>41795</v>
          </cell>
          <cell r="T190">
            <v>4.08</v>
          </cell>
          <cell r="Y190">
            <v>41795</v>
          </cell>
          <cell r="AA190">
            <v>323.57</v>
          </cell>
          <cell r="AF190">
            <v>41795</v>
          </cell>
          <cell r="AH190">
            <v>90.088589999999996</v>
          </cell>
          <cell r="AM190">
            <v>41795</v>
          </cell>
          <cell r="AO190">
            <v>68.831059999999994</v>
          </cell>
          <cell r="AT190">
            <v>41795</v>
          </cell>
          <cell r="AV190">
            <v>38.725560000000002</v>
          </cell>
          <cell r="BA190">
            <v>41795</v>
          </cell>
          <cell r="BC190">
            <v>21.556039999999999</v>
          </cell>
          <cell r="BH190">
            <v>41795</v>
          </cell>
          <cell r="BJ190">
            <v>25.400179999999999</v>
          </cell>
        </row>
        <row r="191">
          <cell r="D191">
            <v>41794</v>
          </cell>
          <cell r="F191">
            <v>176.41743</v>
          </cell>
          <cell r="K191">
            <v>41794</v>
          </cell>
          <cell r="M191">
            <v>23.412939999999999</v>
          </cell>
          <cell r="R191">
            <v>41794</v>
          </cell>
          <cell r="T191">
            <v>4.04</v>
          </cell>
          <cell r="Y191">
            <v>41794</v>
          </cell>
          <cell r="AA191">
            <v>306.77999999999997</v>
          </cell>
          <cell r="AF191">
            <v>41794</v>
          </cell>
          <cell r="AH191">
            <v>89.736509999999996</v>
          </cell>
          <cell r="AM191">
            <v>41794</v>
          </cell>
          <cell r="AO191">
            <v>69.152249999999995</v>
          </cell>
          <cell r="AT191">
            <v>41794</v>
          </cell>
          <cell r="AV191">
            <v>38.630859999999998</v>
          </cell>
          <cell r="BA191">
            <v>41794</v>
          </cell>
          <cell r="BC191">
            <v>21.094270000000002</v>
          </cell>
          <cell r="BH191">
            <v>41794</v>
          </cell>
          <cell r="BJ191">
            <v>25.19143</v>
          </cell>
        </row>
        <row r="192">
          <cell r="D192">
            <v>41793</v>
          </cell>
          <cell r="F192">
            <v>176.28357</v>
          </cell>
          <cell r="K192">
            <v>41793</v>
          </cell>
          <cell r="M192">
            <v>23.580169999999999</v>
          </cell>
          <cell r="R192">
            <v>41793</v>
          </cell>
          <cell r="T192">
            <v>3.94</v>
          </cell>
          <cell r="Y192">
            <v>41793</v>
          </cell>
          <cell r="AA192">
            <v>307.19</v>
          </cell>
          <cell r="AF192">
            <v>41793</v>
          </cell>
          <cell r="AH192">
            <v>88.723380000000006</v>
          </cell>
          <cell r="AM192">
            <v>41793</v>
          </cell>
          <cell r="AO192">
            <v>69.200909999999993</v>
          </cell>
          <cell r="AT192">
            <v>41793</v>
          </cell>
          <cell r="AV192">
            <v>38.716090000000001</v>
          </cell>
          <cell r="BA192">
            <v>41793</v>
          </cell>
          <cell r="BC192">
            <v>21.221990000000002</v>
          </cell>
          <cell r="BH192">
            <v>41793</v>
          </cell>
          <cell r="BJ192">
            <v>25.419149999999998</v>
          </cell>
        </row>
        <row r="193">
          <cell r="D193">
            <v>41792</v>
          </cell>
          <cell r="F193">
            <v>177.54567</v>
          </cell>
          <cell r="K193">
            <v>41792</v>
          </cell>
          <cell r="M193">
            <v>23.680520000000001</v>
          </cell>
          <cell r="R193">
            <v>41792</v>
          </cell>
          <cell r="T193">
            <v>3.97</v>
          </cell>
          <cell r="Y193">
            <v>41792</v>
          </cell>
          <cell r="AA193">
            <v>308.83999999999997</v>
          </cell>
          <cell r="AF193">
            <v>41792</v>
          </cell>
          <cell r="AH193">
            <v>87.48621</v>
          </cell>
          <cell r="AM193">
            <v>41792</v>
          </cell>
          <cell r="AO193">
            <v>68.665599999999998</v>
          </cell>
          <cell r="AT193">
            <v>41792</v>
          </cell>
          <cell r="AV193">
            <v>38.697150000000001</v>
          </cell>
          <cell r="BA193">
            <v>41792</v>
          </cell>
          <cell r="BC193">
            <v>21.320239999999998</v>
          </cell>
          <cell r="BH193">
            <v>41792</v>
          </cell>
          <cell r="BJ193">
            <v>25.45711</v>
          </cell>
        </row>
        <row r="194">
          <cell r="D194">
            <v>41789</v>
          </cell>
          <cell r="F194">
            <v>176.274</v>
          </cell>
          <cell r="K194">
            <v>41789</v>
          </cell>
          <cell r="M194">
            <v>23.527619999999999</v>
          </cell>
          <cell r="R194">
            <v>41789</v>
          </cell>
          <cell r="T194">
            <v>4</v>
          </cell>
          <cell r="Y194">
            <v>41789</v>
          </cell>
          <cell r="AA194">
            <v>312.55</v>
          </cell>
          <cell r="AF194">
            <v>41789</v>
          </cell>
          <cell r="AH194">
            <v>88.091570000000004</v>
          </cell>
          <cell r="AM194">
            <v>41789</v>
          </cell>
          <cell r="AO194">
            <v>68.743459999999999</v>
          </cell>
          <cell r="AT194">
            <v>41789</v>
          </cell>
          <cell r="AV194">
            <v>38.744500000000002</v>
          </cell>
          <cell r="BA194">
            <v>41789</v>
          </cell>
          <cell r="BC194">
            <v>21.39884</v>
          </cell>
          <cell r="BH194">
            <v>41789</v>
          </cell>
          <cell r="BJ194">
            <v>25.419149999999998</v>
          </cell>
        </row>
        <row r="195">
          <cell r="D195">
            <v>41788</v>
          </cell>
          <cell r="F195">
            <v>175.70032</v>
          </cell>
          <cell r="K195">
            <v>41788</v>
          </cell>
          <cell r="M195">
            <v>23.584949999999999</v>
          </cell>
          <cell r="R195">
            <v>41788</v>
          </cell>
          <cell r="T195">
            <v>4.03</v>
          </cell>
          <cell r="Y195">
            <v>41788</v>
          </cell>
          <cell r="AA195">
            <v>313.77999999999997</v>
          </cell>
          <cell r="AF195">
            <v>41788</v>
          </cell>
          <cell r="AH195">
            <v>88.422790000000006</v>
          </cell>
          <cell r="AM195">
            <v>41788</v>
          </cell>
          <cell r="AO195">
            <v>69.210639999999998</v>
          </cell>
          <cell r="AT195">
            <v>41788</v>
          </cell>
          <cell r="AV195">
            <v>38.507739999999998</v>
          </cell>
          <cell r="BA195">
            <v>41788</v>
          </cell>
          <cell r="BC195">
            <v>20.052820000000001</v>
          </cell>
          <cell r="BH195">
            <v>41788</v>
          </cell>
          <cell r="BJ195">
            <v>25.37171</v>
          </cell>
        </row>
        <row r="196">
          <cell r="D196">
            <v>41787</v>
          </cell>
          <cell r="F196">
            <v>175.05014</v>
          </cell>
          <cell r="K196">
            <v>41787</v>
          </cell>
          <cell r="M196">
            <v>23.71874</v>
          </cell>
          <cell r="R196">
            <v>41787</v>
          </cell>
          <cell r="T196">
            <v>4</v>
          </cell>
          <cell r="Y196">
            <v>41787</v>
          </cell>
          <cell r="AA196">
            <v>310.16000000000003</v>
          </cell>
          <cell r="AF196">
            <v>41787</v>
          </cell>
          <cell r="AH196">
            <v>86.840479999999999</v>
          </cell>
          <cell r="AM196">
            <v>41787</v>
          </cell>
          <cell r="AO196">
            <v>67.594980000000007</v>
          </cell>
          <cell r="AT196">
            <v>41787</v>
          </cell>
          <cell r="AV196">
            <v>38.43197</v>
          </cell>
          <cell r="BA196">
            <v>41787</v>
          </cell>
          <cell r="BC196">
            <v>20.180540000000001</v>
          </cell>
          <cell r="BH196">
            <v>41787</v>
          </cell>
          <cell r="BJ196">
            <v>25.2958</v>
          </cell>
        </row>
        <row r="197">
          <cell r="D197">
            <v>41786</v>
          </cell>
          <cell r="F197">
            <v>176.67558</v>
          </cell>
          <cell r="K197">
            <v>41786</v>
          </cell>
          <cell r="M197">
            <v>23.613620000000001</v>
          </cell>
          <cell r="R197">
            <v>41786</v>
          </cell>
          <cell r="T197">
            <v>4.04</v>
          </cell>
          <cell r="Y197">
            <v>41786</v>
          </cell>
          <cell r="AA197">
            <v>310.82</v>
          </cell>
          <cell r="AF197">
            <v>41786</v>
          </cell>
          <cell r="AH197">
            <v>87.065929999999994</v>
          </cell>
          <cell r="AM197">
            <v>41786</v>
          </cell>
          <cell r="AO197">
            <v>67.341930000000005</v>
          </cell>
          <cell r="AT197">
            <v>41786</v>
          </cell>
          <cell r="AV197">
            <v>38.611910000000002</v>
          </cell>
          <cell r="BA197">
            <v>41786</v>
          </cell>
          <cell r="BC197">
            <v>20.40652</v>
          </cell>
          <cell r="BH197">
            <v>41786</v>
          </cell>
          <cell r="BJ197">
            <v>25.21041</v>
          </cell>
        </row>
        <row r="198">
          <cell r="D198">
            <v>41782</v>
          </cell>
          <cell r="F198">
            <v>177.78470999999999</v>
          </cell>
          <cell r="K198">
            <v>41782</v>
          </cell>
          <cell r="M198">
            <v>23.43205</v>
          </cell>
          <cell r="R198">
            <v>41782</v>
          </cell>
          <cell r="T198">
            <v>4.0199999999999996</v>
          </cell>
          <cell r="Y198">
            <v>41782</v>
          </cell>
          <cell r="AA198">
            <v>312.24</v>
          </cell>
          <cell r="AF198">
            <v>41782</v>
          </cell>
          <cell r="AH198">
            <v>85.465530000000001</v>
          </cell>
          <cell r="AM198">
            <v>41782</v>
          </cell>
          <cell r="AO198">
            <v>66.709289999999996</v>
          </cell>
          <cell r="AT198">
            <v>41782</v>
          </cell>
          <cell r="AV198">
            <v>38.43197</v>
          </cell>
          <cell r="BA198">
            <v>41782</v>
          </cell>
          <cell r="BC198">
            <v>20.30827</v>
          </cell>
          <cell r="BH198">
            <v>41782</v>
          </cell>
          <cell r="BJ198">
            <v>25.153479999999998</v>
          </cell>
        </row>
        <row r="199">
          <cell r="D199">
            <v>41781</v>
          </cell>
          <cell r="F199">
            <v>177.53611000000001</v>
          </cell>
          <cell r="K199">
            <v>41781</v>
          </cell>
          <cell r="M199">
            <v>23.298259999999999</v>
          </cell>
          <cell r="R199">
            <v>41781</v>
          </cell>
          <cell r="T199">
            <v>4.01</v>
          </cell>
          <cell r="Y199">
            <v>41781</v>
          </cell>
          <cell r="AA199">
            <v>304.91000000000003</v>
          </cell>
          <cell r="AF199">
            <v>41781</v>
          </cell>
          <cell r="AH199">
            <v>84.510850000000005</v>
          </cell>
          <cell r="AM199">
            <v>41781</v>
          </cell>
          <cell r="AO199">
            <v>65.969589999999997</v>
          </cell>
          <cell r="AT199">
            <v>41781</v>
          </cell>
          <cell r="AV199">
            <v>38.43197</v>
          </cell>
          <cell r="BA199">
            <v>41781</v>
          </cell>
          <cell r="BC199">
            <v>19.43384</v>
          </cell>
          <cell r="BH199">
            <v>41781</v>
          </cell>
          <cell r="BJ199">
            <v>25.153479999999998</v>
          </cell>
        </row>
        <row r="200">
          <cell r="D200">
            <v>41780</v>
          </cell>
          <cell r="F200">
            <v>178.21496999999999</v>
          </cell>
          <cell r="K200">
            <v>41780</v>
          </cell>
          <cell r="M200">
            <v>23.393830000000001</v>
          </cell>
          <cell r="R200">
            <v>41780</v>
          </cell>
          <cell r="T200">
            <v>4.0999999999999996</v>
          </cell>
          <cell r="Y200">
            <v>41780</v>
          </cell>
          <cell r="AA200">
            <v>305.01</v>
          </cell>
          <cell r="AF200">
            <v>41780</v>
          </cell>
          <cell r="AH200">
            <v>84.377260000000007</v>
          </cell>
          <cell r="AM200">
            <v>41780</v>
          </cell>
          <cell r="AO200">
            <v>65.59</v>
          </cell>
          <cell r="AT200">
            <v>41780</v>
          </cell>
          <cell r="AV200">
            <v>38.706620000000001</v>
          </cell>
          <cell r="BA200">
            <v>41780</v>
          </cell>
          <cell r="BC200">
            <v>19.453489999999999</v>
          </cell>
          <cell r="BH200">
            <v>41780</v>
          </cell>
          <cell r="BJ200">
            <v>25.134499999999999</v>
          </cell>
        </row>
        <row r="201">
          <cell r="D201">
            <v>41779</v>
          </cell>
          <cell r="F201">
            <v>176.78075999999999</v>
          </cell>
          <cell r="K201">
            <v>41779</v>
          </cell>
          <cell r="M201">
            <v>23.049800000000001</v>
          </cell>
          <cell r="R201">
            <v>41779</v>
          </cell>
          <cell r="T201">
            <v>4.05</v>
          </cell>
          <cell r="Y201">
            <v>41779</v>
          </cell>
          <cell r="AA201">
            <v>301.19</v>
          </cell>
          <cell r="AF201">
            <v>41779</v>
          </cell>
          <cell r="AH201">
            <v>84.154589999999999</v>
          </cell>
          <cell r="AM201">
            <v>41779</v>
          </cell>
          <cell r="AO201">
            <v>64.431790000000007</v>
          </cell>
          <cell r="AT201">
            <v>41779</v>
          </cell>
          <cell r="AV201">
            <v>38.43197</v>
          </cell>
          <cell r="BA201">
            <v>41779</v>
          </cell>
          <cell r="BC201">
            <v>19.384720000000002</v>
          </cell>
          <cell r="BH201">
            <v>41779</v>
          </cell>
          <cell r="BJ201">
            <v>24.954229999999999</v>
          </cell>
        </row>
        <row r="202">
          <cell r="D202">
            <v>41778</v>
          </cell>
          <cell r="F202">
            <v>178.79821000000001</v>
          </cell>
          <cell r="K202">
            <v>41778</v>
          </cell>
          <cell r="M202">
            <v>23.269590000000001</v>
          </cell>
          <cell r="R202">
            <v>41778</v>
          </cell>
          <cell r="T202">
            <v>4.09</v>
          </cell>
          <cell r="Y202">
            <v>41778</v>
          </cell>
          <cell r="AA202">
            <v>296.755</v>
          </cell>
          <cell r="AF202">
            <v>41778</v>
          </cell>
          <cell r="AH202">
            <v>84.137889999999999</v>
          </cell>
          <cell r="AM202">
            <v>41778</v>
          </cell>
          <cell r="AO202">
            <v>64.772440000000003</v>
          </cell>
          <cell r="AT202">
            <v>41778</v>
          </cell>
          <cell r="AV202">
            <v>38.55509</v>
          </cell>
          <cell r="BA202">
            <v>41778</v>
          </cell>
          <cell r="BC202">
            <v>20.033169999999998</v>
          </cell>
          <cell r="BH202">
            <v>41778</v>
          </cell>
          <cell r="BJ202">
            <v>25.248360000000002</v>
          </cell>
        </row>
        <row r="203">
          <cell r="D203">
            <v>41775</v>
          </cell>
          <cell r="F203">
            <v>178.85558</v>
          </cell>
          <cell r="K203">
            <v>41775</v>
          </cell>
          <cell r="M203">
            <v>23.288709999999998</v>
          </cell>
          <cell r="R203">
            <v>41775</v>
          </cell>
          <cell r="T203">
            <v>4.0199999999999996</v>
          </cell>
          <cell r="Y203">
            <v>41775</v>
          </cell>
          <cell r="AA203">
            <v>297.7</v>
          </cell>
          <cell r="AF203">
            <v>41775</v>
          </cell>
          <cell r="AH203">
            <v>83.152600000000007</v>
          </cell>
          <cell r="AM203">
            <v>41775</v>
          </cell>
          <cell r="AO203">
            <v>63.993810000000003</v>
          </cell>
          <cell r="AT203">
            <v>41775</v>
          </cell>
          <cell r="AV203">
            <v>38.725560000000002</v>
          </cell>
          <cell r="BA203">
            <v>41775</v>
          </cell>
          <cell r="BC203">
            <v>19.777719999999999</v>
          </cell>
          <cell r="BH203">
            <v>41775</v>
          </cell>
          <cell r="BJ203">
            <v>25.305289999999999</v>
          </cell>
        </row>
        <row r="204">
          <cell r="D204">
            <v>41774</v>
          </cell>
          <cell r="F204">
            <v>178.28190000000001</v>
          </cell>
          <cell r="K204">
            <v>41774</v>
          </cell>
          <cell r="M204">
            <v>23.107140000000001</v>
          </cell>
          <cell r="R204">
            <v>41774</v>
          </cell>
          <cell r="T204">
            <v>3.96</v>
          </cell>
          <cell r="Y204">
            <v>41774</v>
          </cell>
          <cell r="AA204">
            <v>295.19</v>
          </cell>
          <cell r="AF204">
            <v>41774</v>
          </cell>
          <cell r="AH204">
            <v>81.943259999999995</v>
          </cell>
          <cell r="AM204">
            <v>41774</v>
          </cell>
          <cell r="AO204">
            <v>63.195709999999998</v>
          </cell>
          <cell r="AT204">
            <v>41774</v>
          </cell>
          <cell r="AV204">
            <v>38.375149999999998</v>
          </cell>
          <cell r="BA204">
            <v>41774</v>
          </cell>
          <cell r="BC204">
            <v>19.797370000000001</v>
          </cell>
          <cell r="BH204">
            <v>41774</v>
          </cell>
          <cell r="BJ204">
            <v>25.238869999999999</v>
          </cell>
        </row>
        <row r="205">
          <cell r="D205">
            <v>41773</v>
          </cell>
          <cell r="F205">
            <v>180.44278</v>
          </cell>
          <cell r="K205">
            <v>41773</v>
          </cell>
          <cell r="M205">
            <v>21.797830000000001</v>
          </cell>
          <cell r="R205">
            <v>41773</v>
          </cell>
          <cell r="T205">
            <v>3.98</v>
          </cell>
          <cell r="Y205">
            <v>41773</v>
          </cell>
          <cell r="AA205">
            <v>297.62</v>
          </cell>
          <cell r="AF205">
            <v>41773</v>
          </cell>
          <cell r="AH205">
            <v>82.646039999999999</v>
          </cell>
          <cell r="AM205">
            <v>41773</v>
          </cell>
          <cell r="AO205">
            <v>63.477969999999999</v>
          </cell>
          <cell r="AT205">
            <v>41773</v>
          </cell>
          <cell r="AV205">
            <v>38.725560000000002</v>
          </cell>
          <cell r="BA205">
            <v>41773</v>
          </cell>
          <cell r="BC205">
            <v>20.357389999999999</v>
          </cell>
          <cell r="BH205">
            <v>41773</v>
          </cell>
          <cell r="BJ205">
            <v>25.390689999999999</v>
          </cell>
        </row>
        <row r="206">
          <cell r="D206">
            <v>41772</v>
          </cell>
          <cell r="F206">
            <v>183.76058</v>
          </cell>
          <cell r="K206">
            <v>41772</v>
          </cell>
          <cell r="M206">
            <v>21.84571</v>
          </cell>
          <cell r="R206">
            <v>41772</v>
          </cell>
          <cell r="T206">
            <v>4.03</v>
          </cell>
          <cell r="Y206">
            <v>41772</v>
          </cell>
          <cell r="AA206">
            <v>304.64</v>
          </cell>
          <cell r="AF206">
            <v>41772</v>
          </cell>
          <cell r="AH206">
            <v>82.63073</v>
          </cell>
          <cell r="AM206">
            <v>41772</v>
          </cell>
          <cell r="AO206">
            <v>64.392859999999999</v>
          </cell>
          <cell r="AT206">
            <v>41772</v>
          </cell>
          <cell r="AV206">
            <v>38.933920000000001</v>
          </cell>
          <cell r="BA206">
            <v>41772</v>
          </cell>
          <cell r="BC206">
            <v>21.035319999999999</v>
          </cell>
          <cell r="BH206">
            <v>41772</v>
          </cell>
          <cell r="BJ206">
            <v>25.5425</v>
          </cell>
        </row>
        <row r="207">
          <cell r="D207">
            <v>41771</v>
          </cell>
          <cell r="F207">
            <v>184.12392</v>
          </cell>
          <cell r="K207">
            <v>41771</v>
          </cell>
          <cell r="M207">
            <v>22.161059999999999</v>
          </cell>
          <cell r="R207">
            <v>41771</v>
          </cell>
          <cell r="T207">
            <v>3.97</v>
          </cell>
          <cell r="Y207">
            <v>41771</v>
          </cell>
          <cell r="AA207">
            <v>302.86</v>
          </cell>
          <cell r="AF207">
            <v>41771</v>
          </cell>
          <cell r="AH207">
            <v>82.501310000000004</v>
          </cell>
          <cell r="AM207">
            <v>41771</v>
          </cell>
          <cell r="AO207">
            <v>63.28331</v>
          </cell>
          <cell r="AT207">
            <v>41771</v>
          </cell>
          <cell r="AV207">
            <v>38.659269999999999</v>
          </cell>
          <cell r="BA207">
            <v>41771</v>
          </cell>
          <cell r="BC207">
            <v>21.17287</v>
          </cell>
          <cell r="BH207">
            <v>41771</v>
          </cell>
          <cell r="BJ207">
            <v>25.47608</v>
          </cell>
        </row>
        <row r="208">
          <cell r="D208">
            <v>41768</v>
          </cell>
          <cell r="F208">
            <v>181.74313000000001</v>
          </cell>
          <cell r="K208">
            <v>41768</v>
          </cell>
          <cell r="M208">
            <v>21.998609999999999</v>
          </cell>
          <cell r="R208">
            <v>41768</v>
          </cell>
          <cell r="T208">
            <v>3.87</v>
          </cell>
          <cell r="Y208">
            <v>41768</v>
          </cell>
          <cell r="AA208">
            <v>292.24</v>
          </cell>
          <cell r="AF208">
            <v>41768</v>
          </cell>
          <cell r="AH208">
            <v>81.487139999999997</v>
          </cell>
          <cell r="AM208">
            <v>41768</v>
          </cell>
          <cell r="AO208">
            <v>62.689599999999999</v>
          </cell>
          <cell r="AT208">
            <v>41768</v>
          </cell>
          <cell r="AV208">
            <v>38.706620000000001</v>
          </cell>
          <cell r="BA208">
            <v>41768</v>
          </cell>
          <cell r="BC208">
            <v>20.475290000000001</v>
          </cell>
          <cell r="BH208">
            <v>41768</v>
          </cell>
          <cell r="BJ208">
            <v>25.068090000000002</v>
          </cell>
        </row>
        <row r="209">
          <cell r="D209">
            <v>41767</v>
          </cell>
          <cell r="F209">
            <v>180.62443999999999</v>
          </cell>
          <cell r="K209">
            <v>41767</v>
          </cell>
          <cell r="M209">
            <v>21.996700000000001</v>
          </cell>
          <cell r="R209">
            <v>41767</v>
          </cell>
          <cell r="T209">
            <v>3.93</v>
          </cell>
          <cell r="Y209">
            <v>41767</v>
          </cell>
          <cell r="AA209">
            <v>288.32</v>
          </cell>
          <cell r="AF209">
            <v>41767</v>
          </cell>
          <cell r="AH209">
            <v>81.827749999999995</v>
          </cell>
          <cell r="AM209">
            <v>41767</v>
          </cell>
          <cell r="AO209">
            <v>62.193219999999997</v>
          </cell>
          <cell r="AT209">
            <v>41767</v>
          </cell>
          <cell r="AV209">
            <v>38.57403</v>
          </cell>
          <cell r="BA209">
            <v>41767</v>
          </cell>
          <cell r="BC209">
            <v>20.14124</v>
          </cell>
          <cell r="BH209">
            <v>41767</v>
          </cell>
          <cell r="BJ209">
            <v>25.087060000000001</v>
          </cell>
        </row>
        <row r="210">
          <cell r="D210">
            <v>41766</v>
          </cell>
          <cell r="F210">
            <v>180.99734000000001</v>
          </cell>
          <cell r="K210">
            <v>41766</v>
          </cell>
          <cell r="M210">
            <v>21.855260000000001</v>
          </cell>
          <cell r="R210">
            <v>41766</v>
          </cell>
          <cell r="T210">
            <v>3.97</v>
          </cell>
          <cell r="Y210">
            <v>41766</v>
          </cell>
          <cell r="AA210">
            <v>292.70999999999998</v>
          </cell>
          <cell r="AF210">
            <v>41766</v>
          </cell>
          <cell r="AH210">
            <v>81.973870000000005</v>
          </cell>
          <cell r="AM210">
            <v>41766</v>
          </cell>
          <cell r="AO210">
            <v>62.12509</v>
          </cell>
          <cell r="AT210">
            <v>41766</v>
          </cell>
          <cell r="AV210">
            <v>38.744500000000002</v>
          </cell>
          <cell r="BA210">
            <v>41766</v>
          </cell>
          <cell r="BC210">
            <v>20.131419999999999</v>
          </cell>
          <cell r="BH210">
            <v>41766</v>
          </cell>
          <cell r="BJ210">
            <v>25.172460000000001</v>
          </cell>
        </row>
        <row r="211">
          <cell r="D211">
            <v>41765</v>
          </cell>
          <cell r="F211">
            <v>180.64356000000001</v>
          </cell>
          <cell r="K211">
            <v>41765</v>
          </cell>
          <cell r="M211">
            <v>21.711919999999999</v>
          </cell>
          <cell r="R211">
            <v>41765</v>
          </cell>
          <cell r="T211">
            <v>4.01</v>
          </cell>
          <cell r="Y211">
            <v>41765</v>
          </cell>
          <cell r="AA211">
            <v>297.38</v>
          </cell>
          <cell r="AF211">
            <v>41765</v>
          </cell>
          <cell r="AH211">
            <v>82.26173</v>
          </cell>
          <cell r="AM211">
            <v>41765</v>
          </cell>
          <cell r="AO211">
            <v>62.50468</v>
          </cell>
          <cell r="AT211">
            <v>41765</v>
          </cell>
          <cell r="AV211">
            <v>38.346739999999997</v>
          </cell>
          <cell r="BA211">
            <v>41765</v>
          </cell>
          <cell r="BC211">
            <v>19.88579</v>
          </cell>
          <cell r="BH211">
            <v>41765</v>
          </cell>
          <cell r="BJ211">
            <v>24.84985</v>
          </cell>
        </row>
        <row r="212">
          <cell r="D212">
            <v>41764</v>
          </cell>
          <cell r="F212">
            <v>181.81281000000001</v>
          </cell>
          <cell r="K212">
            <v>41764</v>
          </cell>
          <cell r="M212">
            <v>21.936489999999999</v>
          </cell>
          <cell r="R212">
            <v>41764</v>
          </cell>
          <cell r="T212">
            <v>4.09</v>
          </cell>
          <cell r="Y212">
            <v>41764</v>
          </cell>
          <cell r="AA212">
            <v>310.05</v>
          </cell>
          <cell r="AF212">
            <v>41764</v>
          </cell>
          <cell r="AH212">
            <v>83.168199999999999</v>
          </cell>
          <cell r="AM212">
            <v>41764</v>
          </cell>
          <cell r="AO212">
            <v>62.271090000000001</v>
          </cell>
          <cell r="AT212">
            <v>41764</v>
          </cell>
          <cell r="AV212">
            <v>38.602440000000001</v>
          </cell>
          <cell r="BA212">
            <v>41764</v>
          </cell>
          <cell r="BC212">
            <v>19.925090000000001</v>
          </cell>
          <cell r="BH212">
            <v>41764</v>
          </cell>
          <cell r="BJ212">
            <v>25.219899999999999</v>
          </cell>
        </row>
        <row r="213">
          <cell r="D213">
            <v>41761</v>
          </cell>
          <cell r="F213">
            <v>181.98392000000001</v>
          </cell>
          <cell r="K213">
            <v>41761</v>
          </cell>
          <cell r="M213">
            <v>21.922160000000002</v>
          </cell>
          <cell r="R213">
            <v>41761</v>
          </cell>
          <cell r="T213">
            <v>4.12</v>
          </cell>
          <cell r="Y213">
            <v>41761</v>
          </cell>
          <cell r="AA213">
            <v>308.01</v>
          </cell>
          <cell r="AF213">
            <v>41761</v>
          </cell>
          <cell r="AH213">
            <v>82.008470000000003</v>
          </cell>
          <cell r="AM213">
            <v>41761</v>
          </cell>
          <cell r="AO213">
            <v>62.095889999999997</v>
          </cell>
          <cell r="AT213">
            <v>41761</v>
          </cell>
          <cell r="AV213">
            <v>38.782389999999999</v>
          </cell>
          <cell r="BA213">
            <v>41761</v>
          </cell>
          <cell r="BC213">
            <v>19.826840000000001</v>
          </cell>
          <cell r="BH213">
            <v>41761</v>
          </cell>
          <cell r="BJ213">
            <v>25.314779999999999</v>
          </cell>
        </row>
        <row r="214">
          <cell r="D214">
            <v>41760</v>
          </cell>
          <cell r="F214">
            <v>183.97067999999999</v>
          </cell>
          <cell r="K214">
            <v>41760</v>
          </cell>
          <cell r="M214">
            <v>21.989049999999999</v>
          </cell>
          <cell r="R214">
            <v>41760</v>
          </cell>
          <cell r="T214">
            <v>4.2</v>
          </cell>
          <cell r="Y214">
            <v>41760</v>
          </cell>
          <cell r="AA214">
            <v>307.89</v>
          </cell>
          <cell r="AF214">
            <v>41760</v>
          </cell>
          <cell r="AH214">
            <v>81.85624</v>
          </cell>
          <cell r="AM214">
            <v>41760</v>
          </cell>
          <cell r="AO214">
            <v>63.38064</v>
          </cell>
          <cell r="AT214">
            <v>41760</v>
          </cell>
          <cell r="AV214">
            <v>38.621380000000002</v>
          </cell>
          <cell r="BA214">
            <v>41760</v>
          </cell>
          <cell r="BC214">
            <v>19.649989999999999</v>
          </cell>
          <cell r="BH214">
            <v>41760</v>
          </cell>
          <cell r="BJ214">
            <v>25.400179999999999</v>
          </cell>
        </row>
        <row r="215">
          <cell r="D215">
            <v>41759</v>
          </cell>
          <cell r="F215">
            <v>186.76545999999999</v>
          </cell>
          <cell r="K215">
            <v>41759</v>
          </cell>
          <cell r="M215">
            <v>22.084610000000001</v>
          </cell>
          <cell r="R215">
            <v>41759</v>
          </cell>
          <cell r="T215">
            <v>4.09</v>
          </cell>
          <cell r="Y215">
            <v>41759</v>
          </cell>
          <cell r="AA215">
            <v>304.13</v>
          </cell>
          <cell r="AF215">
            <v>41759</v>
          </cell>
          <cell r="AH215">
            <v>81.663870000000003</v>
          </cell>
          <cell r="AM215">
            <v>41759</v>
          </cell>
          <cell r="AO215">
            <v>67.653379999999999</v>
          </cell>
          <cell r="AT215">
            <v>41759</v>
          </cell>
          <cell r="AV215">
            <v>38.630859999999998</v>
          </cell>
          <cell r="BA215">
            <v>41759</v>
          </cell>
          <cell r="BC215">
            <v>19.846489999999999</v>
          </cell>
          <cell r="BH215">
            <v>41759</v>
          </cell>
          <cell r="BJ215">
            <v>25.514040000000001</v>
          </cell>
        </row>
        <row r="216">
          <cell r="D216">
            <v>41758</v>
          </cell>
          <cell r="F216">
            <v>185.47264000000001</v>
          </cell>
          <cell r="K216">
            <v>41758</v>
          </cell>
          <cell r="M216">
            <v>22.132390000000001</v>
          </cell>
          <cell r="R216">
            <v>41758</v>
          </cell>
          <cell r="T216">
            <v>4.03</v>
          </cell>
          <cell r="Y216">
            <v>41758</v>
          </cell>
          <cell r="AA216">
            <v>300.38</v>
          </cell>
          <cell r="AF216">
            <v>41758</v>
          </cell>
          <cell r="AH216">
            <v>81.973870000000005</v>
          </cell>
          <cell r="AM216">
            <v>41758</v>
          </cell>
          <cell r="AO216">
            <v>67.955100000000002</v>
          </cell>
          <cell r="AT216">
            <v>41758</v>
          </cell>
          <cell r="AV216">
            <v>38.422499999999999</v>
          </cell>
          <cell r="BA216">
            <v>41758</v>
          </cell>
          <cell r="BC216">
            <v>18.922940000000001</v>
          </cell>
          <cell r="BH216">
            <v>41758</v>
          </cell>
          <cell r="BJ216">
            <v>25.390689999999999</v>
          </cell>
        </row>
        <row r="217">
          <cell r="D217">
            <v>41757</v>
          </cell>
          <cell r="F217">
            <v>183.59995000000001</v>
          </cell>
          <cell r="K217">
            <v>41757</v>
          </cell>
          <cell r="M217">
            <v>21.998609999999999</v>
          </cell>
          <cell r="R217">
            <v>41757</v>
          </cell>
          <cell r="T217">
            <v>3.96</v>
          </cell>
          <cell r="Y217">
            <v>41757</v>
          </cell>
          <cell r="AA217">
            <v>296.58</v>
          </cell>
          <cell r="AF217">
            <v>41757</v>
          </cell>
          <cell r="AH217">
            <v>82.217439999999996</v>
          </cell>
          <cell r="AM217">
            <v>41757</v>
          </cell>
          <cell r="AO217">
            <v>66.71902</v>
          </cell>
          <cell r="AT217">
            <v>41757</v>
          </cell>
          <cell r="AV217">
            <v>38.858150000000002</v>
          </cell>
          <cell r="BA217">
            <v>41757</v>
          </cell>
          <cell r="BC217">
            <v>18.88364</v>
          </cell>
          <cell r="BH217">
            <v>41757</v>
          </cell>
          <cell r="BJ217">
            <v>25.409659999999999</v>
          </cell>
        </row>
        <row r="218">
          <cell r="D218">
            <v>41754</v>
          </cell>
          <cell r="F218">
            <v>180.26331999999999</v>
          </cell>
          <cell r="K218">
            <v>41754</v>
          </cell>
          <cell r="M218">
            <v>21.979489999999998</v>
          </cell>
          <cell r="R218">
            <v>41754</v>
          </cell>
          <cell r="T218">
            <v>4.05</v>
          </cell>
          <cell r="Y218">
            <v>41754</v>
          </cell>
          <cell r="AA218">
            <v>303.83</v>
          </cell>
          <cell r="AF218">
            <v>41754</v>
          </cell>
          <cell r="AH218">
            <v>79.152050000000003</v>
          </cell>
          <cell r="AM218">
            <v>41754</v>
          </cell>
          <cell r="AO218">
            <v>65.405079999999998</v>
          </cell>
          <cell r="AT218">
            <v>41754</v>
          </cell>
          <cell r="AV218">
            <v>38.839210000000001</v>
          </cell>
          <cell r="BA218">
            <v>41754</v>
          </cell>
          <cell r="BC218">
            <v>18.991720000000001</v>
          </cell>
          <cell r="BH218">
            <v>41754</v>
          </cell>
          <cell r="BJ218">
            <v>25.238869999999999</v>
          </cell>
        </row>
        <row r="219">
          <cell r="D219">
            <v>41753</v>
          </cell>
          <cell r="F219">
            <v>180.82418000000001</v>
          </cell>
          <cell r="K219">
            <v>41753</v>
          </cell>
          <cell r="M219">
            <v>22.29485</v>
          </cell>
          <cell r="R219">
            <v>41753</v>
          </cell>
          <cell r="T219">
            <v>4.28</v>
          </cell>
          <cell r="Y219">
            <v>41753</v>
          </cell>
          <cell r="AA219">
            <v>337.15</v>
          </cell>
          <cell r="AF219">
            <v>41753</v>
          </cell>
          <cell r="AH219">
            <v>78.574960000000004</v>
          </cell>
          <cell r="AM219">
            <v>41753</v>
          </cell>
          <cell r="AO219">
            <v>66.777420000000006</v>
          </cell>
          <cell r="AT219">
            <v>41753</v>
          </cell>
          <cell r="AV219">
            <v>38.54562</v>
          </cell>
          <cell r="BA219">
            <v>41753</v>
          </cell>
          <cell r="BC219">
            <v>19.23734</v>
          </cell>
          <cell r="BH219">
            <v>41753</v>
          </cell>
          <cell r="BJ219">
            <v>25.10604</v>
          </cell>
        </row>
        <row r="220">
          <cell r="D220">
            <v>41752</v>
          </cell>
          <cell r="F220">
            <v>182.25959</v>
          </cell>
          <cell r="K220">
            <v>41752</v>
          </cell>
          <cell r="M220">
            <v>22.45731</v>
          </cell>
          <cell r="R220">
            <v>41752</v>
          </cell>
          <cell r="T220">
            <v>4.25</v>
          </cell>
          <cell r="Y220">
            <v>41752</v>
          </cell>
          <cell r="AA220">
            <v>324.58</v>
          </cell>
          <cell r="AF220">
            <v>41752</v>
          </cell>
          <cell r="AH220">
            <v>72.621319999999997</v>
          </cell>
          <cell r="AM220">
            <v>41752</v>
          </cell>
          <cell r="AO220">
            <v>67.108339999999998</v>
          </cell>
          <cell r="AT220">
            <v>41752</v>
          </cell>
          <cell r="AV220">
            <v>38.57403</v>
          </cell>
          <cell r="BA220">
            <v>41752</v>
          </cell>
          <cell r="BC220">
            <v>19.43384</v>
          </cell>
          <cell r="BH220">
            <v>41752</v>
          </cell>
          <cell r="BJ220">
            <v>25.068090000000002</v>
          </cell>
        </row>
        <row r="221">
          <cell r="D221">
            <v>41751</v>
          </cell>
          <cell r="F221">
            <v>182.65885</v>
          </cell>
          <cell r="K221">
            <v>41751</v>
          </cell>
          <cell r="M221">
            <v>22.476420000000001</v>
          </cell>
          <cell r="R221">
            <v>41751</v>
          </cell>
          <cell r="T221">
            <v>4.3</v>
          </cell>
          <cell r="Y221">
            <v>41751</v>
          </cell>
          <cell r="AA221">
            <v>329.32</v>
          </cell>
          <cell r="AF221">
            <v>41751</v>
          </cell>
          <cell r="AH221">
            <v>73.583010000000002</v>
          </cell>
          <cell r="AM221">
            <v>41751</v>
          </cell>
          <cell r="AO221">
            <v>67.020740000000004</v>
          </cell>
          <cell r="AT221">
            <v>41751</v>
          </cell>
          <cell r="AV221">
            <v>38.55509</v>
          </cell>
          <cell r="BA221">
            <v>41751</v>
          </cell>
          <cell r="BC221">
            <v>19.345420000000001</v>
          </cell>
          <cell r="BH221">
            <v>41751</v>
          </cell>
          <cell r="BJ221">
            <v>25.219899999999999</v>
          </cell>
        </row>
        <row r="222">
          <cell r="D222">
            <v>41750</v>
          </cell>
          <cell r="F222">
            <v>182.77292</v>
          </cell>
          <cell r="K222">
            <v>41750</v>
          </cell>
          <cell r="M222">
            <v>22.361750000000001</v>
          </cell>
          <cell r="R222">
            <v>41750</v>
          </cell>
          <cell r="T222">
            <v>4.12</v>
          </cell>
          <cell r="Y222">
            <v>41750</v>
          </cell>
          <cell r="AA222">
            <v>330.87</v>
          </cell>
          <cell r="AF222">
            <v>41750</v>
          </cell>
          <cell r="AH222">
            <v>73.509799999999998</v>
          </cell>
          <cell r="AM222">
            <v>41750</v>
          </cell>
          <cell r="AO222">
            <v>66.81635</v>
          </cell>
          <cell r="AT222">
            <v>41750</v>
          </cell>
          <cell r="AV222">
            <v>38.592970000000001</v>
          </cell>
          <cell r="BA222">
            <v>41750</v>
          </cell>
          <cell r="BC222">
            <v>19.315940000000001</v>
          </cell>
          <cell r="BH222">
            <v>41750</v>
          </cell>
          <cell r="BJ222">
            <v>25.229389999999999</v>
          </cell>
        </row>
        <row r="223">
          <cell r="D223">
            <v>41746</v>
          </cell>
          <cell r="F223">
            <v>180.62455</v>
          </cell>
          <cell r="K223">
            <v>41746</v>
          </cell>
          <cell r="M223">
            <v>22.18018</v>
          </cell>
          <cell r="R223">
            <v>41746</v>
          </cell>
          <cell r="T223">
            <v>3.69</v>
          </cell>
          <cell r="Y223">
            <v>41746</v>
          </cell>
          <cell r="AA223">
            <v>324.91000000000003</v>
          </cell>
          <cell r="AF223">
            <v>41746</v>
          </cell>
          <cell r="AH223">
            <v>72.647620000000003</v>
          </cell>
          <cell r="AM223">
            <v>41746</v>
          </cell>
          <cell r="AO223">
            <v>66.310239999999993</v>
          </cell>
          <cell r="AT223">
            <v>41746</v>
          </cell>
          <cell r="AV223">
            <v>38.56456</v>
          </cell>
          <cell r="BA223">
            <v>41746</v>
          </cell>
          <cell r="BC223">
            <v>19.27664</v>
          </cell>
          <cell r="BH223">
            <v>41746</v>
          </cell>
          <cell r="BJ223">
            <v>25.20092</v>
          </cell>
        </row>
        <row r="224">
          <cell r="D224">
            <v>41745</v>
          </cell>
          <cell r="F224">
            <v>186.69891999999999</v>
          </cell>
          <cell r="K224">
            <v>41745</v>
          </cell>
          <cell r="M224">
            <v>22.00816</v>
          </cell>
          <cell r="R224">
            <v>41745</v>
          </cell>
          <cell r="T224">
            <v>3.76</v>
          </cell>
          <cell r="Y224">
            <v>41745</v>
          </cell>
          <cell r="AA224">
            <v>323.68</v>
          </cell>
          <cell r="AF224">
            <v>41745</v>
          </cell>
          <cell r="AH224">
            <v>71.826949999999997</v>
          </cell>
          <cell r="AM224">
            <v>41745</v>
          </cell>
          <cell r="AO224">
            <v>66.203180000000003</v>
          </cell>
          <cell r="AT224">
            <v>41745</v>
          </cell>
          <cell r="AV224">
            <v>38.44144</v>
          </cell>
          <cell r="BA224">
            <v>41745</v>
          </cell>
          <cell r="BC224">
            <v>19.040839999999999</v>
          </cell>
          <cell r="BH224">
            <v>41745</v>
          </cell>
          <cell r="BJ224">
            <v>24.783439999999999</v>
          </cell>
        </row>
        <row r="225">
          <cell r="D225">
            <v>41744</v>
          </cell>
          <cell r="F225">
            <v>187.28829999999999</v>
          </cell>
          <cell r="K225">
            <v>41744</v>
          </cell>
          <cell r="M225">
            <v>21.874369999999999</v>
          </cell>
          <cell r="R225">
            <v>41744</v>
          </cell>
          <cell r="T225">
            <v>3.79</v>
          </cell>
          <cell r="Y225">
            <v>41744</v>
          </cell>
          <cell r="AA225">
            <v>316.08</v>
          </cell>
          <cell r="AF225">
            <v>41744</v>
          </cell>
          <cell r="AH225">
            <v>71.681629999999998</v>
          </cell>
          <cell r="AM225">
            <v>41744</v>
          </cell>
          <cell r="AO225">
            <v>65.414810000000003</v>
          </cell>
          <cell r="AT225">
            <v>41744</v>
          </cell>
          <cell r="AV225">
            <v>38.053139999999999</v>
          </cell>
          <cell r="BA225">
            <v>41744</v>
          </cell>
          <cell r="BC225">
            <v>18.79522</v>
          </cell>
          <cell r="BH225">
            <v>41744</v>
          </cell>
          <cell r="BJ225">
            <v>24.49879</v>
          </cell>
        </row>
        <row r="226">
          <cell r="D226">
            <v>41743</v>
          </cell>
          <cell r="F226">
            <v>188.00125</v>
          </cell>
          <cell r="K226">
            <v>41743</v>
          </cell>
          <cell r="M226">
            <v>21.83615</v>
          </cell>
          <cell r="R226">
            <v>41743</v>
          </cell>
          <cell r="T226">
            <v>3.71</v>
          </cell>
          <cell r="Y226">
            <v>41743</v>
          </cell>
          <cell r="AA226">
            <v>315.91000000000003</v>
          </cell>
          <cell r="AF226">
            <v>41743</v>
          </cell>
          <cell r="AH226">
            <v>72.196460000000002</v>
          </cell>
          <cell r="AM226">
            <v>41743</v>
          </cell>
          <cell r="AO226">
            <v>64.937899999999999</v>
          </cell>
          <cell r="AT226">
            <v>41743</v>
          </cell>
          <cell r="AV226">
            <v>36.679900000000004</v>
          </cell>
          <cell r="BA226">
            <v>41743</v>
          </cell>
          <cell r="BC226">
            <v>19.129270000000002</v>
          </cell>
          <cell r="BH226">
            <v>41743</v>
          </cell>
          <cell r="BJ226">
            <v>24.39442</v>
          </cell>
        </row>
        <row r="227">
          <cell r="D227">
            <v>41740</v>
          </cell>
          <cell r="F227">
            <v>185.54868999999999</v>
          </cell>
          <cell r="K227">
            <v>41740</v>
          </cell>
          <cell r="M227">
            <v>21.463450000000002</v>
          </cell>
          <cell r="R227">
            <v>41740</v>
          </cell>
          <cell r="T227">
            <v>3.65</v>
          </cell>
          <cell r="Y227">
            <v>41740</v>
          </cell>
          <cell r="AA227">
            <v>311.73</v>
          </cell>
          <cell r="AF227">
            <v>41740</v>
          </cell>
          <cell r="AH227">
            <v>71.909989999999993</v>
          </cell>
          <cell r="AM227">
            <v>41740</v>
          </cell>
          <cell r="AO227">
            <v>64.373390000000001</v>
          </cell>
          <cell r="AT227">
            <v>41740</v>
          </cell>
          <cell r="AV227">
            <v>36.585189999999997</v>
          </cell>
          <cell r="BA227">
            <v>41740</v>
          </cell>
          <cell r="BC227">
            <v>18.677320000000002</v>
          </cell>
          <cell r="BH227">
            <v>41740</v>
          </cell>
          <cell r="BJ227">
            <v>24.128740000000001</v>
          </cell>
        </row>
        <row r="228">
          <cell r="D228">
            <v>41739</v>
          </cell>
          <cell r="F228">
            <v>186.01449</v>
          </cell>
          <cell r="K228">
            <v>41739</v>
          </cell>
          <cell r="M228">
            <v>21.645019999999999</v>
          </cell>
          <cell r="R228">
            <v>41739</v>
          </cell>
          <cell r="T228">
            <v>3.85</v>
          </cell>
          <cell r="Y228">
            <v>41739</v>
          </cell>
          <cell r="AA228">
            <v>317.11</v>
          </cell>
          <cell r="AF228">
            <v>41739</v>
          </cell>
          <cell r="AH228">
            <v>72.445570000000004</v>
          </cell>
          <cell r="AM228">
            <v>41739</v>
          </cell>
          <cell r="AO228">
            <v>65.395349999999993</v>
          </cell>
          <cell r="AT228">
            <v>41739</v>
          </cell>
          <cell r="AV228">
            <v>36.831429999999997</v>
          </cell>
          <cell r="BA228">
            <v>41739</v>
          </cell>
          <cell r="BC228">
            <v>18.52994</v>
          </cell>
          <cell r="BH228">
            <v>41739</v>
          </cell>
          <cell r="BJ228">
            <v>24.271070000000002</v>
          </cell>
        </row>
        <row r="229">
          <cell r="D229">
            <v>41738</v>
          </cell>
          <cell r="F229">
            <v>186.92706999999999</v>
          </cell>
          <cell r="K229">
            <v>41738</v>
          </cell>
          <cell r="M229">
            <v>22.094169999999998</v>
          </cell>
          <cell r="R229">
            <v>41738</v>
          </cell>
          <cell r="T229">
            <v>3.98</v>
          </cell>
          <cell r="Y229">
            <v>41738</v>
          </cell>
          <cell r="AA229">
            <v>331.80500000000001</v>
          </cell>
          <cell r="AF229">
            <v>41738</v>
          </cell>
          <cell r="AH229">
            <v>73.392169999999993</v>
          </cell>
          <cell r="AM229">
            <v>41738</v>
          </cell>
          <cell r="AO229">
            <v>67.594980000000007</v>
          </cell>
          <cell r="AT229">
            <v>41738</v>
          </cell>
          <cell r="AV229">
            <v>36.926139999999997</v>
          </cell>
          <cell r="BA229">
            <v>41738</v>
          </cell>
          <cell r="BC229">
            <v>18.736270000000001</v>
          </cell>
          <cell r="BH229">
            <v>41738</v>
          </cell>
          <cell r="BJ229">
            <v>24.622140000000002</v>
          </cell>
        </row>
        <row r="230">
          <cell r="D230">
            <v>41737</v>
          </cell>
          <cell r="F230">
            <v>183.74253999999999</v>
          </cell>
          <cell r="K230">
            <v>41737</v>
          </cell>
          <cell r="M230">
            <v>21.922160000000002</v>
          </cell>
          <cell r="R230">
            <v>41737</v>
          </cell>
          <cell r="T230">
            <v>3.99</v>
          </cell>
          <cell r="Y230">
            <v>41737</v>
          </cell>
          <cell r="AA230">
            <v>327.07</v>
          </cell>
          <cell r="AF230">
            <v>41737</v>
          </cell>
          <cell r="AH230">
            <v>72.440029999999993</v>
          </cell>
          <cell r="AM230">
            <v>41737</v>
          </cell>
          <cell r="AO230">
            <v>65.872259999999997</v>
          </cell>
          <cell r="AT230">
            <v>41737</v>
          </cell>
          <cell r="AV230">
            <v>36.840899999999998</v>
          </cell>
          <cell r="BA230">
            <v>41737</v>
          </cell>
          <cell r="BC230">
            <v>18.520119999999999</v>
          </cell>
          <cell r="BH230">
            <v>41737</v>
          </cell>
          <cell r="BJ230">
            <v>24.432369999999999</v>
          </cell>
        </row>
        <row r="231">
          <cell r="D231">
            <v>41736</v>
          </cell>
          <cell r="F231">
            <v>184.91177999999999</v>
          </cell>
          <cell r="K231">
            <v>41736</v>
          </cell>
          <cell r="M231">
            <v>21.83615</v>
          </cell>
          <cell r="R231">
            <v>41736</v>
          </cell>
          <cell r="T231">
            <v>3.88</v>
          </cell>
          <cell r="Y231">
            <v>41736</v>
          </cell>
          <cell r="AA231">
            <v>317.76</v>
          </cell>
          <cell r="AF231">
            <v>41736</v>
          </cell>
          <cell r="AH231">
            <v>72.444180000000003</v>
          </cell>
          <cell r="AM231">
            <v>41736</v>
          </cell>
          <cell r="AO231">
            <v>66.212909999999994</v>
          </cell>
          <cell r="AT231">
            <v>41736</v>
          </cell>
          <cell r="AV231">
            <v>36.575719999999997</v>
          </cell>
          <cell r="BA231">
            <v>41736</v>
          </cell>
          <cell r="BC231">
            <v>18.353090000000002</v>
          </cell>
          <cell r="BH231">
            <v>41736</v>
          </cell>
          <cell r="BJ231">
            <v>24.527249999999999</v>
          </cell>
        </row>
        <row r="232">
          <cell r="D232">
            <v>41733</v>
          </cell>
          <cell r="F232">
            <v>182.29761999999999</v>
          </cell>
          <cell r="K232">
            <v>41733</v>
          </cell>
          <cell r="M232">
            <v>21.703990000000001</v>
          </cell>
          <cell r="R232">
            <v>41733</v>
          </cell>
          <cell r="T232">
            <v>4.01</v>
          </cell>
          <cell r="Y232">
            <v>41733</v>
          </cell>
          <cell r="AA232">
            <v>323</v>
          </cell>
          <cell r="AF232">
            <v>41733</v>
          </cell>
          <cell r="AH232">
            <v>73.599760000000003</v>
          </cell>
          <cell r="AM232">
            <v>41733</v>
          </cell>
          <cell r="AO232">
            <v>67.166730000000001</v>
          </cell>
          <cell r="AT232">
            <v>41733</v>
          </cell>
          <cell r="AV232">
            <v>36.196890000000003</v>
          </cell>
          <cell r="BA232">
            <v>41733</v>
          </cell>
          <cell r="BC232">
            <v>18.33344</v>
          </cell>
          <cell r="BH232">
            <v>41733</v>
          </cell>
          <cell r="BJ232">
            <v>24.688549999999999</v>
          </cell>
        </row>
        <row r="233">
          <cell r="D233">
            <v>41732</v>
          </cell>
          <cell r="F233">
            <v>183.17218</v>
          </cell>
          <cell r="K233">
            <v>41732</v>
          </cell>
          <cell r="M233">
            <v>22.0655</v>
          </cell>
          <cell r="R233">
            <v>41732</v>
          </cell>
          <cell r="T233">
            <v>4</v>
          </cell>
          <cell r="Y233">
            <v>41732</v>
          </cell>
          <cell r="AA233">
            <v>333.62</v>
          </cell>
          <cell r="AF233">
            <v>41732</v>
          </cell>
          <cell r="AH233">
            <v>74.564350000000005</v>
          </cell>
          <cell r="AM233">
            <v>41732</v>
          </cell>
          <cell r="AO233">
            <v>69.405299999999997</v>
          </cell>
          <cell r="AT233">
            <v>41732</v>
          </cell>
          <cell r="AV233">
            <v>36.054830000000003</v>
          </cell>
          <cell r="BA233">
            <v>41732</v>
          </cell>
          <cell r="BC233">
            <v>18.962240000000001</v>
          </cell>
          <cell r="BH233">
            <v>41732</v>
          </cell>
          <cell r="BJ233">
            <v>24.887810000000002</v>
          </cell>
        </row>
        <row r="234">
          <cell r="D234">
            <v>41731</v>
          </cell>
          <cell r="F234">
            <v>183.9897</v>
          </cell>
          <cell r="K234">
            <v>41731</v>
          </cell>
          <cell r="M234">
            <v>21.969940000000001</v>
          </cell>
          <cell r="R234">
            <v>41731</v>
          </cell>
          <cell r="T234">
            <v>4.0599999999999996</v>
          </cell>
          <cell r="Y234">
            <v>41731</v>
          </cell>
          <cell r="AA234">
            <v>341.96</v>
          </cell>
          <cell r="AF234">
            <v>41731</v>
          </cell>
          <cell r="AH234">
            <v>75.084710000000001</v>
          </cell>
          <cell r="AM234">
            <v>41731</v>
          </cell>
          <cell r="AO234">
            <v>68.402810000000002</v>
          </cell>
          <cell r="AT234">
            <v>41731</v>
          </cell>
          <cell r="AV234">
            <v>36.301070000000003</v>
          </cell>
          <cell r="BA234">
            <v>41731</v>
          </cell>
          <cell r="BC234">
            <v>18.991720000000001</v>
          </cell>
          <cell r="BH234">
            <v>41731</v>
          </cell>
          <cell r="BJ234">
            <v>24.707529999999998</v>
          </cell>
        </row>
        <row r="235">
          <cell r="D235">
            <v>41730</v>
          </cell>
          <cell r="F235">
            <v>184.89277000000001</v>
          </cell>
          <cell r="K235">
            <v>41730</v>
          </cell>
          <cell r="M235">
            <v>22.075060000000001</v>
          </cell>
          <cell r="R235">
            <v>41730</v>
          </cell>
          <cell r="T235">
            <v>4.07</v>
          </cell>
          <cell r="Y235">
            <v>41730</v>
          </cell>
          <cell r="AA235">
            <v>342.99</v>
          </cell>
          <cell r="AF235">
            <v>41730</v>
          </cell>
          <cell r="AH235">
            <v>74.960149999999999</v>
          </cell>
          <cell r="AM235">
            <v>41730</v>
          </cell>
          <cell r="AO235">
            <v>67.867500000000007</v>
          </cell>
          <cell r="AT235">
            <v>41730</v>
          </cell>
          <cell r="AV235">
            <v>36.376840000000001</v>
          </cell>
          <cell r="BA235">
            <v>41730</v>
          </cell>
          <cell r="BC235">
            <v>18.716619999999999</v>
          </cell>
          <cell r="BH235">
            <v>41730</v>
          </cell>
          <cell r="BJ235">
            <v>24.546230000000001</v>
          </cell>
        </row>
        <row r="236">
          <cell r="D236">
            <v>41729</v>
          </cell>
          <cell r="F236">
            <v>182.98204999999999</v>
          </cell>
          <cell r="K236">
            <v>41729</v>
          </cell>
          <cell r="M236">
            <v>21.238880000000002</v>
          </cell>
          <cell r="R236">
            <v>41729</v>
          </cell>
          <cell r="T236">
            <v>4.01</v>
          </cell>
          <cell r="Y236">
            <v>41729</v>
          </cell>
          <cell r="AA236">
            <v>336.36500000000001</v>
          </cell>
          <cell r="AF236">
            <v>41729</v>
          </cell>
          <cell r="AH236">
            <v>74.280649999999994</v>
          </cell>
          <cell r="AM236">
            <v>41729</v>
          </cell>
          <cell r="AO236">
            <v>68.110820000000004</v>
          </cell>
          <cell r="AT236">
            <v>41729</v>
          </cell>
          <cell r="AV236">
            <v>36.613599999999998</v>
          </cell>
          <cell r="BA236">
            <v>41729</v>
          </cell>
          <cell r="BC236">
            <v>18.706790000000002</v>
          </cell>
          <cell r="BH236">
            <v>41729</v>
          </cell>
          <cell r="BJ236">
            <v>24.56521</v>
          </cell>
        </row>
        <row r="237">
          <cell r="D237">
            <v>41726</v>
          </cell>
          <cell r="F237">
            <v>181.04282000000001</v>
          </cell>
          <cell r="K237">
            <v>41726</v>
          </cell>
          <cell r="M237">
            <v>21.158339999999999</v>
          </cell>
          <cell r="R237">
            <v>41726</v>
          </cell>
          <cell r="T237">
            <v>3.88</v>
          </cell>
          <cell r="Y237">
            <v>41726</v>
          </cell>
          <cell r="AA237">
            <v>338.29</v>
          </cell>
          <cell r="AF237">
            <v>41726</v>
          </cell>
          <cell r="AH237">
            <v>74.297250000000005</v>
          </cell>
          <cell r="AM237">
            <v>41726</v>
          </cell>
          <cell r="AO237">
            <v>67.818839999999994</v>
          </cell>
          <cell r="AT237">
            <v>41726</v>
          </cell>
          <cell r="AV237">
            <v>36.888249999999999</v>
          </cell>
          <cell r="BA237">
            <v>41726</v>
          </cell>
          <cell r="BC237">
            <v>18.579070000000002</v>
          </cell>
          <cell r="BH237">
            <v>41726</v>
          </cell>
          <cell r="BJ237">
            <v>24.555720000000001</v>
          </cell>
        </row>
        <row r="238">
          <cell r="D238">
            <v>41725</v>
          </cell>
          <cell r="F238">
            <v>180.45344</v>
          </cell>
          <cell r="K238">
            <v>41725</v>
          </cell>
          <cell r="M238">
            <v>20.864609999999999</v>
          </cell>
          <cell r="R238">
            <v>41725</v>
          </cell>
          <cell r="T238">
            <v>3.91</v>
          </cell>
          <cell r="Y238">
            <v>41725</v>
          </cell>
          <cell r="AA238">
            <v>338.47</v>
          </cell>
          <cell r="AF238">
            <v>41725</v>
          </cell>
          <cell r="AH238">
            <v>74.380290000000002</v>
          </cell>
          <cell r="AM238">
            <v>41725</v>
          </cell>
          <cell r="AO238">
            <v>66.998840000000001</v>
          </cell>
          <cell r="AT238">
            <v>41725</v>
          </cell>
          <cell r="AV238">
            <v>36.765129999999999</v>
          </cell>
          <cell r="BA238">
            <v>41725</v>
          </cell>
          <cell r="BC238">
            <v>18.520119999999999</v>
          </cell>
          <cell r="BH238">
            <v>41725</v>
          </cell>
          <cell r="BJ238">
            <v>24.4893</v>
          </cell>
        </row>
        <row r="239">
          <cell r="D239">
            <v>41724</v>
          </cell>
          <cell r="F239">
            <v>183.10562999999999</v>
          </cell>
          <cell r="K239">
            <v>41724</v>
          </cell>
          <cell r="M239">
            <v>21.148869999999999</v>
          </cell>
          <cell r="R239">
            <v>41724</v>
          </cell>
          <cell r="T239">
            <v>4.05</v>
          </cell>
          <cell r="Y239">
            <v>41724</v>
          </cell>
          <cell r="AA239">
            <v>343.41</v>
          </cell>
          <cell r="AF239">
            <v>41724</v>
          </cell>
          <cell r="AH239">
            <v>74.701359999999994</v>
          </cell>
          <cell r="AM239">
            <v>41724</v>
          </cell>
          <cell r="AO239">
            <v>68.142300000000006</v>
          </cell>
          <cell r="AT239">
            <v>41724</v>
          </cell>
          <cell r="AV239">
            <v>36.566249999999997</v>
          </cell>
          <cell r="BA239">
            <v>41724</v>
          </cell>
          <cell r="BC239">
            <v>18.579070000000002</v>
          </cell>
          <cell r="BH239">
            <v>41724</v>
          </cell>
          <cell r="BJ239">
            <v>24.30902</v>
          </cell>
        </row>
        <row r="240">
          <cell r="D240">
            <v>41723</v>
          </cell>
          <cell r="F240">
            <v>185.40610000000001</v>
          </cell>
          <cell r="K240">
            <v>41723</v>
          </cell>
          <cell r="M240">
            <v>21.167819999999999</v>
          </cell>
          <cell r="R240">
            <v>41723</v>
          </cell>
          <cell r="T240">
            <v>4.05</v>
          </cell>
          <cell r="Y240">
            <v>41723</v>
          </cell>
          <cell r="AA240">
            <v>354.71</v>
          </cell>
          <cell r="AF240">
            <v>41723</v>
          </cell>
          <cell r="AH240">
            <v>75.422380000000004</v>
          </cell>
          <cell r="AM240">
            <v>41723</v>
          </cell>
          <cell r="AO240">
            <v>68.936899999999994</v>
          </cell>
          <cell r="AT240">
            <v>41723</v>
          </cell>
          <cell r="AV240">
            <v>36.575719999999997</v>
          </cell>
          <cell r="BA240">
            <v>41723</v>
          </cell>
          <cell r="BC240">
            <v>19.304580000000001</v>
          </cell>
          <cell r="BH240">
            <v>41723</v>
          </cell>
          <cell r="BJ240">
            <v>24.384930000000001</v>
          </cell>
        </row>
        <row r="241">
          <cell r="D241">
            <v>41722</v>
          </cell>
          <cell r="F241">
            <v>178.95149000000001</v>
          </cell>
          <cell r="K241">
            <v>41722</v>
          </cell>
          <cell r="M241">
            <v>20.438220000000001</v>
          </cell>
          <cell r="R241">
            <v>41722</v>
          </cell>
          <cell r="T241">
            <v>4.05</v>
          </cell>
          <cell r="Y241">
            <v>41722</v>
          </cell>
          <cell r="AA241">
            <v>351.85</v>
          </cell>
          <cell r="AF241">
            <v>41722</v>
          </cell>
          <cell r="AH241">
            <v>74.619709999999998</v>
          </cell>
          <cell r="AM241">
            <v>41722</v>
          </cell>
          <cell r="AO241">
            <v>67.967870000000005</v>
          </cell>
          <cell r="AT241">
            <v>41722</v>
          </cell>
          <cell r="AV241">
            <v>36.367370000000001</v>
          </cell>
          <cell r="BA241">
            <v>41722</v>
          </cell>
          <cell r="BC241">
            <v>18.853590000000001</v>
          </cell>
          <cell r="BH241">
            <v>41722</v>
          </cell>
          <cell r="BJ241">
            <v>24.109770000000001</v>
          </cell>
        </row>
        <row r="242">
          <cell r="D242">
            <v>41719</v>
          </cell>
          <cell r="F242">
            <v>177.44953000000001</v>
          </cell>
          <cell r="K242">
            <v>41719</v>
          </cell>
          <cell r="M242">
            <v>20.504549999999998</v>
          </cell>
          <cell r="R242">
            <v>41719</v>
          </cell>
          <cell r="T242">
            <v>4.04</v>
          </cell>
          <cell r="Y242">
            <v>41719</v>
          </cell>
          <cell r="AA242">
            <v>360.62</v>
          </cell>
          <cell r="AF242">
            <v>41719</v>
          </cell>
          <cell r="AH242">
            <v>73.745069999999998</v>
          </cell>
          <cell r="AM242">
            <v>41719</v>
          </cell>
          <cell r="AO242">
            <v>68.064779999999999</v>
          </cell>
          <cell r="AT242">
            <v>41719</v>
          </cell>
          <cell r="AV242">
            <v>36.405250000000002</v>
          </cell>
          <cell r="BA242">
            <v>41719</v>
          </cell>
          <cell r="BC242">
            <v>19.196729999999999</v>
          </cell>
          <cell r="BH242">
            <v>41719</v>
          </cell>
          <cell r="BJ242">
            <v>24.100280000000001</v>
          </cell>
        </row>
        <row r="243">
          <cell r="D243">
            <v>41718</v>
          </cell>
          <cell r="F243">
            <v>178.61877999999999</v>
          </cell>
          <cell r="K243">
            <v>41718</v>
          </cell>
          <cell r="M243">
            <v>20.68458</v>
          </cell>
          <cell r="R243">
            <v>41718</v>
          </cell>
          <cell r="T243">
            <v>4.05</v>
          </cell>
          <cell r="Y243">
            <v>41718</v>
          </cell>
          <cell r="AA243">
            <v>368.97</v>
          </cell>
          <cell r="AF243">
            <v>41718</v>
          </cell>
          <cell r="AH243">
            <v>73.167969999999997</v>
          </cell>
          <cell r="AM243">
            <v>41718</v>
          </cell>
          <cell r="AO243">
            <v>69.528009999999995</v>
          </cell>
          <cell r="AT243">
            <v>41718</v>
          </cell>
          <cell r="AV243">
            <v>36.414720000000003</v>
          </cell>
          <cell r="BA243">
            <v>41718</v>
          </cell>
          <cell r="BC243">
            <v>18.96143</v>
          </cell>
          <cell r="BH243">
            <v>41718</v>
          </cell>
          <cell r="BJ243">
            <v>23.976929999999999</v>
          </cell>
        </row>
        <row r="244">
          <cell r="D244">
            <v>41717</v>
          </cell>
          <cell r="F244">
            <v>175.58634000000001</v>
          </cell>
          <cell r="K244">
            <v>41717</v>
          </cell>
          <cell r="M244">
            <v>20.495069999999998</v>
          </cell>
          <cell r="R244">
            <v>41717</v>
          </cell>
          <cell r="T244">
            <v>3.98</v>
          </cell>
          <cell r="Y244">
            <v>41717</v>
          </cell>
          <cell r="AA244">
            <v>373.23</v>
          </cell>
          <cell r="AF244">
            <v>41717</v>
          </cell>
          <cell r="AH244">
            <v>73.522260000000003</v>
          </cell>
          <cell r="AM244">
            <v>41717</v>
          </cell>
          <cell r="AO244">
            <v>69.896249999999995</v>
          </cell>
          <cell r="AT244">
            <v>41717</v>
          </cell>
          <cell r="AV244">
            <v>36.121130000000001</v>
          </cell>
          <cell r="BA244">
            <v>41717</v>
          </cell>
          <cell r="BC244">
            <v>19.030059999999999</v>
          </cell>
          <cell r="BH244">
            <v>41717</v>
          </cell>
          <cell r="BJ244">
            <v>23.986419999999999</v>
          </cell>
        </row>
        <row r="245">
          <cell r="D245">
            <v>41716</v>
          </cell>
          <cell r="F245">
            <v>177.58261999999999</v>
          </cell>
          <cell r="K245">
            <v>41716</v>
          </cell>
          <cell r="M245">
            <v>20.495069999999998</v>
          </cell>
          <cell r="R245">
            <v>41716</v>
          </cell>
          <cell r="T245">
            <v>3.89</v>
          </cell>
          <cell r="Y245">
            <v>41716</v>
          </cell>
          <cell r="AA245">
            <v>378.77</v>
          </cell>
          <cell r="AF245">
            <v>41716</v>
          </cell>
          <cell r="AH245">
            <v>73.541629999999998</v>
          </cell>
          <cell r="AM245">
            <v>41716</v>
          </cell>
          <cell r="AO245">
            <v>71.175370000000001</v>
          </cell>
          <cell r="AT245">
            <v>41716</v>
          </cell>
          <cell r="AV245">
            <v>36.367370000000001</v>
          </cell>
          <cell r="BA245">
            <v>41716</v>
          </cell>
          <cell r="BC245">
            <v>19.039870000000001</v>
          </cell>
          <cell r="BH245">
            <v>41716</v>
          </cell>
          <cell r="BJ245">
            <v>24.337489999999999</v>
          </cell>
        </row>
        <row r="246">
          <cell r="D246">
            <v>41715</v>
          </cell>
          <cell r="F246">
            <v>176.63201000000001</v>
          </cell>
          <cell r="K246">
            <v>41715</v>
          </cell>
          <cell r="M246">
            <v>20.38137</v>
          </cell>
          <cell r="R246">
            <v>41715</v>
          </cell>
          <cell r="T246">
            <v>3.8</v>
          </cell>
          <cell r="Y246">
            <v>41715</v>
          </cell>
          <cell r="AA246">
            <v>375.04</v>
          </cell>
          <cell r="AF246">
            <v>41715</v>
          </cell>
          <cell r="AH246">
            <v>72.896730000000005</v>
          </cell>
          <cell r="AM246">
            <v>41715</v>
          </cell>
          <cell r="AO246">
            <v>70.438900000000004</v>
          </cell>
          <cell r="AT246">
            <v>41715</v>
          </cell>
          <cell r="AV246">
            <v>36.244250000000001</v>
          </cell>
          <cell r="BA246">
            <v>41715</v>
          </cell>
          <cell r="BC246">
            <v>18.976140000000001</v>
          </cell>
          <cell r="BH246">
            <v>41715</v>
          </cell>
          <cell r="BJ246">
            <v>24.128740000000001</v>
          </cell>
        </row>
        <row r="247">
          <cell r="D247">
            <v>41712</v>
          </cell>
          <cell r="F247">
            <v>173.20983000000001</v>
          </cell>
          <cell r="K247">
            <v>41712</v>
          </cell>
          <cell r="M247">
            <v>20.229669999999999</v>
          </cell>
          <cell r="R247">
            <v>41712</v>
          </cell>
          <cell r="T247">
            <v>3.85</v>
          </cell>
          <cell r="Y247">
            <v>41712</v>
          </cell>
          <cell r="AA247">
            <v>373.74</v>
          </cell>
          <cell r="AF247">
            <v>41712</v>
          </cell>
          <cell r="AH247">
            <v>72.613020000000006</v>
          </cell>
          <cell r="AM247">
            <v>41712</v>
          </cell>
          <cell r="AO247">
            <v>70.051289999999995</v>
          </cell>
          <cell r="AT247">
            <v>41712</v>
          </cell>
          <cell r="AV247">
            <v>36.149540000000002</v>
          </cell>
          <cell r="BA247">
            <v>41712</v>
          </cell>
          <cell r="BC247">
            <v>18.892800000000001</v>
          </cell>
          <cell r="BH247">
            <v>41712</v>
          </cell>
          <cell r="BJ247">
            <v>23.825119999999998</v>
          </cell>
        </row>
        <row r="248">
          <cell r="D248">
            <v>41711</v>
          </cell>
          <cell r="F248">
            <v>174.81635</v>
          </cell>
          <cell r="K248">
            <v>41711</v>
          </cell>
          <cell r="M248">
            <v>20.390840000000001</v>
          </cell>
          <cell r="R248">
            <v>41711</v>
          </cell>
          <cell r="T248">
            <v>3.86</v>
          </cell>
          <cell r="Y248">
            <v>41711</v>
          </cell>
          <cell r="AA248">
            <v>371.51</v>
          </cell>
          <cell r="AF248">
            <v>41711</v>
          </cell>
          <cell r="AH248">
            <v>73.437839999999994</v>
          </cell>
          <cell r="AM248">
            <v>41711</v>
          </cell>
          <cell r="AO248">
            <v>70.235410000000002</v>
          </cell>
          <cell r="AT248">
            <v>41711</v>
          </cell>
          <cell r="AV248">
            <v>35.960129999999999</v>
          </cell>
          <cell r="BA248">
            <v>41711</v>
          </cell>
          <cell r="BC248">
            <v>19.1281</v>
          </cell>
          <cell r="BH248">
            <v>41711</v>
          </cell>
          <cell r="BJ248">
            <v>24.04335</v>
          </cell>
        </row>
        <row r="249">
          <cell r="D249">
            <v>41710</v>
          </cell>
          <cell r="F249">
            <v>177.02176</v>
          </cell>
          <cell r="K249">
            <v>41710</v>
          </cell>
          <cell r="M249">
            <v>20.6751</v>
          </cell>
          <cell r="R249">
            <v>41710</v>
          </cell>
          <cell r="T249">
            <v>3.91</v>
          </cell>
          <cell r="Y249">
            <v>41710</v>
          </cell>
          <cell r="AA249">
            <v>370.64</v>
          </cell>
          <cell r="AF249">
            <v>41710</v>
          </cell>
          <cell r="AH249">
            <v>74.262659999999997</v>
          </cell>
          <cell r="AM249">
            <v>41710</v>
          </cell>
          <cell r="AO249">
            <v>70.293549999999996</v>
          </cell>
          <cell r="AT249">
            <v>41710</v>
          </cell>
          <cell r="AV249">
            <v>36.433660000000003</v>
          </cell>
          <cell r="BA249">
            <v>41710</v>
          </cell>
          <cell r="BC249">
            <v>19.157520000000002</v>
          </cell>
          <cell r="BH249">
            <v>41710</v>
          </cell>
          <cell r="BJ249">
            <v>24.441859999999998</v>
          </cell>
        </row>
        <row r="250">
          <cell r="D250">
            <v>41709</v>
          </cell>
          <cell r="F250">
            <v>177.53507999999999</v>
          </cell>
          <cell r="K250">
            <v>41709</v>
          </cell>
          <cell r="M250">
            <v>20.476120000000002</v>
          </cell>
          <cell r="R250">
            <v>41709</v>
          </cell>
          <cell r="T250">
            <v>3.85</v>
          </cell>
          <cell r="Y250">
            <v>41709</v>
          </cell>
          <cell r="AA250">
            <v>368.82</v>
          </cell>
          <cell r="AF250">
            <v>41709</v>
          </cell>
          <cell r="AH250">
            <v>74.190690000000004</v>
          </cell>
          <cell r="AM250">
            <v>41709</v>
          </cell>
          <cell r="AO250">
            <v>70.293549999999996</v>
          </cell>
          <cell r="AT250">
            <v>41709</v>
          </cell>
          <cell r="AV250">
            <v>36.457340000000002</v>
          </cell>
          <cell r="BA250">
            <v>41709</v>
          </cell>
          <cell r="BC250">
            <v>19.235949999999999</v>
          </cell>
          <cell r="BH250">
            <v>41709</v>
          </cell>
          <cell r="BJ250">
            <v>24.57469</v>
          </cell>
        </row>
        <row r="251">
          <cell r="D251">
            <v>41708</v>
          </cell>
          <cell r="F251">
            <v>177.18335999999999</v>
          </cell>
          <cell r="K251">
            <v>41708</v>
          </cell>
          <cell r="M251">
            <v>20.551919999999999</v>
          </cell>
          <cell r="R251">
            <v>41708</v>
          </cell>
          <cell r="T251">
            <v>3.81</v>
          </cell>
          <cell r="Y251">
            <v>41708</v>
          </cell>
          <cell r="AA251">
            <v>370.53</v>
          </cell>
          <cell r="AF251">
            <v>41708</v>
          </cell>
          <cell r="AH251">
            <v>73.475200000000001</v>
          </cell>
          <cell r="AM251">
            <v>41708</v>
          </cell>
          <cell r="AO251">
            <v>70.225719999999995</v>
          </cell>
          <cell r="AT251">
            <v>41708</v>
          </cell>
          <cell r="AV251">
            <v>36.316389999999998</v>
          </cell>
          <cell r="BA251">
            <v>41708</v>
          </cell>
          <cell r="BC251">
            <v>19.667339999999999</v>
          </cell>
          <cell r="BH251">
            <v>41708</v>
          </cell>
          <cell r="BJ251">
            <v>24.707529999999998</v>
          </cell>
        </row>
        <row r="252">
          <cell r="D252">
            <v>41705</v>
          </cell>
          <cell r="F252">
            <v>178.40964</v>
          </cell>
          <cell r="K252">
            <v>41705</v>
          </cell>
          <cell r="M252">
            <v>20.58982</v>
          </cell>
          <cell r="R252">
            <v>41705</v>
          </cell>
          <cell r="T252">
            <v>3.95</v>
          </cell>
          <cell r="Y252">
            <v>41705</v>
          </cell>
          <cell r="AA252">
            <v>372.06</v>
          </cell>
          <cell r="AF252">
            <v>41705</v>
          </cell>
          <cell r="AH252">
            <v>73.408779999999993</v>
          </cell>
          <cell r="AM252">
            <v>41705</v>
          </cell>
          <cell r="AO252">
            <v>70.060980000000001</v>
          </cell>
          <cell r="AT252">
            <v>41705</v>
          </cell>
          <cell r="AV252">
            <v>36.222430000000003</v>
          </cell>
          <cell r="BA252">
            <v>41705</v>
          </cell>
          <cell r="BC252">
            <v>19.981079999999999</v>
          </cell>
          <cell r="BH252">
            <v>41705</v>
          </cell>
          <cell r="BJ252">
            <v>24.792919999999999</v>
          </cell>
        </row>
        <row r="253">
          <cell r="D253">
            <v>41704</v>
          </cell>
          <cell r="F253">
            <v>178.37162000000001</v>
          </cell>
          <cell r="K253">
            <v>41704</v>
          </cell>
          <cell r="M253">
            <v>20.6751</v>
          </cell>
          <cell r="R253">
            <v>41704</v>
          </cell>
          <cell r="T253">
            <v>3.73</v>
          </cell>
          <cell r="Y253">
            <v>41704</v>
          </cell>
          <cell r="AA253">
            <v>372.16</v>
          </cell>
          <cell r="AF253">
            <v>41704</v>
          </cell>
          <cell r="AH253">
            <v>73.451679999999996</v>
          </cell>
          <cell r="AM253">
            <v>41704</v>
          </cell>
          <cell r="AO253">
            <v>70.312929999999994</v>
          </cell>
          <cell r="AT253">
            <v>41704</v>
          </cell>
          <cell r="AV253">
            <v>36.147260000000003</v>
          </cell>
          <cell r="BA253">
            <v>41704</v>
          </cell>
          <cell r="BC253">
            <v>19.990880000000001</v>
          </cell>
          <cell r="BH253">
            <v>41704</v>
          </cell>
          <cell r="BJ253">
            <v>24.878319999999999</v>
          </cell>
        </row>
        <row r="254">
          <cell r="D254">
            <v>41703</v>
          </cell>
          <cell r="F254">
            <v>177.89631</v>
          </cell>
          <cell r="K254">
            <v>41703</v>
          </cell>
          <cell r="M254">
            <v>20.722480000000001</v>
          </cell>
          <cell r="R254">
            <v>41703</v>
          </cell>
          <cell r="T254">
            <v>3.71</v>
          </cell>
          <cell r="Y254">
            <v>41703</v>
          </cell>
          <cell r="AA254">
            <v>372.37</v>
          </cell>
          <cell r="AF254">
            <v>41703</v>
          </cell>
          <cell r="AH254">
            <v>73.674490000000006</v>
          </cell>
          <cell r="AM254">
            <v>41703</v>
          </cell>
          <cell r="AO254">
            <v>70.933109999999999</v>
          </cell>
          <cell r="AT254">
            <v>41703</v>
          </cell>
          <cell r="AV254">
            <v>36.034509999999997</v>
          </cell>
          <cell r="BA254">
            <v>41703</v>
          </cell>
          <cell r="BC254">
            <v>19.20654</v>
          </cell>
          <cell r="BH254">
            <v>41703</v>
          </cell>
          <cell r="BJ254">
            <v>24.603159999999999</v>
          </cell>
        </row>
        <row r="255">
          <cell r="D255">
            <v>41702</v>
          </cell>
          <cell r="F255">
            <v>177.23088999999999</v>
          </cell>
          <cell r="K255">
            <v>41702</v>
          </cell>
          <cell r="M255">
            <v>20.6751</v>
          </cell>
          <cell r="R255">
            <v>41702</v>
          </cell>
          <cell r="T255">
            <v>3.7</v>
          </cell>
          <cell r="Y255">
            <v>41702</v>
          </cell>
          <cell r="AA255">
            <v>363.9</v>
          </cell>
          <cell r="AF255">
            <v>41702</v>
          </cell>
          <cell r="AH255">
            <v>73.519490000000005</v>
          </cell>
          <cell r="AM255">
            <v>41702</v>
          </cell>
          <cell r="AO255">
            <v>71.26258</v>
          </cell>
          <cell r="AT255">
            <v>41702</v>
          </cell>
          <cell r="AV255">
            <v>35.996920000000003</v>
          </cell>
          <cell r="BA255">
            <v>41702</v>
          </cell>
          <cell r="BC255">
            <v>20.226179999999999</v>
          </cell>
          <cell r="BH255">
            <v>41702</v>
          </cell>
          <cell r="BJ255">
            <v>24.337489999999999</v>
          </cell>
        </row>
        <row r="256">
          <cell r="D256">
            <v>41701</v>
          </cell>
          <cell r="F256">
            <v>175.15857</v>
          </cell>
          <cell r="K256">
            <v>41701</v>
          </cell>
          <cell r="M256">
            <v>20.438220000000001</v>
          </cell>
          <cell r="R256">
            <v>41701</v>
          </cell>
          <cell r="T256">
            <v>3.67</v>
          </cell>
          <cell r="Y256">
            <v>41701</v>
          </cell>
          <cell r="AA256">
            <v>359.78</v>
          </cell>
          <cell r="AF256">
            <v>41701</v>
          </cell>
          <cell r="AH256">
            <v>73.037890000000004</v>
          </cell>
          <cell r="AM256">
            <v>41701</v>
          </cell>
          <cell r="AO256">
            <v>69.266379999999998</v>
          </cell>
          <cell r="AT256">
            <v>41701</v>
          </cell>
          <cell r="AV256">
            <v>35.818390000000001</v>
          </cell>
          <cell r="BA256">
            <v>41701</v>
          </cell>
          <cell r="BC256">
            <v>19.598710000000001</v>
          </cell>
          <cell r="BH256">
            <v>41701</v>
          </cell>
          <cell r="BJ256">
            <v>23.834610000000001</v>
          </cell>
        </row>
        <row r="257">
          <cell r="D257">
            <v>41698</v>
          </cell>
          <cell r="F257">
            <v>176.02361999999999</v>
          </cell>
          <cell r="K257">
            <v>41698</v>
          </cell>
          <cell r="M257">
            <v>20.65615</v>
          </cell>
          <cell r="R257">
            <v>41698</v>
          </cell>
          <cell r="T257">
            <v>3.71</v>
          </cell>
          <cell r="Y257">
            <v>41698</v>
          </cell>
          <cell r="AA257">
            <v>362.1</v>
          </cell>
          <cell r="AF257">
            <v>41698</v>
          </cell>
          <cell r="AH257">
            <v>72.827529999999996</v>
          </cell>
          <cell r="AM257">
            <v>41698</v>
          </cell>
          <cell r="AO257">
            <v>69.314830000000001</v>
          </cell>
          <cell r="AT257">
            <v>41698</v>
          </cell>
          <cell r="AV257">
            <v>35.893560000000001</v>
          </cell>
          <cell r="BA257">
            <v>41698</v>
          </cell>
          <cell r="BC257">
            <v>20.353639999999999</v>
          </cell>
          <cell r="BH257">
            <v>41698</v>
          </cell>
          <cell r="BJ257">
            <v>24.166699999999999</v>
          </cell>
        </row>
        <row r="258">
          <cell r="D258">
            <v>41697</v>
          </cell>
          <cell r="F258">
            <v>176.11868000000001</v>
          </cell>
          <cell r="K258">
            <v>41697</v>
          </cell>
          <cell r="M258">
            <v>20.769850000000002</v>
          </cell>
          <cell r="R258">
            <v>41697</v>
          </cell>
          <cell r="T258">
            <v>3.71</v>
          </cell>
          <cell r="Y258">
            <v>41697</v>
          </cell>
          <cell r="AA258">
            <v>360.13</v>
          </cell>
          <cell r="AF258">
            <v>41697</v>
          </cell>
          <cell r="AH258">
            <v>73.02543</v>
          </cell>
          <cell r="AM258">
            <v>41697</v>
          </cell>
          <cell r="AO258">
            <v>69.605540000000005</v>
          </cell>
          <cell r="AT258">
            <v>41697</v>
          </cell>
          <cell r="AV258">
            <v>35.771410000000003</v>
          </cell>
          <cell r="BA258">
            <v>41697</v>
          </cell>
          <cell r="BC258">
            <v>20.667369999999998</v>
          </cell>
          <cell r="BH258">
            <v>41697</v>
          </cell>
          <cell r="BJ258">
            <v>24.195160000000001</v>
          </cell>
        </row>
        <row r="259">
          <cell r="D259">
            <v>41696</v>
          </cell>
          <cell r="F259">
            <v>174.96844999999999</v>
          </cell>
          <cell r="K259">
            <v>41696</v>
          </cell>
          <cell r="M259">
            <v>20.779330000000002</v>
          </cell>
          <cell r="R259">
            <v>41696</v>
          </cell>
          <cell r="T259">
            <v>3.7</v>
          </cell>
          <cell r="Y259">
            <v>41696</v>
          </cell>
          <cell r="AA259">
            <v>359.8</v>
          </cell>
          <cell r="AF259">
            <v>41696</v>
          </cell>
          <cell r="AH259">
            <v>71.597219999999993</v>
          </cell>
          <cell r="AM259">
            <v>41696</v>
          </cell>
          <cell r="AO259">
            <v>69.392349999999993</v>
          </cell>
          <cell r="AT259">
            <v>41696</v>
          </cell>
          <cell r="AV259">
            <v>35.583489999999998</v>
          </cell>
          <cell r="BA259">
            <v>41696</v>
          </cell>
          <cell r="BC259">
            <v>20.80463</v>
          </cell>
          <cell r="BH259">
            <v>41696</v>
          </cell>
          <cell r="BJ259">
            <v>24.005400000000002</v>
          </cell>
        </row>
        <row r="260">
          <cell r="D260">
            <v>41695</v>
          </cell>
          <cell r="F260">
            <v>174.17945</v>
          </cell>
          <cell r="K260">
            <v>41695</v>
          </cell>
          <cell r="M260">
            <v>20.694050000000001</v>
          </cell>
          <cell r="R260">
            <v>41695</v>
          </cell>
          <cell r="T260">
            <v>3.69</v>
          </cell>
          <cell r="Y260">
            <v>41695</v>
          </cell>
          <cell r="AA260">
            <v>358.32</v>
          </cell>
          <cell r="AF260">
            <v>41695</v>
          </cell>
          <cell r="AH260">
            <v>72.249049999999997</v>
          </cell>
          <cell r="AM260">
            <v>41695</v>
          </cell>
          <cell r="AO260">
            <v>69.770269999999996</v>
          </cell>
          <cell r="AT260">
            <v>41695</v>
          </cell>
          <cell r="AV260">
            <v>35.489530000000002</v>
          </cell>
          <cell r="BA260">
            <v>41695</v>
          </cell>
          <cell r="BC260">
            <v>23.392959999999999</v>
          </cell>
          <cell r="BH260">
            <v>41695</v>
          </cell>
          <cell r="BJ260">
            <v>23.976929999999999</v>
          </cell>
        </row>
        <row r="261">
          <cell r="D261">
            <v>41694</v>
          </cell>
          <cell r="F261">
            <v>174.38857999999999</v>
          </cell>
          <cell r="K261">
            <v>41694</v>
          </cell>
          <cell r="M261">
            <v>20.95936</v>
          </cell>
          <cell r="R261">
            <v>41694</v>
          </cell>
          <cell r="T261">
            <v>3.71</v>
          </cell>
          <cell r="Y261">
            <v>41694</v>
          </cell>
          <cell r="AA261">
            <v>351.78</v>
          </cell>
          <cell r="AF261">
            <v>41694</v>
          </cell>
          <cell r="AH261">
            <v>73.00882</v>
          </cell>
          <cell r="AM261">
            <v>41694</v>
          </cell>
          <cell r="AO261">
            <v>69.547389999999993</v>
          </cell>
          <cell r="AT261">
            <v>41694</v>
          </cell>
          <cell r="AV261">
            <v>35.23583</v>
          </cell>
          <cell r="BA261">
            <v>41694</v>
          </cell>
          <cell r="BC261">
            <v>23.294910000000002</v>
          </cell>
          <cell r="BH261">
            <v>41694</v>
          </cell>
          <cell r="BJ261">
            <v>23.995909999999999</v>
          </cell>
        </row>
        <row r="262">
          <cell r="D262">
            <v>41691</v>
          </cell>
          <cell r="F262">
            <v>173.76118</v>
          </cell>
          <cell r="K262">
            <v>41691</v>
          </cell>
          <cell r="M262">
            <v>20.968830000000001</v>
          </cell>
          <cell r="R262">
            <v>41691</v>
          </cell>
          <cell r="T262">
            <v>3.69</v>
          </cell>
          <cell r="Y262">
            <v>41691</v>
          </cell>
          <cell r="AA262">
            <v>346.76</v>
          </cell>
          <cell r="AF262">
            <v>41691</v>
          </cell>
          <cell r="AH262">
            <v>72.690520000000006</v>
          </cell>
          <cell r="AM262">
            <v>41691</v>
          </cell>
          <cell r="AO262">
            <v>69.528009999999995</v>
          </cell>
          <cell r="AT262">
            <v>41691</v>
          </cell>
          <cell r="AV262">
            <v>34.93515</v>
          </cell>
          <cell r="BA262">
            <v>41691</v>
          </cell>
          <cell r="BC262">
            <v>22.402729999999998</v>
          </cell>
          <cell r="BH262">
            <v>41691</v>
          </cell>
          <cell r="BJ262">
            <v>23.663820000000001</v>
          </cell>
        </row>
        <row r="263">
          <cell r="D263">
            <v>41690</v>
          </cell>
          <cell r="F263">
            <v>175.15857</v>
          </cell>
          <cell r="K263">
            <v>41690</v>
          </cell>
          <cell r="M263">
            <v>21.129909999999999</v>
          </cell>
          <cell r="R263">
            <v>41690</v>
          </cell>
          <cell r="T263">
            <v>3.69</v>
          </cell>
          <cell r="Y263">
            <v>41690</v>
          </cell>
          <cell r="AA263">
            <v>349.8</v>
          </cell>
          <cell r="AF263">
            <v>41690</v>
          </cell>
          <cell r="AH263">
            <v>73.507040000000003</v>
          </cell>
          <cell r="AM263">
            <v>41690</v>
          </cell>
          <cell r="AO263">
            <v>69.295450000000002</v>
          </cell>
          <cell r="AT263">
            <v>41690</v>
          </cell>
          <cell r="AV263">
            <v>35.047899999999998</v>
          </cell>
          <cell r="BA263">
            <v>41690</v>
          </cell>
          <cell r="BC263">
            <v>22.510570000000001</v>
          </cell>
          <cell r="BH263">
            <v>41690</v>
          </cell>
          <cell r="BJ263">
            <v>23.834610000000001</v>
          </cell>
        </row>
        <row r="264">
          <cell r="D264">
            <v>41689</v>
          </cell>
          <cell r="F264">
            <v>173.91327999999999</v>
          </cell>
          <cell r="K264">
            <v>41689</v>
          </cell>
          <cell r="M264">
            <v>21.110959999999999</v>
          </cell>
          <cell r="R264">
            <v>41689</v>
          </cell>
          <cell r="T264">
            <v>3.72</v>
          </cell>
          <cell r="Y264">
            <v>41689</v>
          </cell>
          <cell r="AA264">
            <v>347.38</v>
          </cell>
          <cell r="AF264">
            <v>41689</v>
          </cell>
          <cell r="AH264">
            <v>74.367829999999998</v>
          </cell>
          <cell r="AM264">
            <v>41689</v>
          </cell>
          <cell r="AO264">
            <v>68.743099999999998</v>
          </cell>
          <cell r="AT264">
            <v>41689</v>
          </cell>
          <cell r="AV264">
            <v>34.85998</v>
          </cell>
          <cell r="BA264">
            <v>41689</v>
          </cell>
          <cell r="BC264">
            <v>22.05958</v>
          </cell>
          <cell r="BH264">
            <v>41689</v>
          </cell>
          <cell r="BJ264">
            <v>23.891539999999999</v>
          </cell>
        </row>
        <row r="265">
          <cell r="D265">
            <v>41688</v>
          </cell>
          <cell r="F265">
            <v>174.14142000000001</v>
          </cell>
          <cell r="K265">
            <v>41688</v>
          </cell>
          <cell r="M265">
            <v>21.23414</v>
          </cell>
          <cell r="R265">
            <v>41688</v>
          </cell>
          <cell r="T265">
            <v>3.7</v>
          </cell>
          <cell r="Y265">
            <v>41688</v>
          </cell>
          <cell r="AA265">
            <v>353.65</v>
          </cell>
          <cell r="AF265">
            <v>41688</v>
          </cell>
          <cell r="AH265">
            <v>75.560779999999994</v>
          </cell>
          <cell r="AM265">
            <v>41688</v>
          </cell>
          <cell r="AO265">
            <v>68.607429999999994</v>
          </cell>
          <cell r="AT265">
            <v>41688</v>
          </cell>
          <cell r="AV265">
            <v>35.207639999999998</v>
          </cell>
          <cell r="BA265">
            <v>41688</v>
          </cell>
          <cell r="BC265">
            <v>22.128209999999999</v>
          </cell>
          <cell r="BH265">
            <v>41688</v>
          </cell>
          <cell r="BJ265">
            <v>24.12669</v>
          </cell>
        </row>
        <row r="266">
          <cell r="D266">
            <v>41684</v>
          </cell>
          <cell r="F266">
            <v>174.61672999999999</v>
          </cell>
          <cell r="K266">
            <v>41684</v>
          </cell>
          <cell r="M266">
            <v>21.376270000000002</v>
          </cell>
          <cell r="R266">
            <v>41684</v>
          </cell>
          <cell r="T266">
            <v>3.69</v>
          </cell>
          <cell r="Y266">
            <v>41684</v>
          </cell>
          <cell r="AA266">
            <v>357.35</v>
          </cell>
          <cell r="AF266">
            <v>41684</v>
          </cell>
          <cell r="AH266">
            <v>75.283990000000003</v>
          </cell>
          <cell r="AM266">
            <v>41684</v>
          </cell>
          <cell r="AO266">
            <v>68.093850000000003</v>
          </cell>
          <cell r="AT266">
            <v>41684</v>
          </cell>
          <cell r="AV266">
            <v>36.57949</v>
          </cell>
          <cell r="BA266">
            <v>41684</v>
          </cell>
          <cell r="BC266">
            <v>21.961539999999999</v>
          </cell>
          <cell r="BH266">
            <v>41684</v>
          </cell>
          <cell r="BJ266">
            <v>24.21134</v>
          </cell>
        </row>
        <row r="267">
          <cell r="D267">
            <v>41683</v>
          </cell>
          <cell r="F267">
            <v>172.85811000000001</v>
          </cell>
          <cell r="K267">
            <v>41683</v>
          </cell>
          <cell r="M267">
            <v>21.101489999999998</v>
          </cell>
          <cell r="R267">
            <v>41683</v>
          </cell>
          <cell r="T267">
            <v>3.7</v>
          </cell>
          <cell r="Y267">
            <v>41683</v>
          </cell>
          <cell r="AA267">
            <v>357.2</v>
          </cell>
          <cell r="AF267">
            <v>41683</v>
          </cell>
          <cell r="AH267">
            <v>75.344880000000003</v>
          </cell>
          <cell r="AM267">
            <v>41683</v>
          </cell>
          <cell r="AO267">
            <v>67.754689999999997</v>
          </cell>
          <cell r="AT267">
            <v>41683</v>
          </cell>
          <cell r="AV267">
            <v>36.316389999999998</v>
          </cell>
          <cell r="BA267">
            <v>41683</v>
          </cell>
          <cell r="BC267">
            <v>21.971340000000001</v>
          </cell>
          <cell r="BH267">
            <v>41683</v>
          </cell>
          <cell r="BJ267">
            <v>23.92916</v>
          </cell>
        </row>
        <row r="268">
          <cell r="D268">
            <v>41682</v>
          </cell>
          <cell r="F268">
            <v>171.33714000000001</v>
          </cell>
          <cell r="K268">
            <v>41682</v>
          </cell>
          <cell r="M268">
            <v>21.651060000000001</v>
          </cell>
          <cell r="R268">
            <v>41682</v>
          </cell>
          <cell r="T268">
            <v>3.69</v>
          </cell>
          <cell r="Y268">
            <v>41682</v>
          </cell>
          <cell r="AA268">
            <v>349.25</v>
          </cell>
          <cell r="AF268">
            <v>41682</v>
          </cell>
          <cell r="AH268">
            <v>74.167169999999999</v>
          </cell>
          <cell r="AM268">
            <v>41682</v>
          </cell>
          <cell r="AO268">
            <v>67.318619999999996</v>
          </cell>
          <cell r="AT268">
            <v>41682</v>
          </cell>
          <cell r="AV268">
            <v>36.184849999999997</v>
          </cell>
          <cell r="BA268">
            <v>41682</v>
          </cell>
          <cell r="BC268">
            <v>21.48113</v>
          </cell>
          <cell r="BH268">
            <v>41682</v>
          </cell>
          <cell r="BJ268">
            <v>23.88213</v>
          </cell>
        </row>
        <row r="269">
          <cell r="D269">
            <v>41681</v>
          </cell>
          <cell r="F269">
            <v>170.82381000000001</v>
          </cell>
          <cell r="K269">
            <v>41681</v>
          </cell>
          <cell r="M269">
            <v>21.5184</v>
          </cell>
          <cell r="R269">
            <v>41681</v>
          </cell>
          <cell r="T269">
            <v>3.7</v>
          </cell>
          <cell r="Y269">
            <v>41681</v>
          </cell>
          <cell r="AA269">
            <v>361.79</v>
          </cell>
          <cell r="AF269">
            <v>41681</v>
          </cell>
          <cell r="AH269">
            <v>74.172700000000006</v>
          </cell>
          <cell r="AM269">
            <v>41681</v>
          </cell>
          <cell r="AO269">
            <v>67.405829999999995</v>
          </cell>
          <cell r="AT269">
            <v>41681</v>
          </cell>
          <cell r="AV269">
            <v>36.307000000000002</v>
          </cell>
          <cell r="BA269">
            <v>41681</v>
          </cell>
          <cell r="BC269">
            <v>21.324259999999999</v>
          </cell>
          <cell r="BH269">
            <v>41681</v>
          </cell>
          <cell r="BJ269">
            <v>23.919750000000001</v>
          </cell>
        </row>
        <row r="270">
          <cell r="D270">
            <v>41680</v>
          </cell>
          <cell r="F270">
            <v>168.39026000000001</v>
          </cell>
          <cell r="K270">
            <v>41680</v>
          </cell>
          <cell r="M270">
            <v>21.632110000000001</v>
          </cell>
          <cell r="R270">
            <v>41680</v>
          </cell>
          <cell r="T270">
            <v>3.63</v>
          </cell>
          <cell r="Y270">
            <v>41680</v>
          </cell>
          <cell r="AA270">
            <v>360.87</v>
          </cell>
          <cell r="AF270">
            <v>41680</v>
          </cell>
          <cell r="AH270">
            <v>73.208110000000005</v>
          </cell>
          <cell r="AM270">
            <v>41680</v>
          </cell>
          <cell r="AO270">
            <v>64.595640000000003</v>
          </cell>
          <cell r="AT270">
            <v>41680</v>
          </cell>
          <cell r="AV270">
            <v>36.241219999999998</v>
          </cell>
          <cell r="BA270">
            <v>41680</v>
          </cell>
          <cell r="BC270">
            <v>21.304649999999999</v>
          </cell>
          <cell r="BH270">
            <v>41680</v>
          </cell>
          <cell r="BJ270">
            <v>23.56232</v>
          </cell>
        </row>
        <row r="271">
          <cell r="D271">
            <v>41677</v>
          </cell>
          <cell r="F271">
            <v>168.49483000000001</v>
          </cell>
          <cell r="K271">
            <v>41677</v>
          </cell>
          <cell r="M271">
            <v>21.480499999999999</v>
          </cell>
          <cell r="R271">
            <v>41677</v>
          </cell>
          <cell r="T271">
            <v>3.47</v>
          </cell>
          <cell r="Y271">
            <v>41677</v>
          </cell>
          <cell r="AA271">
            <v>361.08</v>
          </cell>
          <cell r="AF271">
            <v>41677</v>
          </cell>
          <cell r="AH271">
            <v>71.91968</v>
          </cell>
          <cell r="AM271">
            <v>41677</v>
          </cell>
          <cell r="AO271">
            <v>65.448390000000003</v>
          </cell>
          <cell r="AT271">
            <v>41677</v>
          </cell>
          <cell r="AV271">
            <v>35.658659999999998</v>
          </cell>
          <cell r="BA271">
            <v>41677</v>
          </cell>
          <cell r="BC271">
            <v>21.44191</v>
          </cell>
          <cell r="BH271">
            <v>41677</v>
          </cell>
          <cell r="BJ271">
            <v>23.694009999999999</v>
          </cell>
        </row>
        <row r="272">
          <cell r="D272">
            <v>41676</v>
          </cell>
          <cell r="F272">
            <v>166.04226</v>
          </cell>
          <cell r="K272">
            <v>41676</v>
          </cell>
          <cell r="M272">
            <v>21.309950000000001</v>
          </cell>
          <cell r="R272">
            <v>41676</v>
          </cell>
          <cell r="T272">
            <v>3.41</v>
          </cell>
          <cell r="Y272">
            <v>41676</v>
          </cell>
          <cell r="AA272">
            <v>354.59</v>
          </cell>
          <cell r="AF272">
            <v>41676</v>
          </cell>
          <cell r="AH272">
            <v>70.927400000000006</v>
          </cell>
          <cell r="AM272">
            <v>41676</v>
          </cell>
          <cell r="AO272">
            <v>64.21772</v>
          </cell>
          <cell r="AT272">
            <v>41676</v>
          </cell>
          <cell r="AV272">
            <v>35.733829999999998</v>
          </cell>
          <cell r="BA272">
            <v>41676</v>
          </cell>
          <cell r="BC272">
            <v>21.412500000000001</v>
          </cell>
          <cell r="BH272">
            <v>41676</v>
          </cell>
          <cell r="BJ272">
            <v>23.468260000000001</v>
          </cell>
        </row>
        <row r="273">
          <cell r="D273">
            <v>41675</v>
          </cell>
          <cell r="F273">
            <v>164.73043000000001</v>
          </cell>
          <cell r="K273">
            <v>41675</v>
          </cell>
          <cell r="M273">
            <v>20.826709999999999</v>
          </cell>
          <cell r="R273">
            <v>41675</v>
          </cell>
          <cell r="T273">
            <v>3.31</v>
          </cell>
          <cell r="Y273">
            <v>41675</v>
          </cell>
          <cell r="AA273">
            <v>346.45</v>
          </cell>
          <cell r="AF273">
            <v>41675</v>
          </cell>
          <cell r="AH273">
            <v>70.516379999999998</v>
          </cell>
          <cell r="AM273">
            <v>41675</v>
          </cell>
          <cell r="AO273">
            <v>63.345590000000001</v>
          </cell>
          <cell r="AT273">
            <v>41675</v>
          </cell>
          <cell r="AV273">
            <v>35.339190000000002</v>
          </cell>
          <cell r="BA273">
            <v>41675</v>
          </cell>
          <cell r="BC273">
            <v>21.157589999999999</v>
          </cell>
          <cell r="BH273">
            <v>41675</v>
          </cell>
          <cell r="BJ273">
            <v>23.063800000000001</v>
          </cell>
        </row>
        <row r="274">
          <cell r="D274">
            <v>41674</v>
          </cell>
          <cell r="F274">
            <v>163.40683999999999</v>
          </cell>
          <cell r="K274">
            <v>41674</v>
          </cell>
          <cell r="M274">
            <v>20.65615</v>
          </cell>
          <cell r="R274">
            <v>41674</v>
          </cell>
          <cell r="T274">
            <v>3.37</v>
          </cell>
          <cell r="Y274">
            <v>41674</v>
          </cell>
          <cell r="AA274">
            <v>347.95</v>
          </cell>
          <cell r="AF274">
            <v>41674</v>
          </cell>
          <cell r="AH274">
            <v>69.993620000000007</v>
          </cell>
          <cell r="AM274">
            <v>41674</v>
          </cell>
          <cell r="AO274">
            <v>63.529710000000001</v>
          </cell>
          <cell r="AT274">
            <v>41674</v>
          </cell>
          <cell r="AV274">
            <v>35.217039999999997</v>
          </cell>
          <cell r="BA274">
            <v>41674</v>
          </cell>
          <cell r="BC274">
            <v>21.167390000000001</v>
          </cell>
          <cell r="BH274">
            <v>41674</v>
          </cell>
          <cell r="BJ274">
            <v>23.11083</v>
          </cell>
        </row>
        <row r="275">
          <cell r="D275">
            <v>41673</v>
          </cell>
          <cell r="F275">
            <v>163.46356</v>
          </cell>
          <cell r="K275">
            <v>41673</v>
          </cell>
          <cell r="M275">
            <v>20.419270000000001</v>
          </cell>
          <cell r="R275">
            <v>41673</v>
          </cell>
          <cell r="T275">
            <v>3.33</v>
          </cell>
          <cell r="Y275">
            <v>41673</v>
          </cell>
          <cell r="AA275">
            <v>346.15</v>
          </cell>
          <cell r="AF275">
            <v>41673</v>
          </cell>
          <cell r="AH275">
            <v>68.994870000000006</v>
          </cell>
          <cell r="AM275">
            <v>41673</v>
          </cell>
          <cell r="AO275">
            <v>63.723509999999997</v>
          </cell>
          <cell r="AT275">
            <v>41673</v>
          </cell>
          <cell r="AV275">
            <v>34.953940000000003</v>
          </cell>
          <cell r="BA275">
            <v>41673</v>
          </cell>
          <cell r="BC275">
            <v>20.873259999999998</v>
          </cell>
          <cell r="BH275">
            <v>41673</v>
          </cell>
          <cell r="BJ275">
            <v>22.903890000000001</v>
          </cell>
        </row>
        <row r="276">
          <cell r="D276">
            <v>41670</v>
          </cell>
          <cell r="F276">
            <v>167.03726</v>
          </cell>
          <cell r="K276">
            <v>41670</v>
          </cell>
          <cell r="M276">
            <v>20.760380000000001</v>
          </cell>
          <cell r="R276">
            <v>41670</v>
          </cell>
          <cell r="T276">
            <v>3.43</v>
          </cell>
          <cell r="Y276">
            <v>41670</v>
          </cell>
          <cell r="AA276">
            <v>358.69</v>
          </cell>
          <cell r="AF276">
            <v>41670</v>
          </cell>
          <cell r="AH276">
            <v>68.866929999999996</v>
          </cell>
          <cell r="AM276">
            <v>41670</v>
          </cell>
          <cell r="AO276">
            <v>65.913529999999994</v>
          </cell>
          <cell r="AT276">
            <v>41670</v>
          </cell>
          <cell r="AV276">
            <v>35.53651</v>
          </cell>
          <cell r="BA276">
            <v>41670</v>
          </cell>
          <cell r="BC276">
            <v>21.40269</v>
          </cell>
          <cell r="BH276">
            <v>41670</v>
          </cell>
          <cell r="BJ276">
            <v>23.63757</v>
          </cell>
        </row>
        <row r="277">
          <cell r="D277">
            <v>41669</v>
          </cell>
          <cell r="F277">
            <v>167.68015</v>
          </cell>
          <cell r="K277">
            <v>41669</v>
          </cell>
          <cell r="M277">
            <v>20.82292</v>
          </cell>
          <cell r="R277">
            <v>41669</v>
          </cell>
          <cell r="T277">
            <v>3.48</v>
          </cell>
          <cell r="Y277">
            <v>41669</v>
          </cell>
          <cell r="AA277">
            <v>403.01</v>
          </cell>
          <cell r="AF277">
            <v>41669</v>
          </cell>
          <cell r="AH277">
            <v>68.754400000000004</v>
          </cell>
          <cell r="AM277">
            <v>41669</v>
          </cell>
          <cell r="AO277">
            <v>66.824420000000003</v>
          </cell>
          <cell r="AT277">
            <v>41669</v>
          </cell>
          <cell r="AV277">
            <v>35.865380000000002</v>
          </cell>
          <cell r="BA277">
            <v>41669</v>
          </cell>
          <cell r="BC277">
            <v>21.8733</v>
          </cell>
          <cell r="BH277">
            <v>41669</v>
          </cell>
          <cell r="BJ277">
            <v>23.985600000000002</v>
          </cell>
        </row>
        <row r="278">
          <cell r="D278">
            <v>41668</v>
          </cell>
          <cell r="F278">
            <v>166.77253999999999</v>
          </cell>
          <cell r="K278">
            <v>41668</v>
          </cell>
          <cell r="M278">
            <v>20.514019999999999</v>
          </cell>
          <cell r="R278">
            <v>41668</v>
          </cell>
          <cell r="T278">
            <v>3.48</v>
          </cell>
          <cell r="Y278">
            <v>41668</v>
          </cell>
          <cell r="AA278">
            <v>384.2</v>
          </cell>
          <cell r="AF278">
            <v>41668</v>
          </cell>
          <cell r="AH278">
            <v>68.887559999999993</v>
          </cell>
          <cell r="AM278">
            <v>41668</v>
          </cell>
          <cell r="AO278">
            <v>64.392150000000001</v>
          </cell>
          <cell r="AT278">
            <v>41668</v>
          </cell>
          <cell r="AV278">
            <v>35.61168</v>
          </cell>
          <cell r="BA278">
            <v>41668</v>
          </cell>
          <cell r="BC278">
            <v>21.21641</v>
          </cell>
          <cell r="BH278">
            <v>41668</v>
          </cell>
          <cell r="BJ278">
            <v>23.788070000000001</v>
          </cell>
        </row>
        <row r="279">
          <cell r="D279">
            <v>41667</v>
          </cell>
          <cell r="F279">
            <v>167.19798</v>
          </cell>
          <cell r="K279">
            <v>41667</v>
          </cell>
          <cell r="M279">
            <v>20.60877</v>
          </cell>
          <cell r="R279">
            <v>41667</v>
          </cell>
          <cell r="T279">
            <v>3.54</v>
          </cell>
          <cell r="Y279">
            <v>41667</v>
          </cell>
          <cell r="AA279">
            <v>394.43</v>
          </cell>
          <cell r="AF279">
            <v>41667</v>
          </cell>
          <cell r="AH279">
            <v>69.678579999999997</v>
          </cell>
          <cell r="AM279">
            <v>41667</v>
          </cell>
          <cell r="AO279">
            <v>65.303039999999996</v>
          </cell>
          <cell r="AT279">
            <v>41667</v>
          </cell>
          <cell r="AV279">
            <v>36.523110000000003</v>
          </cell>
          <cell r="BA279">
            <v>41667</v>
          </cell>
          <cell r="BC279">
            <v>21.510539999999999</v>
          </cell>
          <cell r="BH279">
            <v>41667</v>
          </cell>
          <cell r="BJ279">
            <v>23.947970000000002</v>
          </cell>
        </row>
        <row r="280">
          <cell r="D280">
            <v>41666</v>
          </cell>
          <cell r="F280">
            <v>168.19067999999999</v>
          </cell>
          <cell r="K280">
            <v>41666</v>
          </cell>
          <cell r="M280">
            <v>20.845659999999999</v>
          </cell>
          <cell r="R280">
            <v>41666</v>
          </cell>
          <cell r="T280">
            <v>3.41</v>
          </cell>
          <cell r="Y280">
            <v>41666</v>
          </cell>
          <cell r="AA280">
            <v>386.28</v>
          </cell>
          <cell r="AF280">
            <v>41666</v>
          </cell>
          <cell r="AH280">
            <v>75.731610000000003</v>
          </cell>
          <cell r="AM280">
            <v>41666</v>
          </cell>
          <cell r="AO280">
            <v>63.238999999999997</v>
          </cell>
          <cell r="AT280">
            <v>41666</v>
          </cell>
          <cell r="AV280">
            <v>36.391559999999998</v>
          </cell>
          <cell r="BA280">
            <v>41666</v>
          </cell>
          <cell r="BC280">
            <v>21.226220000000001</v>
          </cell>
          <cell r="BH280">
            <v>41666</v>
          </cell>
          <cell r="BJ280">
            <v>23.581130000000002</v>
          </cell>
        </row>
        <row r="281">
          <cell r="D281">
            <v>41663</v>
          </cell>
          <cell r="F281">
            <v>169.83571000000001</v>
          </cell>
          <cell r="K281">
            <v>41663</v>
          </cell>
          <cell r="M281">
            <v>21.035160000000001</v>
          </cell>
          <cell r="R281">
            <v>41663</v>
          </cell>
          <cell r="T281">
            <v>3.47</v>
          </cell>
          <cell r="Y281">
            <v>41663</v>
          </cell>
          <cell r="AA281">
            <v>387.6</v>
          </cell>
          <cell r="AF281">
            <v>41663</v>
          </cell>
          <cell r="AH281">
            <v>75.12218</v>
          </cell>
          <cell r="AM281">
            <v>41663</v>
          </cell>
          <cell r="AO281">
            <v>63.394039999999997</v>
          </cell>
          <cell r="AT281">
            <v>41663</v>
          </cell>
          <cell r="AV281">
            <v>36.49492</v>
          </cell>
          <cell r="BA281">
            <v>41663</v>
          </cell>
          <cell r="BC281">
            <v>21.60858</v>
          </cell>
          <cell r="BH281">
            <v>41663</v>
          </cell>
          <cell r="BJ281">
            <v>23.468260000000001</v>
          </cell>
        </row>
        <row r="282">
          <cell r="D282">
            <v>41662</v>
          </cell>
          <cell r="F282">
            <v>172.75707</v>
          </cell>
          <cell r="K282">
            <v>41662</v>
          </cell>
          <cell r="M282">
            <v>21.376270000000002</v>
          </cell>
          <cell r="R282">
            <v>41662</v>
          </cell>
          <cell r="T282">
            <v>3.62</v>
          </cell>
          <cell r="Y282">
            <v>41662</v>
          </cell>
          <cell r="AA282">
            <v>399.87</v>
          </cell>
          <cell r="AF282">
            <v>41662</v>
          </cell>
          <cell r="AH282">
            <v>76.513000000000005</v>
          </cell>
          <cell r="AM282">
            <v>41662</v>
          </cell>
          <cell r="AO282">
            <v>64.886349999999993</v>
          </cell>
          <cell r="AT282">
            <v>41662</v>
          </cell>
          <cell r="AV282">
            <v>36.87077</v>
          </cell>
          <cell r="BA282">
            <v>41662</v>
          </cell>
          <cell r="BC282">
            <v>21.843879999999999</v>
          </cell>
          <cell r="BH282">
            <v>41662</v>
          </cell>
          <cell r="BJ282">
            <v>24.28659</v>
          </cell>
        </row>
        <row r="283">
          <cell r="D283">
            <v>41661</v>
          </cell>
          <cell r="F283">
            <v>172.30325999999999</v>
          </cell>
          <cell r="K283">
            <v>41661</v>
          </cell>
          <cell r="M283">
            <v>21.641580000000001</v>
          </cell>
          <cell r="R283">
            <v>41661</v>
          </cell>
          <cell r="T283">
            <v>3.67</v>
          </cell>
          <cell r="Y283">
            <v>41661</v>
          </cell>
          <cell r="AA283">
            <v>404.54</v>
          </cell>
          <cell r="AF283">
            <v>41661</v>
          </cell>
          <cell r="AH283">
            <v>75.870559999999998</v>
          </cell>
          <cell r="AM283">
            <v>41661</v>
          </cell>
          <cell r="AO283">
            <v>65.845690000000005</v>
          </cell>
          <cell r="AT283">
            <v>41661</v>
          </cell>
          <cell r="AV283">
            <v>37.490920000000003</v>
          </cell>
          <cell r="BA283">
            <v>41661</v>
          </cell>
          <cell r="BC283">
            <v>21.765450000000001</v>
          </cell>
          <cell r="BH283">
            <v>41661</v>
          </cell>
          <cell r="BJ283">
            <v>24.4465</v>
          </cell>
        </row>
        <row r="284">
          <cell r="D284">
            <v>41660</v>
          </cell>
          <cell r="F284">
            <v>178.14597000000001</v>
          </cell>
          <cell r="K284">
            <v>41660</v>
          </cell>
          <cell r="M284">
            <v>21.632110000000001</v>
          </cell>
          <cell r="R284">
            <v>41660</v>
          </cell>
          <cell r="T284">
            <v>4.17</v>
          </cell>
          <cell r="Y284">
            <v>41660</v>
          </cell>
          <cell r="AA284">
            <v>407.05</v>
          </cell>
          <cell r="AF284">
            <v>41660</v>
          </cell>
          <cell r="AH284">
            <v>75.534890000000004</v>
          </cell>
          <cell r="AM284">
            <v>41660</v>
          </cell>
          <cell r="AO284">
            <v>65.894149999999996</v>
          </cell>
          <cell r="AT284">
            <v>41660</v>
          </cell>
          <cell r="AV284">
            <v>37.509709999999998</v>
          </cell>
          <cell r="BA284">
            <v>41660</v>
          </cell>
          <cell r="BC284">
            <v>21.824280000000002</v>
          </cell>
          <cell r="BH284">
            <v>41660</v>
          </cell>
          <cell r="BJ284">
            <v>24.728680000000001</v>
          </cell>
        </row>
        <row r="285">
          <cell r="D285">
            <v>41656</v>
          </cell>
          <cell r="F285">
            <v>179.71538000000001</v>
          </cell>
          <cell r="K285">
            <v>41656</v>
          </cell>
          <cell r="M285">
            <v>21.54683</v>
          </cell>
          <cell r="R285">
            <v>41656</v>
          </cell>
          <cell r="T285">
            <v>4.18</v>
          </cell>
          <cell r="Y285">
            <v>41656</v>
          </cell>
          <cell r="AA285">
            <v>399.61</v>
          </cell>
          <cell r="AF285">
            <v>41656</v>
          </cell>
          <cell r="AH285">
            <v>74.379310000000004</v>
          </cell>
          <cell r="AM285">
            <v>41656</v>
          </cell>
          <cell r="AO285">
            <v>65.584059999999994</v>
          </cell>
          <cell r="AT285">
            <v>41656</v>
          </cell>
          <cell r="AV285">
            <v>36.908360000000002</v>
          </cell>
          <cell r="BA285">
            <v>41656</v>
          </cell>
          <cell r="BC285">
            <v>21.657599999999999</v>
          </cell>
          <cell r="BH285">
            <v>41656</v>
          </cell>
          <cell r="BJ285">
            <v>25.001460000000002</v>
          </cell>
        </row>
        <row r="286">
          <cell r="D286">
            <v>41655</v>
          </cell>
          <cell r="F286">
            <v>178.45796000000001</v>
          </cell>
          <cell r="K286">
            <v>41655</v>
          </cell>
          <cell r="M286">
            <v>21.58473</v>
          </cell>
          <cell r="R286">
            <v>41655</v>
          </cell>
          <cell r="T286">
            <v>4.38</v>
          </cell>
          <cell r="Y286">
            <v>41655</v>
          </cell>
          <cell r="AA286">
            <v>395.8</v>
          </cell>
          <cell r="AF286">
            <v>41655</v>
          </cell>
          <cell r="AH286">
            <v>76.247489999999999</v>
          </cell>
          <cell r="AM286">
            <v>41655</v>
          </cell>
          <cell r="AO286">
            <v>65.835999999999999</v>
          </cell>
          <cell r="AT286">
            <v>41655</v>
          </cell>
          <cell r="AV286">
            <v>37.312390000000001</v>
          </cell>
          <cell r="BA286">
            <v>41655</v>
          </cell>
          <cell r="BC286">
            <v>21.892910000000001</v>
          </cell>
          <cell r="BH286">
            <v>41655</v>
          </cell>
          <cell r="BJ286">
            <v>25.58464</v>
          </cell>
        </row>
        <row r="287">
          <cell r="D287">
            <v>41654</v>
          </cell>
          <cell r="F287">
            <v>177.49363</v>
          </cell>
          <cell r="K287">
            <v>41654</v>
          </cell>
          <cell r="M287">
            <v>21.58473</v>
          </cell>
          <cell r="R287">
            <v>41654</v>
          </cell>
          <cell r="T287">
            <v>4.47</v>
          </cell>
          <cell r="Y287">
            <v>41654</v>
          </cell>
          <cell r="AA287">
            <v>395.87</v>
          </cell>
          <cell r="AF287">
            <v>41654</v>
          </cell>
          <cell r="AH287">
            <v>76.675330000000002</v>
          </cell>
          <cell r="AM287">
            <v>41654</v>
          </cell>
          <cell r="AO287">
            <v>65.806929999999994</v>
          </cell>
          <cell r="AT287">
            <v>41654</v>
          </cell>
          <cell r="AV287">
            <v>37.359369999999998</v>
          </cell>
          <cell r="BA287">
            <v>41654</v>
          </cell>
          <cell r="BC287">
            <v>21.85369</v>
          </cell>
          <cell r="BH287">
            <v>41654</v>
          </cell>
          <cell r="BJ287">
            <v>25.71632</v>
          </cell>
        </row>
        <row r="288">
          <cell r="D288">
            <v>41653</v>
          </cell>
          <cell r="F288">
            <v>175.77296000000001</v>
          </cell>
          <cell r="K288">
            <v>41653</v>
          </cell>
          <cell r="M288">
            <v>21.23414</v>
          </cell>
          <cell r="R288">
            <v>41653</v>
          </cell>
          <cell r="T288">
            <v>4.3</v>
          </cell>
          <cell r="Y288">
            <v>41653</v>
          </cell>
          <cell r="AA288">
            <v>397.54</v>
          </cell>
          <cell r="AF288">
            <v>41653</v>
          </cell>
          <cell r="AH288">
            <v>75.166200000000003</v>
          </cell>
          <cell r="AM288">
            <v>41653</v>
          </cell>
          <cell r="AO288">
            <v>66.087950000000006</v>
          </cell>
          <cell r="AT288">
            <v>41653</v>
          </cell>
          <cell r="AV288">
            <v>37.293599999999998</v>
          </cell>
          <cell r="BA288">
            <v>41653</v>
          </cell>
          <cell r="BC288">
            <v>21.559560000000001</v>
          </cell>
          <cell r="BH288">
            <v>41653</v>
          </cell>
          <cell r="BJ288">
            <v>25.368300000000001</v>
          </cell>
        </row>
        <row r="289">
          <cell r="D289">
            <v>41652</v>
          </cell>
          <cell r="F289">
            <v>174.10901999999999</v>
          </cell>
          <cell r="K289">
            <v>41652</v>
          </cell>
          <cell r="M289">
            <v>21.025690000000001</v>
          </cell>
          <cell r="R289">
            <v>41652</v>
          </cell>
          <cell r="T289">
            <v>4.13</v>
          </cell>
          <cell r="Y289">
            <v>41652</v>
          </cell>
          <cell r="AA289">
            <v>390.98</v>
          </cell>
          <cell r="AF289">
            <v>41652</v>
          </cell>
          <cell r="AH289">
            <v>73.699719999999999</v>
          </cell>
          <cell r="AM289">
            <v>41652</v>
          </cell>
          <cell r="AO289">
            <v>65.845690000000005</v>
          </cell>
          <cell r="AT289">
            <v>41652</v>
          </cell>
          <cell r="AV289">
            <v>37.143259999999998</v>
          </cell>
          <cell r="BA289">
            <v>41652</v>
          </cell>
          <cell r="BC289">
            <v>21.01052</v>
          </cell>
          <cell r="BH289">
            <v>41652</v>
          </cell>
          <cell r="BJ289">
            <v>25.14255</v>
          </cell>
        </row>
        <row r="290">
          <cell r="D290">
            <v>41649</v>
          </cell>
          <cell r="F290">
            <v>177.03982999999999</v>
          </cell>
          <cell r="K290">
            <v>41649</v>
          </cell>
          <cell r="M290">
            <v>21.054110000000001</v>
          </cell>
          <cell r="R290">
            <v>41649</v>
          </cell>
          <cell r="T290">
            <v>4.17</v>
          </cell>
          <cell r="Y290">
            <v>41649</v>
          </cell>
          <cell r="AA290">
            <v>397.66</v>
          </cell>
          <cell r="AF290">
            <v>41649</v>
          </cell>
          <cell r="AH290">
            <v>73.315899999999999</v>
          </cell>
          <cell r="AM290">
            <v>41649</v>
          </cell>
          <cell r="AO290">
            <v>67.173270000000002</v>
          </cell>
          <cell r="AT290">
            <v>41649</v>
          </cell>
          <cell r="AV290">
            <v>37.707030000000003</v>
          </cell>
          <cell r="BA290">
            <v>41649</v>
          </cell>
          <cell r="BC290">
            <v>21.324259999999999</v>
          </cell>
          <cell r="BH290">
            <v>41649</v>
          </cell>
          <cell r="BJ290">
            <v>25.358889999999999</v>
          </cell>
        </row>
        <row r="291">
          <cell r="D291">
            <v>41648</v>
          </cell>
          <cell r="F291">
            <v>177.15328</v>
          </cell>
          <cell r="K291">
            <v>41648</v>
          </cell>
          <cell r="M291">
            <v>20.93093</v>
          </cell>
          <cell r="R291">
            <v>41648</v>
          </cell>
          <cell r="T291">
            <v>4.09</v>
          </cell>
          <cell r="Y291">
            <v>41648</v>
          </cell>
          <cell r="AA291">
            <v>401.01</v>
          </cell>
          <cell r="AF291">
            <v>41648</v>
          </cell>
          <cell r="AH291">
            <v>73.808260000000004</v>
          </cell>
          <cell r="AM291">
            <v>41648</v>
          </cell>
          <cell r="AO291">
            <v>66.068569999999994</v>
          </cell>
          <cell r="AT291">
            <v>41648</v>
          </cell>
          <cell r="AV291">
            <v>37.331189999999999</v>
          </cell>
          <cell r="BA291">
            <v>41648</v>
          </cell>
          <cell r="BC291">
            <v>21.1968</v>
          </cell>
          <cell r="BH291">
            <v>41648</v>
          </cell>
          <cell r="BJ291">
            <v>25.603449999999999</v>
          </cell>
        </row>
        <row r="292">
          <cell r="D292">
            <v>41647</v>
          </cell>
          <cell r="F292">
            <v>177.71108000000001</v>
          </cell>
          <cell r="K292">
            <v>41647</v>
          </cell>
          <cell r="M292">
            <v>21.123280000000001</v>
          </cell>
          <cell r="R292">
            <v>41647</v>
          </cell>
          <cell r="T292">
            <v>4.18</v>
          </cell>
          <cell r="Y292">
            <v>41647</v>
          </cell>
          <cell r="AA292">
            <v>401.92</v>
          </cell>
          <cell r="AF292">
            <v>41647</v>
          </cell>
          <cell r="AH292">
            <v>74.763130000000004</v>
          </cell>
          <cell r="AM292">
            <v>41647</v>
          </cell>
          <cell r="AO292">
            <v>64.954179999999994</v>
          </cell>
          <cell r="AT292">
            <v>41647</v>
          </cell>
          <cell r="AV292">
            <v>37.528509999999997</v>
          </cell>
          <cell r="BA292">
            <v>41647</v>
          </cell>
          <cell r="BC292">
            <v>20.922280000000001</v>
          </cell>
          <cell r="BH292">
            <v>41647</v>
          </cell>
          <cell r="BJ292">
            <v>25.59404</v>
          </cell>
        </row>
        <row r="293">
          <cell r="D293">
            <v>41646</v>
          </cell>
          <cell r="F293">
            <v>179.35612</v>
          </cell>
          <cell r="K293">
            <v>41646</v>
          </cell>
          <cell r="M293">
            <v>21.139389999999999</v>
          </cell>
          <cell r="R293">
            <v>41646</v>
          </cell>
          <cell r="T293">
            <v>4.18</v>
          </cell>
          <cell r="Y293">
            <v>41646</v>
          </cell>
          <cell r="AA293">
            <v>398.03</v>
          </cell>
          <cell r="AF293">
            <v>41646</v>
          </cell>
          <cell r="AH293">
            <v>74.292299999999997</v>
          </cell>
          <cell r="AM293">
            <v>41646</v>
          </cell>
          <cell r="AO293">
            <v>65.458079999999995</v>
          </cell>
          <cell r="AT293">
            <v>41646</v>
          </cell>
          <cell r="AV293">
            <v>37.951340000000002</v>
          </cell>
          <cell r="BA293">
            <v>41646</v>
          </cell>
          <cell r="BC293">
            <v>21.06935</v>
          </cell>
          <cell r="BH293">
            <v>41646</v>
          </cell>
          <cell r="BJ293">
            <v>25.66929</v>
          </cell>
        </row>
        <row r="294">
          <cell r="D294">
            <v>41645</v>
          </cell>
          <cell r="F294">
            <v>175.8486</v>
          </cell>
          <cell r="K294">
            <v>41645</v>
          </cell>
          <cell r="M294">
            <v>20.855129999999999</v>
          </cell>
          <cell r="R294">
            <v>41645</v>
          </cell>
          <cell r="T294">
            <v>4.13</v>
          </cell>
          <cell r="Y294">
            <v>41645</v>
          </cell>
          <cell r="AA294">
            <v>393.63</v>
          </cell>
          <cell r="AF294">
            <v>41645</v>
          </cell>
          <cell r="AH294">
            <v>74.827780000000004</v>
          </cell>
          <cell r="AM294">
            <v>41645</v>
          </cell>
          <cell r="AO294">
            <v>64.663480000000007</v>
          </cell>
          <cell r="AT294">
            <v>41645</v>
          </cell>
          <cell r="AV294">
            <v>37.83858</v>
          </cell>
          <cell r="BA294">
            <v>41645</v>
          </cell>
          <cell r="BC294">
            <v>20.814440000000001</v>
          </cell>
          <cell r="BH294">
            <v>41645</v>
          </cell>
          <cell r="BJ294">
            <v>25.641069999999999</v>
          </cell>
        </row>
        <row r="295">
          <cell r="D295">
            <v>41642</v>
          </cell>
          <cell r="F295">
            <v>176.45366999999999</v>
          </cell>
          <cell r="K295">
            <v>41642</v>
          </cell>
          <cell r="M295">
            <v>20.826709999999999</v>
          </cell>
          <cell r="R295">
            <v>41642</v>
          </cell>
          <cell r="T295">
            <v>4</v>
          </cell>
          <cell r="Y295">
            <v>41642</v>
          </cell>
          <cell r="AA295">
            <v>396.44</v>
          </cell>
          <cell r="AF295">
            <v>41642</v>
          </cell>
          <cell r="AH295">
            <v>74.421959999999999</v>
          </cell>
          <cell r="AM295">
            <v>41642</v>
          </cell>
          <cell r="AO295">
            <v>64.721620000000001</v>
          </cell>
          <cell r="AT295">
            <v>41642</v>
          </cell>
          <cell r="AV295">
            <v>38.017110000000002</v>
          </cell>
          <cell r="BA295">
            <v>41642</v>
          </cell>
          <cell r="BC295">
            <v>21.000720000000001</v>
          </cell>
          <cell r="BH295">
            <v>41642</v>
          </cell>
          <cell r="BJ295">
            <v>25.848009999999999</v>
          </cell>
        </row>
        <row r="296">
          <cell r="D296">
            <v>41641</v>
          </cell>
          <cell r="F296">
            <v>175.40424999999999</v>
          </cell>
          <cell r="K296">
            <v>41641</v>
          </cell>
          <cell r="M296">
            <v>20.845659999999999</v>
          </cell>
          <cell r="R296">
            <v>41641</v>
          </cell>
          <cell r="T296">
            <v>3.95</v>
          </cell>
          <cell r="Y296">
            <v>41641</v>
          </cell>
          <cell r="AA296">
            <v>397.97</v>
          </cell>
          <cell r="AF296">
            <v>41641</v>
          </cell>
          <cell r="AH296">
            <v>76.093419999999995</v>
          </cell>
          <cell r="AM296">
            <v>41641</v>
          </cell>
          <cell r="AO296">
            <v>64.082059999999998</v>
          </cell>
          <cell r="AT296">
            <v>41641</v>
          </cell>
          <cell r="AV296">
            <v>38.205030000000001</v>
          </cell>
          <cell r="BA296">
            <v>41641</v>
          </cell>
          <cell r="BC296">
            <v>21.079149999999998</v>
          </cell>
          <cell r="BH296">
            <v>41641</v>
          </cell>
          <cell r="BJ296">
            <v>25.866820000000001</v>
          </cell>
        </row>
        <row r="297">
          <cell r="D297">
            <v>41639</v>
          </cell>
          <cell r="F297">
            <v>177.33291</v>
          </cell>
          <cell r="K297">
            <v>41639</v>
          </cell>
          <cell r="M297">
            <v>21.092009999999998</v>
          </cell>
          <cell r="R297">
            <v>41639</v>
          </cell>
          <cell r="T297">
            <v>3.87</v>
          </cell>
          <cell r="Y297">
            <v>41639</v>
          </cell>
          <cell r="AA297">
            <v>398.79</v>
          </cell>
          <cell r="AF297">
            <v>41639</v>
          </cell>
          <cell r="AH297">
            <v>77.178830000000005</v>
          </cell>
          <cell r="AM297">
            <v>41639</v>
          </cell>
          <cell r="AO297">
            <v>64.741</v>
          </cell>
          <cell r="AT297">
            <v>41639</v>
          </cell>
          <cell r="AV297">
            <v>38.81579</v>
          </cell>
          <cell r="BA297">
            <v>41639</v>
          </cell>
          <cell r="BC297">
            <v>21.314450000000001</v>
          </cell>
          <cell r="BH297">
            <v>41639</v>
          </cell>
          <cell r="BJ297">
            <v>26.36534</v>
          </cell>
        </row>
        <row r="298">
          <cell r="D298">
            <v>41638</v>
          </cell>
          <cell r="F298">
            <v>176.23622</v>
          </cell>
          <cell r="K298">
            <v>41638</v>
          </cell>
          <cell r="M298">
            <v>20.922750000000001</v>
          </cell>
          <cell r="R298">
            <v>41638</v>
          </cell>
          <cell r="T298">
            <v>3.85</v>
          </cell>
          <cell r="Y298">
            <v>41638</v>
          </cell>
          <cell r="AA298">
            <v>393.37</v>
          </cell>
          <cell r="AF298">
            <v>41638</v>
          </cell>
          <cell r="AH298">
            <v>76.284639999999996</v>
          </cell>
          <cell r="AM298">
            <v>41638</v>
          </cell>
          <cell r="AO298">
            <v>64.992949999999993</v>
          </cell>
          <cell r="AT298">
            <v>41638</v>
          </cell>
          <cell r="AV298">
            <v>38.609070000000003</v>
          </cell>
          <cell r="BA298">
            <v>41638</v>
          </cell>
          <cell r="BC298">
            <v>21.48113</v>
          </cell>
          <cell r="BH298">
            <v>41638</v>
          </cell>
          <cell r="BJ298">
            <v>26.23366</v>
          </cell>
        </row>
        <row r="299">
          <cell r="D299">
            <v>41635</v>
          </cell>
          <cell r="F299">
            <v>174.97881000000001</v>
          </cell>
          <cell r="K299">
            <v>41635</v>
          </cell>
          <cell r="M299">
            <v>20.706469999999999</v>
          </cell>
          <cell r="R299">
            <v>41635</v>
          </cell>
          <cell r="T299">
            <v>3.78</v>
          </cell>
          <cell r="Y299">
            <v>41635</v>
          </cell>
          <cell r="AA299">
            <v>398.08</v>
          </cell>
          <cell r="AF299">
            <v>41635</v>
          </cell>
          <cell r="AH299">
            <v>77.050899999999999</v>
          </cell>
          <cell r="AM299">
            <v>41635</v>
          </cell>
          <cell r="AO299">
            <v>64.767650000000003</v>
          </cell>
          <cell r="AT299">
            <v>41635</v>
          </cell>
          <cell r="AV299">
            <v>38.205030000000001</v>
          </cell>
          <cell r="BA299">
            <v>41635</v>
          </cell>
          <cell r="BC299">
            <v>21.696819999999999</v>
          </cell>
          <cell r="BH299">
            <v>41635</v>
          </cell>
          <cell r="BJ299">
            <v>26.177219999999998</v>
          </cell>
        </row>
        <row r="300">
          <cell r="D300">
            <v>41634</v>
          </cell>
          <cell r="F300">
            <v>175.23407</v>
          </cell>
          <cell r="K300">
            <v>41634</v>
          </cell>
          <cell r="M300">
            <v>20.499590000000001</v>
          </cell>
          <cell r="R300">
            <v>41634</v>
          </cell>
          <cell r="T300">
            <v>3.8</v>
          </cell>
          <cell r="Y300">
            <v>41634</v>
          </cell>
          <cell r="AA300">
            <v>404.39</v>
          </cell>
          <cell r="AF300">
            <v>41634</v>
          </cell>
          <cell r="AH300">
            <v>77.575029999999998</v>
          </cell>
          <cell r="AM300">
            <v>41634</v>
          </cell>
          <cell r="AO300">
            <v>65.09563</v>
          </cell>
          <cell r="AT300">
            <v>41634</v>
          </cell>
          <cell r="AV300">
            <v>38.045299999999997</v>
          </cell>
          <cell r="BA300">
            <v>41634</v>
          </cell>
          <cell r="BC300">
            <v>22.010560000000002</v>
          </cell>
          <cell r="BH300">
            <v>41634</v>
          </cell>
          <cell r="BJ300">
            <v>26.177219999999998</v>
          </cell>
        </row>
        <row r="301">
          <cell r="D301">
            <v>41632</v>
          </cell>
          <cell r="F301">
            <v>173.22031999999999</v>
          </cell>
          <cell r="K301">
            <v>41632</v>
          </cell>
          <cell r="M301">
            <v>20.396159999999998</v>
          </cell>
          <cell r="R301">
            <v>41632</v>
          </cell>
          <cell r="T301">
            <v>3.77</v>
          </cell>
          <cell r="Y301">
            <v>41632</v>
          </cell>
          <cell r="AA301">
            <v>399.2</v>
          </cell>
          <cell r="AF301">
            <v>41632</v>
          </cell>
          <cell r="AH301">
            <v>78.093670000000003</v>
          </cell>
          <cell r="AM301">
            <v>41632</v>
          </cell>
          <cell r="AO301">
            <v>64.748350000000002</v>
          </cell>
          <cell r="AT301">
            <v>41632</v>
          </cell>
          <cell r="AV301">
            <v>37.76341</v>
          </cell>
          <cell r="BA301">
            <v>41632</v>
          </cell>
          <cell r="BC301">
            <v>21.873539999999998</v>
          </cell>
          <cell r="BH301">
            <v>41632</v>
          </cell>
          <cell r="BJ301">
            <v>25.970289999999999</v>
          </cell>
        </row>
        <row r="302">
          <cell r="D302">
            <v>41631</v>
          </cell>
          <cell r="F302">
            <v>172.28434999999999</v>
          </cell>
          <cell r="K302">
            <v>41631</v>
          </cell>
          <cell r="M302">
            <v>20.28331</v>
          </cell>
          <cell r="R302">
            <v>41631</v>
          </cell>
          <cell r="T302">
            <v>3.75</v>
          </cell>
          <cell r="Y302">
            <v>41631</v>
          </cell>
          <cell r="AA302">
            <v>402.92</v>
          </cell>
          <cell r="AF302">
            <v>41631</v>
          </cell>
          <cell r="AH302">
            <v>78.426580000000001</v>
          </cell>
          <cell r="AM302">
            <v>41631</v>
          </cell>
          <cell r="AO302">
            <v>64.622950000000003</v>
          </cell>
          <cell r="AT302">
            <v>41631</v>
          </cell>
          <cell r="AV302">
            <v>37.735219999999998</v>
          </cell>
          <cell r="BA302">
            <v>41631</v>
          </cell>
          <cell r="BC302">
            <v>22.03013</v>
          </cell>
          <cell r="BH302">
            <v>41631</v>
          </cell>
          <cell r="BJ302">
            <v>25.772760000000002</v>
          </cell>
        </row>
        <row r="303">
          <cell r="D303">
            <v>41628</v>
          </cell>
          <cell r="F303">
            <v>170.19497000000001</v>
          </cell>
          <cell r="K303">
            <v>41628</v>
          </cell>
          <cell r="M303">
            <v>19.86956</v>
          </cell>
          <cell r="R303">
            <v>41628</v>
          </cell>
          <cell r="T303">
            <v>3.69</v>
          </cell>
          <cell r="Y303">
            <v>41628</v>
          </cell>
          <cell r="AA303">
            <v>402.2</v>
          </cell>
          <cell r="AF303">
            <v>41628</v>
          </cell>
          <cell r="AH303">
            <v>75.528009999999995</v>
          </cell>
          <cell r="AM303">
            <v>41628</v>
          </cell>
          <cell r="AO303">
            <v>64.20814</v>
          </cell>
          <cell r="AT303">
            <v>41628</v>
          </cell>
          <cell r="AV303">
            <v>37.62247</v>
          </cell>
          <cell r="BA303">
            <v>41628</v>
          </cell>
          <cell r="BC303">
            <v>21.932259999999999</v>
          </cell>
          <cell r="BH303">
            <v>41628</v>
          </cell>
          <cell r="BJ303">
            <v>25.735140000000001</v>
          </cell>
        </row>
        <row r="304">
          <cell r="D304">
            <v>41627</v>
          </cell>
          <cell r="F304">
            <v>170.38406000000001</v>
          </cell>
          <cell r="K304">
            <v>41627</v>
          </cell>
          <cell r="M304">
            <v>19.813140000000001</v>
          </cell>
          <cell r="R304">
            <v>41627</v>
          </cell>
          <cell r="T304">
            <v>3.65</v>
          </cell>
          <cell r="Y304">
            <v>41627</v>
          </cell>
          <cell r="AA304">
            <v>395.19</v>
          </cell>
          <cell r="AF304">
            <v>41627</v>
          </cell>
          <cell r="AH304">
            <v>74.900700000000001</v>
          </cell>
          <cell r="AM304">
            <v>41627</v>
          </cell>
          <cell r="AO304">
            <v>64.410719999999998</v>
          </cell>
          <cell r="AT304">
            <v>41627</v>
          </cell>
          <cell r="AV304">
            <v>37.453339999999997</v>
          </cell>
          <cell r="BA304">
            <v>41627</v>
          </cell>
          <cell r="BC304">
            <v>21.668019999999999</v>
          </cell>
          <cell r="BH304">
            <v>41627</v>
          </cell>
          <cell r="BJ304">
            <v>25.697510000000001</v>
          </cell>
        </row>
        <row r="305">
          <cell r="D305">
            <v>41626</v>
          </cell>
          <cell r="F305">
            <v>168.94701000000001</v>
          </cell>
          <cell r="K305">
            <v>41626</v>
          </cell>
          <cell r="M305">
            <v>19.747319999999998</v>
          </cell>
          <cell r="R305">
            <v>41626</v>
          </cell>
          <cell r="T305">
            <v>3.65</v>
          </cell>
          <cell r="Y305">
            <v>41626</v>
          </cell>
          <cell r="AA305">
            <v>395.96</v>
          </cell>
          <cell r="AF305">
            <v>41626</v>
          </cell>
          <cell r="AH305">
            <v>75.768749999999997</v>
          </cell>
          <cell r="AM305">
            <v>41626</v>
          </cell>
          <cell r="AO305">
            <v>64.410719999999998</v>
          </cell>
          <cell r="AT305">
            <v>41626</v>
          </cell>
          <cell r="AV305">
            <v>37.603679999999997</v>
          </cell>
          <cell r="BA305">
            <v>41626</v>
          </cell>
          <cell r="BC305">
            <v>21.579940000000001</v>
          </cell>
          <cell r="BH305">
            <v>41626</v>
          </cell>
          <cell r="BJ305">
            <v>25.575230000000001</v>
          </cell>
        </row>
        <row r="306">
          <cell r="D306">
            <v>41625</v>
          </cell>
          <cell r="F306">
            <v>166.16747000000001</v>
          </cell>
          <cell r="K306">
            <v>41625</v>
          </cell>
          <cell r="M306">
            <v>19.672090000000001</v>
          </cell>
          <cell r="R306">
            <v>41625</v>
          </cell>
          <cell r="T306">
            <v>3.65</v>
          </cell>
          <cell r="Y306">
            <v>41625</v>
          </cell>
          <cell r="AA306">
            <v>387.65</v>
          </cell>
          <cell r="AF306">
            <v>41625</v>
          </cell>
          <cell r="AH306">
            <v>76.349289999999996</v>
          </cell>
          <cell r="AM306">
            <v>41625</v>
          </cell>
          <cell r="AO306">
            <v>63.069830000000003</v>
          </cell>
          <cell r="AT306">
            <v>41625</v>
          </cell>
          <cell r="AV306">
            <v>36.739220000000003</v>
          </cell>
          <cell r="BA306">
            <v>41625</v>
          </cell>
          <cell r="BC306">
            <v>21.570150000000002</v>
          </cell>
          <cell r="BH306">
            <v>41625</v>
          </cell>
          <cell r="BJ306">
            <v>25.220669999999998</v>
          </cell>
        </row>
        <row r="307">
          <cell r="D307">
            <v>41624</v>
          </cell>
          <cell r="F307">
            <v>168.14340000000001</v>
          </cell>
          <cell r="K307">
            <v>41624</v>
          </cell>
          <cell r="M307">
            <v>19.446400000000001</v>
          </cell>
          <cell r="R307">
            <v>41624</v>
          </cell>
          <cell r="T307">
            <v>3.59</v>
          </cell>
          <cell r="Y307">
            <v>41624</v>
          </cell>
          <cell r="AA307">
            <v>388.97</v>
          </cell>
          <cell r="AF307">
            <v>41624</v>
          </cell>
          <cell r="AH307">
            <v>76.694590000000005</v>
          </cell>
          <cell r="AM307">
            <v>41624</v>
          </cell>
          <cell r="AO307">
            <v>63.301349999999999</v>
          </cell>
          <cell r="AT307">
            <v>41624</v>
          </cell>
          <cell r="AV307">
            <v>36.898960000000002</v>
          </cell>
          <cell r="BA307">
            <v>41624</v>
          </cell>
          <cell r="BC307">
            <v>21.403770000000002</v>
          </cell>
          <cell r="BH307">
            <v>41624</v>
          </cell>
          <cell r="BJ307">
            <v>25.174009999999999</v>
          </cell>
        </row>
        <row r="308">
          <cell r="D308">
            <v>41621</v>
          </cell>
          <cell r="F308">
            <v>163.36902000000001</v>
          </cell>
          <cell r="K308">
            <v>41621</v>
          </cell>
          <cell r="M308">
            <v>19.03265</v>
          </cell>
          <cell r="R308">
            <v>41621</v>
          </cell>
          <cell r="T308">
            <v>3.69</v>
          </cell>
          <cell r="Y308">
            <v>41621</v>
          </cell>
          <cell r="AA308">
            <v>384.24</v>
          </cell>
          <cell r="AF308">
            <v>41621</v>
          </cell>
          <cell r="AH308">
            <v>76.272260000000003</v>
          </cell>
          <cell r="AM308">
            <v>41621</v>
          </cell>
          <cell r="AO308">
            <v>63.359229999999997</v>
          </cell>
          <cell r="AT308">
            <v>41621</v>
          </cell>
          <cell r="AV308">
            <v>36.861370000000001</v>
          </cell>
          <cell r="BA308">
            <v>41621</v>
          </cell>
          <cell r="BC308">
            <v>20.826350000000001</v>
          </cell>
          <cell r="BH308">
            <v>41621</v>
          </cell>
          <cell r="BJ308">
            <v>25.043389999999999</v>
          </cell>
        </row>
        <row r="309">
          <cell r="D309">
            <v>41620</v>
          </cell>
          <cell r="F309">
            <v>163.90790999999999</v>
          </cell>
          <cell r="K309">
            <v>41620</v>
          </cell>
          <cell r="M309">
            <v>19.286539999999999</v>
          </cell>
          <cell r="R309">
            <v>41620</v>
          </cell>
          <cell r="T309">
            <v>3.69</v>
          </cell>
          <cell r="Y309">
            <v>41620</v>
          </cell>
          <cell r="AA309">
            <v>381.25</v>
          </cell>
          <cell r="AF309">
            <v>41620</v>
          </cell>
          <cell r="AH309">
            <v>77.112799999999993</v>
          </cell>
          <cell r="AM309">
            <v>41620</v>
          </cell>
          <cell r="AO309">
            <v>63.831919999999997</v>
          </cell>
          <cell r="AT309">
            <v>41620</v>
          </cell>
          <cell r="AV309">
            <v>36.842579999999998</v>
          </cell>
          <cell r="BA309">
            <v>41620</v>
          </cell>
          <cell r="BC309">
            <v>20.708909999999999</v>
          </cell>
          <cell r="BH309">
            <v>41620</v>
          </cell>
          <cell r="BJ309">
            <v>24.763470000000002</v>
          </cell>
        </row>
        <row r="310">
          <cell r="D310">
            <v>41619</v>
          </cell>
          <cell r="F310">
            <v>165.63802999999999</v>
          </cell>
          <cell r="K310">
            <v>41619</v>
          </cell>
          <cell r="M310">
            <v>19.63447</v>
          </cell>
          <cell r="R310">
            <v>41619</v>
          </cell>
          <cell r="T310">
            <v>3.68</v>
          </cell>
          <cell r="Y310">
            <v>41619</v>
          </cell>
          <cell r="AA310">
            <v>382.19</v>
          </cell>
          <cell r="AF310">
            <v>41619</v>
          </cell>
          <cell r="AH310">
            <v>77.225610000000003</v>
          </cell>
          <cell r="AM310">
            <v>41619</v>
          </cell>
          <cell r="AO310">
            <v>63.889800000000001</v>
          </cell>
          <cell r="AT310">
            <v>41619</v>
          </cell>
          <cell r="AV310">
            <v>37.707030000000003</v>
          </cell>
          <cell r="BA310">
            <v>41619</v>
          </cell>
          <cell r="BC310">
            <v>20.679549999999999</v>
          </cell>
          <cell r="BH310">
            <v>41619</v>
          </cell>
          <cell r="BJ310">
            <v>24.800789999999999</v>
          </cell>
        </row>
        <row r="311">
          <cell r="D311">
            <v>41618</v>
          </cell>
          <cell r="F311">
            <v>167.45325</v>
          </cell>
          <cell r="K311">
            <v>41618</v>
          </cell>
          <cell r="M311">
            <v>19.944790000000001</v>
          </cell>
          <cell r="R311">
            <v>41618</v>
          </cell>
          <cell r="T311">
            <v>3.72</v>
          </cell>
          <cell r="Y311">
            <v>41618</v>
          </cell>
          <cell r="AA311">
            <v>387.78</v>
          </cell>
          <cell r="AF311">
            <v>41618</v>
          </cell>
          <cell r="AH311">
            <v>77.802019999999999</v>
          </cell>
          <cell r="AM311">
            <v>41618</v>
          </cell>
          <cell r="AO311">
            <v>63.88015</v>
          </cell>
          <cell r="AT311">
            <v>41618</v>
          </cell>
          <cell r="AV311">
            <v>37.443939999999998</v>
          </cell>
          <cell r="BA311">
            <v>41618</v>
          </cell>
          <cell r="BC311">
            <v>20.60125</v>
          </cell>
          <cell r="BH311">
            <v>41618</v>
          </cell>
          <cell r="BJ311">
            <v>25.3233</v>
          </cell>
        </row>
        <row r="312">
          <cell r="D312">
            <v>41617</v>
          </cell>
          <cell r="F312">
            <v>167.77468999999999</v>
          </cell>
          <cell r="K312">
            <v>41617</v>
          </cell>
          <cell r="M312">
            <v>19.954190000000001</v>
          </cell>
          <cell r="R312">
            <v>41617</v>
          </cell>
          <cell r="T312">
            <v>3.63</v>
          </cell>
          <cell r="Y312">
            <v>41617</v>
          </cell>
          <cell r="AA312">
            <v>384.89</v>
          </cell>
          <cell r="AF312">
            <v>41617</v>
          </cell>
          <cell r="AH312">
            <v>77.923079999999999</v>
          </cell>
          <cell r="AM312">
            <v>41617</v>
          </cell>
          <cell r="AO312">
            <v>61.99906</v>
          </cell>
          <cell r="AT312">
            <v>41617</v>
          </cell>
          <cell r="AV312">
            <v>37.960729999999998</v>
          </cell>
          <cell r="BA312">
            <v>41617</v>
          </cell>
          <cell r="BC312">
            <v>21.305910000000001</v>
          </cell>
          <cell r="BH312">
            <v>41617</v>
          </cell>
          <cell r="BJ312">
            <v>25.369959999999999</v>
          </cell>
        </row>
        <row r="313">
          <cell r="D313">
            <v>41614</v>
          </cell>
          <cell r="F313">
            <v>167.97323</v>
          </cell>
          <cell r="K313">
            <v>41614</v>
          </cell>
          <cell r="M313">
            <v>20.01061</v>
          </cell>
          <cell r="R313">
            <v>41614</v>
          </cell>
          <cell r="T313">
            <v>3.66</v>
          </cell>
          <cell r="Y313">
            <v>41614</v>
          </cell>
          <cell r="AA313">
            <v>386.95</v>
          </cell>
          <cell r="AF313">
            <v>41614</v>
          </cell>
          <cell r="AH313">
            <v>77.041269999999997</v>
          </cell>
          <cell r="AM313">
            <v>41614</v>
          </cell>
          <cell r="AO313">
            <v>61.67107</v>
          </cell>
          <cell r="AT313">
            <v>41614</v>
          </cell>
          <cell r="AV313">
            <v>38.017110000000002</v>
          </cell>
          <cell r="BA313">
            <v>41614</v>
          </cell>
          <cell r="BC313">
            <v>21.902899999999999</v>
          </cell>
          <cell r="BH313">
            <v>41614</v>
          </cell>
          <cell r="BJ313">
            <v>25.136690000000002</v>
          </cell>
        </row>
        <row r="314">
          <cell r="D314">
            <v>41613</v>
          </cell>
          <cell r="F314">
            <v>166.47001</v>
          </cell>
          <cell r="K314">
            <v>41613</v>
          </cell>
          <cell r="M314">
            <v>19.662680000000002</v>
          </cell>
          <cell r="R314">
            <v>41613</v>
          </cell>
          <cell r="T314">
            <v>3.64</v>
          </cell>
          <cell r="Y314">
            <v>41613</v>
          </cell>
          <cell r="AA314">
            <v>384.49</v>
          </cell>
          <cell r="AF314">
            <v>41613</v>
          </cell>
          <cell r="AH314">
            <v>78.125450000000001</v>
          </cell>
          <cell r="AM314">
            <v>41613</v>
          </cell>
          <cell r="AO314">
            <v>60.706400000000002</v>
          </cell>
          <cell r="AT314">
            <v>41613</v>
          </cell>
          <cell r="AV314">
            <v>37.425150000000002</v>
          </cell>
          <cell r="BA314">
            <v>41613</v>
          </cell>
          <cell r="BC314">
            <v>21.45271</v>
          </cell>
          <cell r="BH314">
            <v>41613</v>
          </cell>
          <cell r="BJ314">
            <v>24.679490000000001</v>
          </cell>
        </row>
        <row r="315">
          <cell r="D315">
            <v>41612</v>
          </cell>
          <cell r="F315">
            <v>166.14856</v>
          </cell>
          <cell r="K315">
            <v>41612</v>
          </cell>
          <cell r="M315">
            <v>19.981459999999998</v>
          </cell>
          <cell r="R315">
            <v>41612</v>
          </cell>
          <cell r="T315">
            <v>3.57</v>
          </cell>
          <cell r="Y315">
            <v>41612</v>
          </cell>
          <cell r="AA315">
            <v>385.96</v>
          </cell>
          <cell r="AF315">
            <v>41612</v>
          </cell>
          <cell r="AH315">
            <v>77.72636</v>
          </cell>
          <cell r="AM315">
            <v>41612</v>
          </cell>
          <cell r="AO315">
            <v>60.966859999999997</v>
          </cell>
          <cell r="AT315">
            <v>41612</v>
          </cell>
          <cell r="AV315">
            <v>37.932540000000003</v>
          </cell>
          <cell r="BA315">
            <v>41612</v>
          </cell>
          <cell r="BC315">
            <v>21.530999999999999</v>
          </cell>
          <cell r="BH315">
            <v>41612</v>
          </cell>
          <cell r="BJ315">
            <v>24.856770000000001</v>
          </cell>
        </row>
        <row r="316">
          <cell r="D316">
            <v>41611</v>
          </cell>
          <cell r="F316">
            <v>166.47001</v>
          </cell>
          <cell r="K316">
            <v>41611</v>
          </cell>
          <cell r="M316">
            <v>19.991810000000001</v>
          </cell>
          <cell r="R316">
            <v>41611</v>
          </cell>
          <cell r="T316">
            <v>3.62</v>
          </cell>
          <cell r="Y316">
            <v>41611</v>
          </cell>
          <cell r="AA316">
            <v>384.66</v>
          </cell>
          <cell r="AF316">
            <v>41611</v>
          </cell>
          <cell r="AH316">
            <v>77.90822</v>
          </cell>
          <cell r="AM316">
            <v>41611</v>
          </cell>
          <cell r="AO316">
            <v>62.442799999999998</v>
          </cell>
          <cell r="AT316">
            <v>41611</v>
          </cell>
          <cell r="AV316">
            <v>37.91375</v>
          </cell>
          <cell r="BA316">
            <v>41611</v>
          </cell>
          <cell r="BC316">
            <v>21.648440000000001</v>
          </cell>
          <cell r="BH316">
            <v>41611</v>
          </cell>
          <cell r="BJ316">
            <v>24.782129999999999</v>
          </cell>
        </row>
        <row r="317">
          <cell r="D317">
            <v>41610</v>
          </cell>
          <cell r="F317">
            <v>167.7936</v>
          </cell>
          <cell r="K317">
            <v>41610</v>
          </cell>
          <cell r="M317">
            <v>19.831949999999999</v>
          </cell>
          <cell r="R317">
            <v>41610</v>
          </cell>
          <cell r="T317">
            <v>3.66</v>
          </cell>
          <cell r="Y317">
            <v>41610</v>
          </cell>
          <cell r="AA317">
            <v>392.3</v>
          </cell>
          <cell r="AF317">
            <v>41610</v>
          </cell>
          <cell r="AH317">
            <v>75.832040000000006</v>
          </cell>
          <cell r="AM317">
            <v>41610</v>
          </cell>
          <cell r="AO317">
            <v>62.336689999999997</v>
          </cell>
          <cell r="AT317">
            <v>41610</v>
          </cell>
          <cell r="AV317">
            <v>37.660049999999998</v>
          </cell>
          <cell r="BA317">
            <v>41610</v>
          </cell>
          <cell r="BC317">
            <v>21.628869999999999</v>
          </cell>
          <cell r="BH317">
            <v>41610</v>
          </cell>
          <cell r="BJ317">
            <v>24.875430000000001</v>
          </cell>
        </row>
        <row r="318">
          <cell r="D318">
            <v>41607</v>
          </cell>
          <cell r="F318">
            <v>169.87352999999999</v>
          </cell>
          <cell r="K318">
            <v>41607</v>
          </cell>
          <cell r="M318">
            <v>19.982399999999998</v>
          </cell>
          <cell r="R318">
            <v>41607</v>
          </cell>
          <cell r="T318">
            <v>3.64</v>
          </cell>
          <cell r="Y318">
            <v>41607</v>
          </cell>
          <cell r="AA318">
            <v>393.62</v>
          </cell>
          <cell r="AF318">
            <v>41607</v>
          </cell>
          <cell r="AH318">
            <v>76.497870000000006</v>
          </cell>
          <cell r="AM318">
            <v>41607</v>
          </cell>
          <cell r="AO318">
            <v>62.317399999999999</v>
          </cell>
          <cell r="AT318">
            <v>41607</v>
          </cell>
          <cell r="AV318">
            <v>37.76341</v>
          </cell>
          <cell r="BA318">
            <v>41607</v>
          </cell>
          <cell r="BC318">
            <v>21.932259999999999</v>
          </cell>
          <cell r="BH318">
            <v>41607</v>
          </cell>
          <cell r="BJ318">
            <v>24.875430000000001</v>
          </cell>
        </row>
        <row r="319">
          <cell r="D319">
            <v>41605</v>
          </cell>
          <cell r="F319">
            <v>169.20228</v>
          </cell>
          <cell r="K319">
            <v>41605</v>
          </cell>
          <cell r="M319">
            <v>20.00121</v>
          </cell>
          <cell r="R319">
            <v>41605</v>
          </cell>
          <cell r="T319">
            <v>3.56</v>
          </cell>
          <cell r="Y319">
            <v>41605</v>
          </cell>
          <cell r="AA319">
            <v>386.71</v>
          </cell>
          <cell r="AF319">
            <v>41605</v>
          </cell>
          <cell r="AH319">
            <v>75.107050000000001</v>
          </cell>
          <cell r="AM319">
            <v>41605</v>
          </cell>
          <cell r="AO319">
            <v>62.191989999999997</v>
          </cell>
          <cell r="AT319">
            <v>41605</v>
          </cell>
          <cell r="AV319">
            <v>37.76341</v>
          </cell>
          <cell r="BA319">
            <v>41605</v>
          </cell>
          <cell r="BC319">
            <v>22.020340000000001</v>
          </cell>
          <cell r="BH319">
            <v>41605</v>
          </cell>
          <cell r="BJ319">
            <v>25.03406</v>
          </cell>
        </row>
        <row r="320">
          <cell r="D320">
            <v>41604</v>
          </cell>
          <cell r="F320">
            <v>167.63288</v>
          </cell>
          <cell r="K320">
            <v>41604</v>
          </cell>
          <cell r="M320">
            <v>19.944790000000001</v>
          </cell>
          <cell r="R320">
            <v>41604</v>
          </cell>
          <cell r="T320">
            <v>3.45</v>
          </cell>
          <cell r="Y320">
            <v>41604</v>
          </cell>
          <cell r="AA320">
            <v>381.37</v>
          </cell>
          <cell r="AF320">
            <v>41604</v>
          </cell>
          <cell r="AH320">
            <v>73.379189999999994</v>
          </cell>
          <cell r="AM320">
            <v>41604</v>
          </cell>
          <cell r="AO320">
            <v>62.6068</v>
          </cell>
          <cell r="AT320">
            <v>41604</v>
          </cell>
          <cell r="AV320">
            <v>37.556699999999999</v>
          </cell>
          <cell r="BA320">
            <v>41604</v>
          </cell>
          <cell r="BC320">
            <v>21.932259999999999</v>
          </cell>
          <cell r="BH320">
            <v>41604</v>
          </cell>
          <cell r="BJ320">
            <v>24.987400000000001</v>
          </cell>
        </row>
        <row r="321">
          <cell r="D321">
            <v>41603</v>
          </cell>
          <cell r="F321">
            <v>169.17391000000001</v>
          </cell>
          <cell r="K321">
            <v>41603</v>
          </cell>
          <cell r="M321">
            <v>20.00121</v>
          </cell>
          <cell r="R321">
            <v>41603</v>
          </cell>
          <cell r="T321">
            <v>3.39</v>
          </cell>
          <cell r="Y321">
            <v>41603</v>
          </cell>
          <cell r="AA321">
            <v>376.64</v>
          </cell>
          <cell r="AF321">
            <v>41603</v>
          </cell>
          <cell r="AH321">
            <v>72.050269999999998</v>
          </cell>
          <cell r="AM321">
            <v>41603</v>
          </cell>
          <cell r="AO321">
            <v>62.809379999999997</v>
          </cell>
          <cell r="AT321">
            <v>41603</v>
          </cell>
          <cell r="AV321">
            <v>37.668669999999999</v>
          </cell>
          <cell r="BA321">
            <v>41603</v>
          </cell>
          <cell r="BC321">
            <v>21.52122</v>
          </cell>
          <cell r="BH321">
            <v>41603</v>
          </cell>
          <cell r="BJ321">
            <v>24.940750000000001</v>
          </cell>
        </row>
        <row r="322">
          <cell r="D322">
            <v>41600</v>
          </cell>
          <cell r="F322">
            <v>171.40511000000001</v>
          </cell>
          <cell r="K322">
            <v>41600</v>
          </cell>
          <cell r="M322">
            <v>20.179880000000001</v>
          </cell>
          <cell r="R322">
            <v>41600</v>
          </cell>
          <cell r="T322">
            <v>3.34</v>
          </cell>
          <cell r="Y322">
            <v>41600</v>
          </cell>
          <cell r="AA322">
            <v>372.31</v>
          </cell>
          <cell r="AF322">
            <v>41600</v>
          </cell>
          <cell r="AH322">
            <v>71.508250000000004</v>
          </cell>
          <cell r="AM322">
            <v>41600</v>
          </cell>
          <cell r="AO322">
            <v>62.722560000000001</v>
          </cell>
          <cell r="AT322">
            <v>41600</v>
          </cell>
          <cell r="AV322">
            <v>37.724649999999997</v>
          </cell>
          <cell r="BA322">
            <v>41600</v>
          </cell>
          <cell r="BC322">
            <v>22.05949</v>
          </cell>
          <cell r="BH322">
            <v>41600</v>
          </cell>
          <cell r="BJ322">
            <v>25.267320000000002</v>
          </cell>
        </row>
        <row r="323">
          <cell r="D323">
            <v>41599</v>
          </cell>
          <cell r="F323">
            <v>174.08065999999999</v>
          </cell>
          <cell r="K323">
            <v>41599</v>
          </cell>
          <cell r="M323">
            <v>20.18928</v>
          </cell>
          <cell r="R323">
            <v>41599</v>
          </cell>
          <cell r="T323">
            <v>3.37</v>
          </cell>
          <cell r="Y323">
            <v>41599</v>
          </cell>
          <cell r="AA323">
            <v>368.92</v>
          </cell>
          <cell r="AF323">
            <v>41599</v>
          </cell>
          <cell r="AH323">
            <v>71.692040000000006</v>
          </cell>
          <cell r="AM323">
            <v>41599</v>
          </cell>
          <cell r="AO323">
            <v>63.040889999999997</v>
          </cell>
          <cell r="AT323">
            <v>41599</v>
          </cell>
          <cell r="AV323">
            <v>37.724649999999997</v>
          </cell>
          <cell r="BA323">
            <v>41599</v>
          </cell>
          <cell r="BC323">
            <v>21.58972</v>
          </cell>
          <cell r="BH323">
            <v>41599</v>
          </cell>
          <cell r="BJ323">
            <v>25.108699999999999</v>
          </cell>
        </row>
        <row r="324">
          <cell r="D324">
            <v>41598</v>
          </cell>
          <cell r="F324">
            <v>175.08280999999999</v>
          </cell>
          <cell r="K324">
            <v>41598</v>
          </cell>
          <cell r="M324">
            <v>19.9636</v>
          </cell>
          <cell r="R324">
            <v>41598</v>
          </cell>
          <cell r="T324">
            <v>3.42</v>
          </cell>
          <cell r="Y324">
            <v>41598</v>
          </cell>
          <cell r="AA324">
            <v>362.57</v>
          </cell>
          <cell r="AF324">
            <v>41598</v>
          </cell>
          <cell r="AH324">
            <v>70.847920000000002</v>
          </cell>
          <cell r="AM324">
            <v>41598</v>
          </cell>
          <cell r="AO324">
            <v>62.491039999999998</v>
          </cell>
          <cell r="AT324">
            <v>41598</v>
          </cell>
          <cell r="AV324">
            <v>37.37941</v>
          </cell>
          <cell r="BA324">
            <v>41598</v>
          </cell>
          <cell r="BC324">
            <v>21.716950000000001</v>
          </cell>
          <cell r="BH324">
            <v>41598</v>
          </cell>
          <cell r="BJ324">
            <v>25.155349999999999</v>
          </cell>
        </row>
        <row r="325">
          <cell r="D325">
            <v>41597</v>
          </cell>
          <cell r="F325">
            <v>175.13953000000001</v>
          </cell>
          <cell r="K325">
            <v>41597</v>
          </cell>
          <cell r="M325">
            <v>20.14226</v>
          </cell>
          <cell r="R325">
            <v>41597</v>
          </cell>
          <cell r="T325">
            <v>3.42</v>
          </cell>
          <cell r="Y325">
            <v>41597</v>
          </cell>
          <cell r="AA325">
            <v>364.94</v>
          </cell>
          <cell r="AF325">
            <v>41597</v>
          </cell>
          <cell r="AH325">
            <v>71.473860000000002</v>
          </cell>
          <cell r="AM325">
            <v>41597</v>
          </cell>
          <cell r="AO325">
            <v>62.645380000000003</v>
          </cell>
          <cell r="AT325">
            <v>41597</v>
          </cell>
          <cell r="AV325">
            <v>37.454059999999998</v>
          </cell>
          <cell r="BA325">
            <v>41597</v>
          </cell>
          <cell r="BC325">
            <v>21.266760000000001</v>
          </cell>
          <cell r="BH325">
            <v>41597</v>
          </cell>
          <cell r="BJ325">
            <v>25.220669999999998</v>
          </cell>
        </row>
        <row r="326">
          <cell r="D326">
            <v>41596</v>
          </cell>
          <cell r="F326">
            <v>174.40209999999999</v>
          </cell>
          <cell r="K326">
            <v>41596</v>
          </cell>
          <cell r="M326">
            <v>20.020019999999999</v>
          </cell>
          <cell r="R326">
            <v>41596</v>
          </cell>
          <cell r="T326">
            <v>3.47</v>
          </cell>
          <cell r="Y326">
            <v>41596</v>
          </cell>
          <cell r="AA326">
            <v>366.18</v>
          </cell>
          <cell r="AF326">
            <v>41596</v>
          </cell>
          <cell r="AH326">
            <v>71.347160000000002</v>
          </cell>
          <cell r="AM326">
            <v>41596</v>
          </cell>
          <cell r="AO326">
            <v>62.442799999999998</v>
          </cell>
          <cell r="AT326">
            <v>41596</v>
          </cell>
          <cell r="AV326">
            <v>37.482050000000001</v>
          </cell>
          <cell r="BA326">
            <v>41596</v>
          </cell>
          <cell r="BC326">
            <v>21.305910000000001</v>
          </cell>
          <cell r="BH326">
            <v>41596</v>
          </cell>
          <cell r="BJ326">
            <v>25.397950000000002</v>
          </cell>
        </row>
        <row r="327">
          <cell r="D327">
            <v>41593</v>
          </cell>
          <cell r="F327">
            <v>173.19195999999999</v>
          </cell>
          <cell r="K327">
            <v>41593</v>
          </cell>
          <cell r="M327">
            <v>20.250399999999999</v>
          </cell>
          <cell r="R327">
            <v>41593</v>
          </cell>
          <cell r="T327">
            <v>3.5</v>
          </cell>
          <cell r="Y327">
            <v>41593</v>
          </cell>
          <cell r="AA327">
            <v>369.17</v>
          </cell>
          <cell r="AF327">
            <v>41593</v>
          </cell>
          <cell r="AH327">
            <v>72.222369999999998</v>
          </cell>
          <cell r="AM327">
            <v>41593</v>
          </cell>
          <cell r="AO327">
            <v>62.548920000000003</v>
          </cell>
          <cell r="AT327">
            <v>41593</v>
          </cell>
          <cell r="AV327">
            <v>37.528700000000001</v>
          </cell>
          <cell r="BA327">
            <v>41593</v>
          </cell>
          <cell r="BC327">
            <v>22.000769999999999</v>
          </cell>
          <cell r="BH327">
            <v>41593</v>
          </cell>
          <cell r="BJ327">
            <v>25.379290000000001</v>
          </cell>
        </row>
        <row r="328">
          <cell r="D328">
            <v>41592</v>
          </cell>
          <cell r="F328">
            <v>172.26544999999999</v>
          </cell>
          <cell r="K328">
            <v>41592</v>
          </cell>
          <cell r="M328">
            <v>20.090540000000001</v>
          </cell>
          <cell r="R328">
            <v>41592</v>
          </cell>
          <cell r="T328">
            <v>3.52</v>
          </cell>
          <cell r="Y328">
            <v>41592</v>
          </cell>
          <cell r="AA328">
            <v>367.39600000000002</v>
          </cell>
          <cell r="AF328">
            <v>41592</v>
          </cell>
          <cell r="AH328">
            <v>72.658320000000003</v>
          </cell>
          <cell r="AM328">
            <v>41592</v>
          </cell>
          <cell r="AO328">
            <v>62.230580000000003</v>
          </cell>
          <cell r="AT328">
            <v>41592</v>
          </cell>
          <cell r="AV328">
            <v>37.519370000000002</v>
          </cell>
          <cell r="BA328">
            <v>41592</v>
          </cell>
          <cell r="BC328">
            <v>22.206289999999999</v>
          </cell>
          <cell r="BH328">
            <v>41592</v>
          </cell>
          <cell r="BJ328">
            <v>25.183350000000001</v>
          </cell>
        </row>
        <row r="329">
          <cell r="D329">
            <v>41591</v>
          </cell>
          <cell r="F329">
            <v>173.53231</v>
          </cell>
          <cell r="K329">
            <v>41591</v>
          </cell>
          <cell r="M329">
            <v>22.563659999999999</v>
          </cell>
          <cell r="R329">
            <v>41591</v>
          </cell>
          <cell r="T329">
            <v>3.54</v>
          </cell>
          <cell r="Y329">
            <v>41591</v>
          </cell>
          <cell r="AA329">
            <v>356.22</v>
          </cell>
          <cell r="AF329">
            <v>41591</v>
          </cell>
          <cell r="AH329">
            <v>71.622979999999998</v>
          </cell>
          <cell r="AM329">
            <v>41591</v>
          </cell>
          <cell r="AO329">
            <v>61.67107</v>
          </cell>
          <cell r="AT329">
            <v>41591</v>
          </cell>
          <cell r="AV329">
            <v>37.435389999999998</v>
          </cell>
          <cell r="BA329">
            <v>41591</v>
          </cell>
          <cell r="BC329">
            <v>22.529260000000001</v>
          </cell>
          <cell r="BH329">
            <v>41591</v>
          </cell>
          <cell r="BJ329">
            <v>25.332630000000002</v>
          </cell>
        </row>
        <row r="330">
          <cell r="D330">
            <v>41590</v>
          </cell>
          <cell r="F330">
            <v>173.07850999999999</v>
          </cell>
          <cell r="K330">
            <v>41590</v>
          </cell>
          <cell r="M330">
            <v>22.31447</v>
          </cell>
          <cell r="R330">
            <v>41590</v>
          </cell>
          <cell r="T330">
            <v>3.44</v>
          </cell>
          <cell r="Y330">
            <v>41590</v>
          </cell>
          <cell r="AA330">
            <v>349.53</v>
          </cell>
          <cell r="AF330">
            <v>41590</v>
          </cell>
          <cell r="AH330">
            <v>71.537139999999994</v>
          </cell>
          <cell r="AM330">
            <v>41590</v>
          </cell>
          <cell r="AO330">
            <v>60.77393</v>
          </cell>
          <cell r="AT330">
            <v>41590</v>
          </cell>
          <cell r="AV330">
            <v>37.211449999999999</v>
          </cell>
          <cell r="BA330">
            <v>41590</v>
          </cell>
          <cell r="BC330">
            <v>22.22587</v>
          </cell>
          <cell r="BH330">
            <v>41590</v>
          </cell>
          <cell r="BJ330">
            <v>25.239329999999999</v>
          </cell>
        </row>
        <row r="331">
          <cell r="D331">
            <v>41589</v>
          </cell>
          <cell r="F331">
            <v>172.89887999999999</v>
          </cell>
          <cell r="K331">
            <v>41589</v>
          </cell>
          <cell r="M331">
            <v>22.046469999999999</v>
          </cell>
          <cell r="R331">
            <v>41589</v>
          </cell>
          <cell r="T331">
            <v>3.34</v>
          </cell>
          <cell r="Y331">
            <v>41589</v>
          </cell>
          <cell r="AA331">
            <v>354.37799999999999</v>
          </cell>
          <cell r="AF331">
            <v>41589</v>
          </cell>
          <cell r="AH331">
            <v>71.404799999999994</v>
          </cell>
          <cell r="AM331">
            <v>41589</v>
          </cell>
          <cell r="AO331">
            <v>60.735340000000001</v>
          </cell>
          <cell r="AT331">
            <v>41589</v>
          </cell>
          <cell r="AV331">
            <v>37.202120000000001</v>
          </cell>
          <cell r="BA331">
            <v>41589</v>
          </cell>
          <cell r="BC331">
            <v>22.382459999999998</v>
          </cell>
          <cell r="BH331">
            <v>41589</v>
          </cell>
          <cell r="BJ331">
            <v>25.202010000000001</v>
          </cell>
        </row>
        <row r="332">
          <cell r="D332">
            <v>41586</v>
          </cell>
          <cell r="F332">
            <v>170.16660999999999</v>
          </cell>
          <cell r="K332">
            <v>41586</v>
          </cell>
          <cell r="M332">
            <v>22.107589999999998</v>
          </cell>
          <cell r="R332">
            <v>41586</v>
          </cell>
          <cell r="T332">
            <v>3.27</v>
          </cell>
          <cell r="Y332">
            <v>41586</v>
          </cell>
          <cell r="AA332">
            <v>350.31</v>
          </cell>
          <cell r="AF332">
            <v>41586</v>
          </cell>
          <cell r="AH332">
            <v>71.612799999999993</v>
          </cell>
          <cell r="AM332">
            <v>41586</v>
          </cell>
          <cell r="AO332">
            <v>60.098660000000002</v>
          </cell>
          <cell r="AT332">
            <v>41586</v>
          </cell>
          <cell r="AV332">
            <v>37.370080000000002</v>
          </cell>
          <cell r="BA332">
            <v>41586</v>
          </cell>
          <cell r="BC332">
            <v>22.088850000000001</v>
          </cell>
          <cell r="BH332">
            <v>41586</v>
          </cell>
          <cell r="BJ332">
            <v>25.239329999999999</v>
          </cell>
        </row>
        <row r="333">
          <cell r="D333">
            <v>41585</v>
          </cell>
          <cell r="F333">
            <v>170.17606000000001</v>
          </cell>
          <cell r="K333">
            <v>41585</v>
          </cell>
          <cell r="M333">
            <v>21.731449999999999</v>
          </cell>
          <cell r="R333">
            <v>41585</v>
          </cell>
          <cell r="T333">
            <v>3.28</v>
          </cell>
          <cell r="Y333">
            <v>41585</v>
          </cell>
          <cell r="AA333">
            <v>343.56</v>
          </cell>
          <cell r="AF333">
            <v>41585</v>
          </cell>
          <cell r="AH333">
            <v>70.502899999999997</v>
          </cell>
          <cell r="AM333">
            <v>41585</v>
          </cell>
          <cell r="AO333">
            <v>58.670960000000001</v>
          </cell>
          <cell r="AT333">
            <v>41585</v>
          </cell>
          <cell r="AV333">
            <v>37.1648</v>
          </cell>
          <cell r="BA333">
            <v>41585</v>
          </cell>
          <cell r="BC333">
            <v>22.079059999999998</v>
          </cell>
          <cell r="BH333">
            <v>41585</v>
          </cell>
          <cell r="BJ333">
            <v>24.81945</v>
          </cell>
        </row>
        <row r="334">
          <cell r="D334">
            <v>41584</v>
          </cell>
          <cell r="F334">
            <v>169.41027</v>
          </cell>
          <cell r="K334">
            <v>41584</v>
          </cell>
          <cell r="M334">
            <v>21.891310000000001</v>
          </cell>
          <cell r="R334">
            <v>41584</v>
          </cell>
          <cell r="T334">
            <v>3.32</v>
          </cell>
          <cell r="Y334">
            <v>41584</v>
          </cell>
          <cell r="AA334">
            <v>356.18</v>
          </cell>
          <cell r="AF334">
            <v>41584</v>
          </cell>
          <cell r="AH334">
            <v>71.662329999999997</v>
          </cell>
          <cell r="AM334">
            <v>41584</v>
          </cell>
          <cell r="AO334">
            <v>59.085769999999997</v>
          </cell>
          <cell r="AT334">
            <v>41584</v>
          </cell>
          <cell r="AV334">
            <v>37.370080000000002</v>
          </cell>
          <cell r="BA334">
            <v>41584</v>
          </cell>
          <cell r="BC334">
            <v>22.460750000000001</v>
          </cell>
          <cell r="BH334">
            <v>41584</v>
          </cell>
          <cell r="BJ334">
            <v>25.09937</v>
          </cell>
        </row>
        <row r="335">
          <cell r="D335">
            <v>41583</v>
          </cell>
          <cell r="F335">
            <v>167.24525</v>
          </cell>
          <cell r="K335">
            <v>41583</v>
          </cell>
          <cell r="M335">
            <v>21.689129999999999</v>
          </cell>
          <cell r="R335">
            <v>41583</v>
          </cell>
          <cell r="T335">
            <v>3.33</v>
          </cell>
          <cell r="Y335">
            <v>41583</v>
          </cell>
          <cell r="AA335">
            <v>358.892</v>
          </cell>
          <cell r="AF335">
            <v>41583</v>
          </cell>
          <cell r="AH335">
            <v>71.865790000000004</v>
          </cell>
          <cell r="AM335">
            <v>41583</v>
          </cell>
          <cell r="AO335">
            <v>58.42015</v>
          </cell>
          <cell r="AT335">
            <v>41583</v>
          </cell>
          <cell r="AV335">
            <v>36.856879999999997</v>
          </cell>
          <cell r="BA335">
            <v>41583</v>
          </cell>
          <cell r="BC335">
            <v>22.176929999999999</v>
          </cell>
          <cell r="BH335">
            <v>41583</v>
          </cell>
          <cell r="BJ335">
            <v>24.651499999999999</v>
          </cell>
        </row>
        <row r="336">
          <cell r="D336">
            <v>41582</v>
          </cell>
          <cell r="F336">
            <v>169.52095</v>
          </cell>
          <cell r="K336">
            <v>41582</v>
          </cell>
          <cell r="M336">
            <v>21.233070000000001</v>
          </cell>
          <cell r="R336">
            <v>41582</v>
          </cell>
          <cell r="T336">
            <v>3.32</v>
          </cell>
          <cell r="Y336">
            <v>41582</v>
          </cell>
          <cell r="AA336">
            <v>358.74</v>
          </cell>
          <cell r="AF336">
            <v>41582</v>
          </cell>
          <cell r="AH336">
            <v>72.043729999999996</v>
          </cell>
          <cell r="AM336">
            <v>41582</v>
          </cell>
          <cell r="AO336">
            <v>59.616329999999998</v>
          </cell>
          <cell r="AT336">
            <v>41582</v>
          </cell>
          <cell r="AV336">
            <v>36.866210000000002</v>
          </cell>
          <cell r="BA336">
            <v>41582</v>
          </cell>
          <cell r="BC336">
            <v>22.245439999999999</v>
          </cell>
          <cell r="BH336">
            <v>41582</v>
          </cell>
          <cell r="BJ336">
            <v>24.660830000000001</v>
          </cell>
        </row>
        <row r="337">
          <cell r="D337">
            <v>41579</v>
          </cell>
          <cell r="F337">
            <v>168.54297</v>
          </cell>
          <cell r="K337">
            <v>41579</v>
          </cell>
          <cell r="M337">
            <v>21.218959999999999</v>
          </cell>
          <cell r="R337">
            <v>41579</v>
          </cell>
          <cell r="T337">
            <v>3.31</v>
          </cell>
          <cell r="Y337">
            <v>41579</v>
          </cell>
          <cell r="AA337">
            <v>359.00200000000001</v>
          </cell>
          <cell r="AF337">
            <v>41579</v>
          </cell>
          <cell r="AH337">
            <v>71.124629999999996</v>
          </cell>
          <cell r="AM337">
            <v>41579</v>
          </cell>
          <cell r="AO337">
            <v>58.121099999999998</v>
          </cell>
          <cell r="AT337">
            <v>41579</v>
          </cell>
          <cell r="AV337">
            <v>36.959519999999998</v>
          </cell>
          <cell r="BA337">
            <v>41579</v>
          </cell>
          <cell r="BC337">
            <v>21.902899999999999</v>
          </cell>
          <cell r="BH337">
            <v>41579</v>
          </cell>
          <cell r="BJ337">
            <v>24.763470000000002</v>
          </cell>
        </row>
        <row r="338">
          <cell r="D338">
            <v>41578</v>
          </cell>
          <cell r="F338">
            <v>168.52415999999999</v>
          </cell>
          <cell r="K338">
            <v>41578</v>
          </cell>
          <cell r="M338">
            <v>21.214259999999999</v>
          </cell>
          <cell r="R338">
            <v>41578</v>
          </cell>
          <cell r="T338">
            <v>3.34</v>
          </cell>
          <cell r="Y338">
            <v>41578</v>
          </cell>
          <cell r="AA338">
            <v>364.03</v>
          </cell>
          <cell r="AF338">
            <v>41578</v>
          </cell>
          <cell r="AH338">
            <v>71.490080000000006</v>
          </cell>
          <cell r="AM338">
            <v>41578</v>
          </cell>
          <cell r="AO338">
            <v>56.58728</v>
          </cell>
          <cell r="AT338">
            <v>41578</v>
          </cell>
          <cell r="AV338">
            <v>36.922199999999997</v>
          </cell>
          <cell r="BA338">
            <v>41578</v>
          </cell>
          <cell r="BC338">
            <v>21.628869999999999</v>
          </cell>
          <cell r="BH338">
            <v>41578</v>
          </cell>
          <cell r="BJ338">
            <v>24.390239999999999</v>
          </cell>
        </row>
        <row r="339">
          <cell r="D339">
            <v>41577</v>
          </cell>
          <cell r="F339">
            <v>169.40810999999999</v>
          </cell>
          <cell r="K339">
            <v>41577</v>
          </cell>
          <cell r="M339">
            <v>21.35061</v>
          </cell>
          <cell r="R339">
            <v>41577</v>
          </cell>
          <cell r="T339">
            <v>3.3</v>
          </cell>
          <cell r="Y339">
            <v>41577</v>
          </cell>
          <cell r="AA339">
            <v>361.08</v>
          </cell>
          <cell r="AF339">
            <v>41577</v>
          </cell>
          <cell r="AH339">
            <v>71.79016</v>
          </cell>
          <cell r="AM339">
            <v>41577</v>
          </cell>
          <cell r="AO339">
            <v>53.712580000000003</v>
          </cell>
          <cell r="AT339">
            <v>41577</v>
          </cell>
          <cell r="AV339">
            <v>36.968850000000003</v>
          </cell>
          <cell r="BA339">
            <v>41577</v>
          </cell>
          <cell r="BC339">
            <v>21.433129999999998</v>
          </cell>
          <cell r="BH339">
            <v>41577</v>
          </cell>
          <cell r="BJ339">
            <v>24.604849999999999</v>
          </cell>
        </row>
        <row r="340">
          <cell r="D340">
            <v>41576</v>
          </cell>
          <cell r="F340">
            <v>171.26064</v>
          </cell>
          <cell r="K340">
            <v>41576</v>
          </cell>
          <cell r="M340">
            <v>21.463450000000002</v>
          </cell>
          <cell r="R340">
            <v>41576</v>
          </cell>
          <cell r="T340">
            <v>3.33</v>
          </cell>
          <cell r="Y340">
            <v>41576</v>
          </cell>
          <cell r="AA340">
            <v>362.7</v>
          </cell>
          <cell r="AF340">
            <v>41576</v>
          </cell>
          <cell r="AH340">
            <v>70.666179999999997</v>
          </cell>
          <cell r="AM340">
            <v>41576</v>
          </cell>
          <cell r="AO340">
            <v>54.165970000000002</v>
          </cell>
          <cell r="AT340">
            <v>41576</v>
          </cell>
          <cell r="AV340">
            <v>37.136809999999997</v>
          </cell>
          <cell r="BA340">
            <v>41576</v>
          </cell>
          <cell r="BC340">
            <v>21.775670000000002</v>
          </cell>
          <cell r="BH340">
            <v>41576</v>
          </cell>
          <cell r="BJ340">
            <v>24.455559999999998</v>
          </cell>
        </row>
        <row r="341">
          <cell r="D341">
            <v>41575</v>
          </cell>
          <cell r="F341">
            <v>166.77507</v>
          </cell>
          <cell r="K341">
            <v>41575</v>
          </cell>
          <cell r="M341">
            <v>21.20486</v>
          </cell>
          <cell r="R341">
            <v>41575</v>
          </cell>
          <cell r="T341">
            <v>3.32</v>
          </cell>
          <cell r="Y341">
            <v>41575</v>
          </cell>
          <cell r="AA341">
            <v>358.16</v>
          </cell>
          <cell r="AF341">
            <v>41575</v>
          </cell>
          <cell r="AH341">
            <v>72.471270000000004</v>
          </cell>
          <cell r="AM341">
            <v>41575</v>
          </cell>
          <cell r="AO341">
            <v>53.58717</v>
          </cell>
          <cell r="AT341">
            <v>41575</v>
          </cell>
          <cell r="AV341">
            <v>36.959519999999998</v>
          </cell>
          <cell r="BA341">
            <v>41575</v>
          </cell>
          <cell r="BC341">
            <v>21.96162</v>
          </cell>
          <cell r="BH341">
            <v>41575</v>
          </cell>
          <cell r="BJ341">
            <v>24.343589999999999</v>
          </cell>
        </row>
        <row r="342">
          <cell r="D342">
            <v>41572</v>
          </cell>
          <cell r="F342">
            <v>166.30488</v>
          </cell>
          <cell r="K342">
            <v>41572</v>
          </cell>
          <cell r="M342">
            <v>21.11552</v>
          </cell>
          <cell r="R342">
            <v>41572</v>
          </cell>
          <cell r="T342">
            <v>3.34</v>
          </cell>
          <cell r="Y342">
            <v>41572</v>
          </cell>
          <cell r="AA342">
            <v>363.39</v>
          </cell>
          <cell r="AF342">
            <v>41572</v>
          </cell>
          <cell r="AH342">
            <v>71.935410000000005</v>
          </cell>
          <cell r="AM342">
            <v>41572</v>
          </cell>
          <cell r="AO342">
            <v>53.008369999999999</v>
          </cell>
          <cell r="AT342">
            <v>41572</v>
          </cell>
          <cell r="AV342">
            <v>36.418329999999997</v>
          </cell>
          <cell r="BA342">
            <v>41572</v>
          </cell>
          <cell r="BC342">
            <v>21.814820000000001</v>
          </cell>
          <cell r="BH342">
            <v>41572</v>
          </cell>
          <cell r="BJ342">
            <v>24.147649999999999</v>
          </cell>
        </row>
        <row r="343">
          <cell r="D343">
            <v>41571</v>
          </cell>
          <cell r="F343">
            <v>167.19823</v>
          </cell>
          <cell r="K343">
            <v>41571</v>
          </cell>
          <cell r="M343">
            <v>21.039819999999999</v>
          </cell>
          <cell r="R343">
            <v>41571</v>
          </cell>
          <cell r="T343">
            <v>3.23</v>
          </cell>
          <cell r="Y343">
            <v>41571</v>
          </cell>
          <cell r="AA343">
            <v>332.21</v>
          </cell>
          <cell r="AF343">
            <v>41571</v>
          </cell>
          <cell r="AH343">
            <v>72.749459999999999</v>
          </cell>
          <cell r="AM343">
            <v>41571</v>
          </cell>
          <cell r="AO343">
            <v>53.075899999999997</v>
          </cell>
          <cell r="AT343">
            <v>41571</v>
          </cell>
          <cell r="AV343">
            <v>36.203719999999997</v>
          </cell>
          <cell r="BA343">
            <v>41571</v>
          </cell>
          <cell r="BC343">
            <v>21.746310000000001</v>
          </cell>
          <cell r="BH343">
            <v>41571</v>
          </cell>
          <cell r="BJ343">
            <v>24.20363</v>
          </cell>
        </row>
        <row r="344">
          <cell r="D344">
            <v>41570</v>
          </cell>
          <cell r="F344">
            <v>165.28927999999999</v>
          </cell>
          <cell r="K344">
            <v>41570</v>
          </cell>
          <cell r="M344">
            <v>20.92745</v>
          </cell>
          <cell r="R344">
            <v>41570</v>
          </cell>
          <cell r="T344">
            <v>3.14</v>
          </cell>
          <cell r="Y344">
            <v>41570</v>
          </cell>
          <cell r="AA344">
            <v>326.75599999999997</v>
          </cell>
          <cell r="AF344">
            <v>41570</v>
          </cell>
          <cell r="AH344">
            <v>71.798910000000006</v>
          </cell>
          <cell r="AM344">
            <v>41570</v>
          </cell>
          <cell r="AO344">
            <v>52.87332</v>
          </cell>
          <cell r="AT344">
            <v>41570</v>
          </cell>
          <cell r="AV344">
            <v>36.474319999999999</v>
          </cell>
          <cell r="BA344">
            <v>41570</v>
          </cell>
          <cell r="BC344">
            <v>21.560359999999999</v>
          </cell>
          <cell r="BH344">
            <v>41570</v>
          </cell>
          <cell r="BJ344">
            <v>23.979700000000001</v>
          </cell>
        </row>
        <row r="345">
          <cell r="D345">
            <v>41569</v>
          </cell>
          <cell r="F345">
            <v>164.53698</v>
          </cell>
          <cell r="K345">
            <v>41569</v>
          </cell>
          <cell r="M345">
            <v>21.29889</v>
          </cell>
          <cell r="R345">
            <v>41569</v>
          </cell>
          <cell r="T345">
            <v>3.18</v>
          </cell>
          <cell r="Y345">
            <v>41569</v>
          </cell>
          <cell r="AA345">
            <v>332.54</v>
          </cell>
          <cell r="AF345">
            <v>41569</v>
          </cell>
          <cell r="AH345">
            <v>71.102410000000006</v>
          </cell>
          <cell r="AM345">
            <v>41569</v>
          </cell>
          <cell r="AO345">
            <v>52.979430000000001</v>
          </cell>
          <cell r="AT345">
            <v>41569</v>
          </cell>
          <cell r="AV345">
            <v>36.474319999999999</v>
          </cell>
          <cell r="BA345">
            <v>41569</v>
          </cell>
          <cell r="BC345">
            <v>21.403770000000002</v>
          </cell>
          <cell r="BH345">
            <v>41569</v>
          </cell>
          <cell r="BJ345">
            <v>24.278269999999999</v>
          </cell>
        </row>
        <row r="346">
          <cell r="D346">
            <v>41568</v>
          </cell>
          <cell r="F346">
            <v>162.55278999999999</v>
          </cell>
          <cell r="K346">
            <v>41568</v>
          </cell>
          <cell r="M346">
            <v>21.562190000000001</v>
          </cell>
          <cell r="R346">
            <v>41568</v>
          </cell>
          <cell r="T346">
            <v>3.37</v>
          </cell>
          <cell r="Y346">
            <v>41568</v>
          </cell>
          <cell r="AA346">
            <v>326.44</v>
          </cell>
          <cell r="AF346">
            <v>41568</v>
          </cell>
          <cell r="AH346">
            <v>71.306809999999999</v>
          </cell>
          <cell r="AM346">
            <v>41568</v>
          </cell>
          <cell r="AO346">
            <v>53.616109999999999</v>
          </cell>
          <cell r="AT346">
            <v>41568</v>
          </cell>
          <cell r="AV346">
            <v>36.222380000000001</v>
          </cell>
          <cell r="BA346">
            <v>41568</v>
          </cell>
          <cell r="BC346">
            <v>21.276540000000001</v>
          </cell>
          <cell r="BH346">
            <v>41568</v>
          </cell>
          <cell r="BJ346">
            <v>24.390239999999999</v>
          </cell>
        </row>
        <row r="347">
          <cell r="D347">
            <v>41565</v>
          </cell>
          <cell r="F347">
            <v>163.41793999999999</v>
          </cell>
          <cell r="K347">
            <v>41565</v>
          </cell>
          <cell r="M347">
            <v>21.591339999999999</v>
          </cell>
          <cell r="R347">
            <v>41565</v>
          </cell>
          <cell r="T347">
            <v>3.53</v>
          </cell>
          <cell r="Y347">
            <v>41565</v>
          </cell>
          <cell r="AA347">
            <v>328.93099999999998</v>
          </cell>
          <cell r="AF347">
            <v>41565</v>
          </cell>
          <cell r="AH347">
            <v>69.601010000000002</v>
          </cell>
          <cell r="AM347">
            <v>41565</v>
          </cell>
          <cell r="AO347">
            <v>53.944099999999999</v>
          </cell>
          <cell r="AT347">
            <v>41565</v>
          </cell>
          <cell r="AV347">
            <v>36.18506</v>
          </cell>
          <cell r="BA347">
            <v>41565</v>
          </cell>
          <cell r="BC347">
            <v>21.89311</v>
          </cell>
          <cell r="BH347">
            <v>41565</v>
          </cell>
          <cell r="BJ347">
            <v>23.839739999999999</v>
          </cell>
        </row>
        <row r="348">
          <cell r="D348">
            <v>41564</v>
          </cell>
          <cell r="F348">
            <v>164.40532999999999</v>
          </cell>
          <cell r="K348">
            <v>41564</v>
          </cell>
          <cell r="M348">
            <v>21.422080000000001</v>
          </cell>
          <cell r="R348">
            <v>41564</v>
          </cell>
          <cell r="T348">
            <v>4.09</v>
          </cell>
          <cell r="Y348">
            <v>41564</v>
          </cell>
          <cell r="AA348">
            <v>310.77</v>
          </cell>
          <cell r="AF348">
            <v>41564</v>
          </cell>
          <cell r="AH348">
            <v>69.000590000000003</v>
          </cell>
          <cell r="AM348">
            <v>41564</v>
          </cell>
          <cell r="AO348">
            <v>54.590420000000002</v>
          </cell>
          <cell r="AT348">
            <v>41564</v>
          </cell>
          <cell r="AV348">
            <v>35.97045</v>
          </cell>
          <cell r="BA348">
            <v>41564</v>
          </cell>
          <cell r="BC348">
            <v>21.78546</v>
          </cell>
          <cell r="BH348">
            <v>41564</v>
          </cell>
          <cell r="BJ348">
            <v>23.02797</v>
          </cell>
        </row>
        <row r="349">
          <cell r="D349">
            <v>41563</v>
          </cell>
          <cell r="F349">
            <v>175.59576000000001</v>
          </cell>
          <cell r="K349">
            <v>41563</v>
          </cell>
          <cell r="M349">
            <v>21.62331</v>
          </cell>
          <cell r="R349">
            <v>41563</v>
          </cell>
          <cell r="T349">
            <v>4.09</v>
          </cell>
          <cell r="Y349">
            <v>41563</v>
          </cell>
          <cell r="AA349">
            <v>310.49</v>
          </cell>
          <cell r="AF349">
            <v>41563</v>
          </cell>
          <cell r="AH349">
            <v>68.537490000000005</v>
          </cell>
          <cell r="AM349">
            <v>41563</v>
          </cell>
          <cell r="AO349">
            <v>53.577530000000003</v>
          </cell>
          <cell r="AT349">
            <v>41563</v>
          </cell>
          <cell r="AV349">
            <v>35.457250000000002</v>
          </cell>
          <cell r="BA349">
            <v>41563</v>
          </cell>
          <cell r="BC349">
            <v>21.570150000000002</v>
          </cell>
          <cell r="BH349">
            <v>41563</v>
          </cell>
          <cell r="BJ349">
            <v>22.729389999999999</v>
          </cell>
        </row>
        <row r="350">
          <cell r="D350">
            <v>41562</v>
          </cell>
          <cell r="F350">
            <v>173.64919</v>
          </cell>
          <cell r="K350">
            <v>41562</v>
          </cell>
          <cell r="M350">
            <v>21.797270000000001</v>
          </cell>
          <cell r="R350">
            <v>41562</v>
          </cell>
          <cell r="T350">
            <v>4.0199999999999996</v>
          </cell>
          <cell r="Y350">
            <v>41562</v>
          </cell>
          <cell r="AA350">
            <v>306.39999999999998</v>
          </cell>
          <cell r="AF350">
            <v>41562</v>
          </cell>
          <cell r="AH350">
            <v>68.204589999999996</v>
          </cell>
          <cell r="AM350">
            <v>41562</v>
          </cell>
          <cell r="AO350">
            <v>52.651449999999997</v>
          </cell>
          <cell r="AT350">
            <v>41562</v>
          </cell>
          <cell r="AV350">
            <v>35.14</v>
          </cell>
          <cell r="BA350">
            <v>41562</v>
          </cell>
          <cell r="BC350">
            <v>21.65823</v>
          </cell>
          <cell r="BH350">
            <v>41562</v>
          </cell>
          <cell r="BJ350">
            <v>22.57077</v>
          </cell>
        </row>
        <row r="351">
          <cell r="D351">
            <v>41561</v>
          </cell>
          <cell r="F351">
            <v>175.82145</v>
          </cell>
          <cell r="K351">
            <v>41561</v>
          </cell>
          <cell r="M351">
            <v>21.94773</v>
          </cell>
          <cell r="R351">
            <v>41561</v>
          </cell>
          <cell r="T351">
            <v>3.97</v>
          </cell>
          <cell r="Y351">
            <v>41561</v>
          </cell>
          <cell r="AA351">
            <v>310.7</v>
          </cell>
          <cell r="AF351">
            <v>41561</v>
          </cell>
          <cell r="AH351">
            <v>67.843509999999995</v>
          </cell>
          <cell r="AM351">
            <v>41561</v>
          </cell>
          <cell r="AO351">
            <v>52.940849999999998</v>
          </cell>
          <cell r="AT351">
            <v>41561</v>
          </cell>
          <cell r="AV351">
            <v>35.373269999999998</v>
          </cell>
          <cell r="BA351">
            <v>41561</v>
          </cell>
          <cell r="BC351">
            <v>21.697379999999999</v>
          </cell>
          <cell r="BH351">
            <v>41561</v>
          </cell>
          <cell r="BJ351">
            <v>22.748049999999999</v>
          </cell>
        </row>
        <row r="352">
          <cell r="D352">
            <v>41558</v>
          </cell>
          <cell r="F352">
            <v>175.05975000000001</v>
          </cell>
          <cell r="K352">
            <v>41558</v>
          </cell>
          <cell r="M352">
            <v>21.891310000000001</v>
          </cell>
          <cell r="R352">
            <v>41558</v>
          </cell>
          <cell r="T352">
            <v>3.83</v>
          </cell>
          <cell r="Y352">
            <v>41558</v>
          </cell>
          <cell r="AA352">
            <v>310.88900000000001</v>
          </cell>
          <cell r="AF352">
            <v>41558</v>
          </cell>
          <cell r="AH352">
            <v>67.402019999999993</v>
          </cell>
          <cell r="AM352">
            <v>41558</v>
          </cell>
          <cell r="AO352">
            <v>52.73827</v>
          </cell>
          <cell r="AT352">
            <v>41558</v>
          </cell>
          <cell r="AV352">
            <v>35.242640000000002</v>
          </cell>
          <cell r="BA352">
            <v>41558</v>
          </cell>
          <cell r="BC352">
            <v>21.78546</v>
          </cell>
          <cell r="BH352">
            <v>41558</v>
          </cell>
          <cell r="BJ352">
            <v>22.76671</v>
          </cell>
        </row>
        <row r="353">
          <cell r="D353">
            <v>41557</v>
          </cell>
          <cell r="F353">
            <v>173.75263000000001</v>
          </cell>
          <cell r="K353">
            <v>41557</v>
          </cell>
          <cell r="M353">
            <v>21.637419999999999</v>
          </cell>
          <cell r="R353">
            <v>41557</v>
          </cell>
          <cell r="T353">
            <v>3.79</v>
          </cell>
          <cell r="Y353">
            <v>41557</v>
          </cell>
          <cell r="AA353">
            <v>305.17399999999998</v>
          </cell>
          <cell r="AF353">
            <v>41557</v>
          </cell>
          <cell r="AH353">
            <v>66.967910000000003</v>
          </cell>
          <cell r="AM353">
            <v>41557</v>
          </cell>
          <cell r="AO353">
            <v>52.767209999999999</v>
          </cell>
          <cell r="AT353">
            <v>41557</v>
          </cell>
          <cell r="AV353">
            <v>35.25197</v>
          </cell>
          <cell r="BA353">
            <v>41557</v>
          </cell>
          <cell r="BC353">
            <v>21.345050000000001</v>
          </cell>
          <cell r="BH353">
            <v>41557</v>
          </cell>
          <cell r="BJ353">
            <v>22.626760000000001</v>
          </cell>
        </row>
        <row r="354">
          <cell r="D354">
            <v>41556</v>
          </cell>
          <cell r="F354">
            <v>170.50835000000001</v>
          </cell>
          <cell r="K354">
            <v>41556</v>
          </cell>
          <cell r="M354">
            <v>21.15784</v>
          </cell>
          <cell r="R354">
            <v>41556</v>
          </cell>
          <cell r="T354">
            <v>3.65</v>
          </cell>
          <cell r="Y354">
            <v>41556</v>
          </cell>
          <cell r="AA354">
            <v>298.23</v>
          </cell>
          <cell r="AF354">
            <v>41556</v>
          </cell>
          <cell r="AH354">
            <v>66.550759999999997</v>
          </cell>
          <cell r="AM354">
            <v>41556</v>
          </cell>
          <cell r="AO354">
            <v>51.079039999999999</v>
          </cell>
          <cell r="AT354">
            <v>41556</v>
          </cell>
          <cell r="AV354">
            <v>34.59881</v>
          </cell>
          <cell r="BA354">
            <v>41556</v>
          </cell>
          <cell r="BC354">
            <v>20.982939999999999</v>
          </cell>
          <cell r="BH354">
            <v>41556</v>
          </cell>
          <cell r="BJ354">
            <v>21.992270000000001</v>
          </cell>
        </row>
        <row r="355">
          <cell r="D355">
            <v>41555</v>
          </cell>
          <cell r="F355">
            <v>168.06338</v>
          </cell>
          <cell r="K355">
            <v>41555</v>
          </cell>
          <cell r="M355">
            <v>21.284790000000001</v>
          </cell>
          <cell r="R355">
            <v>41555</v>
          </cell>
          <cell r="T355">
            <v>3.72</v>
          </cell>
          <cell r="Y355">
            <v>41555</v>
          </cell>
          <cell r="AA355">
            <v>303.23</v>
          </cell>
          <cell r="AF355">
            <v>41555</v>
          </cell>
          <cell r="AH355">
            <v>65.778279999999995</v>
          </cell>
          <cell r="AM355">
            <v>41555</v>
          </cell>
          <cell r="AO355">
            <v>51.320210000000003</v>
          </cell>
          <cell r="AT355">
            <v>41555</v>
          </cell>
          <cell r="AV355">
            <v>34.785429999999998</v>
          </cell>
          <cell r="BA355">
            <v>41555</v>
          </cell>
          <cell r="BC355">
            <v>20.83614</v>
          </cell>
          <cell r="BH355">
            <v>41555</v>
          </cell>
          <cell r="BJ355">
            <v>22.08558</v>
          </cell>
        </row>
        <row r="356">
          <cell r="D356">
            <v>41554</v>
          </cell>
          <cell r="F356">
            <v>171.15719999999999</v>
          </cell>
          <cell r="K356">
            <v>41554</v>
          </cell>
          <cell r="M356">
            <v>21.524570000000001</v>
          </cell>
          <cell r="R356">
            <v>41554</v>
          </cell>
          <cell r="T356">
            <v>3.86</v>
          </cell>
          <cell r="Y356">
            <v>41554</v>
          </cell>
          <cell r="AA356">
            <v>310.02999999999997</v>
          </cell>
          <cell r="AF356">
            <v>41554</v>
          </cell>
          <cell r="AH356">
            <v>66.709689999999995</v>
          </cell>
          <cell r="AM356">
            <v>41554</v>
          </cell>
          <cell r="AO356">
            <v>51.956890000000001</v>
          </cell>
          <cell r="AT356">
            <v>41554</v>
          </cell>
          <cell r="AV356">
            <v>34.570819999999998</v>
          </cell>
          <cell r="BA356">
            <v>41554</v>
          </cell>
          <cell r="BC356">
            <v>21.022089999999999</v>
          </cell>
          <cell r="BH356">
            <v>41554</v>
          </cell>
          <cell r="BJ356">
            <v>22.337510000000002</v>
          </cell>
        </row>
        <row r="357">
          <cell r="D357">
            <v>41551</v>
          </cell>
          <cell r="F357">
            <v>173.12258</v>
          </cell>
          <cell r="K357">
            <v>41551</v>
          </cell>
          <cell r="M357">
            <v>21.646820000000002</v>
          </cell>
          <cell r="R357">
            <v>41551</v>
          </cell>
          <cell r="T357">
            <v>3.91</v>
          </cell>
          <cell r="Y357">
            <v>41551</v>
          </cell>
          <cell r="AA357">
            <v>319.04000000000002</v>
          </cell>
          <cell r="AF357">
            <v>41551</v>
          </cell>
          <cell r="AH357">
            <v>66.064130000000006</v>
          </cell>
          <cell r="AM357">
            <v>41551</v>
          </cell>
          <cell r="AO357">
            <v>51.947240000000001</v>
          </cell>
          <cell r="AT357">
            <v>41551</v>
          </cell>
          <cell r="AV357">
            <v>34.71078</v>
          </cell>
          <cell r="BA357">
            <v>41551</v>
          </cell>
          <cell r="BC357">
            <v>21.08081</v>
          </cell>
          <cell r="BH357">
            <v>41551</v>
          </cell>
          <cell r="BJ357">
            <v>22.44014</v>
          </cell>
        </row>
        <row r="358">
          <cell r="D358">
            <v>41550</v>
          </cell>
          <cell r="F358">
            <v>172.89689000000001</v>
          </cell>
          <cell r="K358">
            <v>41550</v>
          </cell>
          <cell r="M358">
            <v>21.632709999999999</v>
          </cell>
          <cell r="R358">
            <v>41550</v>
          </cell>
          <cell r="T358">
            <v>3.9</v>
          </cell>
          <cell r="Y358">
            <v>41550</v>
          </cell>
          <cell r="AA358">
            <v>314.76</v>
          </cell>
          <cell r="AF358">
            <v>41550</v>
          </cell>
          <cell r="AH358">
            <v>66.116110000000006</v>
          </cell>
          <cell r="AM358">
            <v>41550</v>
          </cell>
          <cell r="AO358">
            <v>51.609610000000004</v>
          </cell>
          <cell r="AT358">
            <v>41550</v>
          </cell>
          <cell r="AV358">
            <v>34.673459999999999</v>
          </cell>
          <cell r="BA358">
            <v>41550</v>
          </cell>
          <cell r="BC358">
            <v>21.814820000000001</v>
          </cell>
          <cell r="BH358">
            <v>41550</v>
          </cell>
          <cell r="BJ358">
            <v>22.486799999999999</v>
          </cell>
        </row>
        <row r="359">
          <cell r="D359">
            <v>41549</v>
          </cell>
          <cell r="F359">
            <v>173.93129999999999</v>
          </cell>
          <cell r="K359">
            <v>41549</v>
          </cell>
          <cell r="M359">
            <v>21.928920000000002</v>
          </cell>
          <cell r="R359">
            <v>41549</v>
          </cell>
          <cell r="T359">
            <v>3.9</v>
          </cell>
          <cell r="Y359">
            <v>41549</v>
          </cell>
          <cell r="AA359">
            <v>320.51</v>
          </cell>
          <cell r="AF359">
            <v>41549</v>
          </cell>
          <cell r="AH359">
            <v>66.957239999999999</v>
          </cell>
          <cell r="AM359">
            <v>41549</v>
          </cell>
          <cell r="AO359">
            <v>51.32985</v>
          </cell>
          <cell r="AT359">
            <v>41549</v>
          </cell>
          <cell r="AV359">
            <v>34.92539</v>
          </cell>
          <cell r="BA359">
            <v>41549</v>
          </cell>
          <cell r="BC359">
            <v>22.284590000000001</v>
          </cell>
          <cell r="BH359">
            <v>41549</v>
          </cell>
          <cell r="BJ359">
            <v>22.7014</v>
          </cell>
        </row>
        <row r="360">
          <cell r="D360">
            <v>41548</v>
          </cell>
          <cell r="F360">
            <v>175.26662999999999</v>
          </cell>
          <cell r="K360">
            <v>41548</v>
          </cell>
          <cell r="M360">
            <v>21.8537</v>
          </cell>
          <cell r="R360">
            <v>41548</v>
          </cell>
          <cell r="T360">
            <v>3.86</v>
          </cell>
          <cell r="Y360">
            <v>41548</v>
          </cell>
          <cell r="AA360">
            <v>320.95</v>
          </cell>
          <cell r="AF360">
            <v>41548</v>
          </cell>
          <cell r="AH360">
            <v>66.738410000000002</v>
          </cell>
          <cell r="AM360">
            <v>41548</v>
          </cell>
          <cell r="AO360">
            <v>51.204450000000001</v>
          </cell>
          <cell r="AT360">
            <v>41548</v>
          </cell>
          <cell r="AV360">
            <v>35.410600000000002</v>
          </cell>
          <cell r="BA360">
            <v>41548</v>
          </cell>
          <cell r="BC360">
            <v>22.63691</v>
          </cell>
          <cell r="BH360">
            <v>41548</v>
          </cell>
          <cell r="BJ360">
            <v>22.552109999999999</v>
          </cell>
        </row>
        <row r="361">
          <cell r="D361">
            <v>41547</v>
          </cell>
          <cell r="F361">
            <v>174.13818000000001</v>
          </cell>
          <cell r="K361">
            <v>41547</v>
          </cell>
          <cell r="M361">
            <v>21.873439999999999</v>
          </cell>
          <cell r="R361">
            <v>41547</v>
          </cell>
          <cell r="T361">
            <v>3.81</v>
          </cell>
          <cell r="Y361">
            <v>41547</v>
          </cell>
          <cell r="AA361">
            <v>312.64</v>
          </cell>
          <cell r="AF361">
            <v>41547</v>
          </cell>
          <cell r="AH361">
            <v>65.205219999999997</v>
          </cell>
          <cell r="AM361">
            <v>41547</v>
          </cell>
          <cell r="AO361">
            <v>50.307310000000001</v>
          </cell>
          <cell r="AT361">
            <v>41547</v>
          </cell>
          <cell r="AV361">
            <v>35.345280000000002</v>
          </cell>
          <cell r="BA361">
            <v>41547</v>
          </cell>
          <cell r="BC361">
            <v>22.685849999999999</v>
          </cell>
          <cell r="BH361">
            <v>41547</v>
          </cell>
          <cell r="BJ361">
            <v>22.290849999999999</v>
          </cell>
        </row>
        <row r="362">
          <cell r="D362">
            <v>41544</v>
          </cell>
          <cell r="F362">
            <v>175.77443</v>
          </cell>
          <cell r="K362">
            <v>41544</v>
          </cell>
          <cell r="M362">
            <v>21.779160000000001</v>
          </cell>
          <cell r="R362">
            <v>41544</v>
          </cell>
          <cell r="T362">
            <v>3.86</v>
          </cell>
          <cell r="Y362">
            <v>41544</v>
          </cell>
          <cell r="AA362">
            <v>316.01</v>
          </cell>
          <cell r="AF362">
            <v>41544</v>
          </cell>
          <cell r="AH362">
            <v>66.025840000000002</v>
          </cell>
          <cell r="AM362">
            <v>41544</v>
          </cell>
          <cell r="AO362">
            <v>50.432720000000003</v>
          </cell>
          <cell r="AT362">
            <v>41544</v>
          </cell>
          <cell r="AV362">
            <v>35.830489999999998</v>
          </cell>
          <cell r="BA362">
            <v>41544</v>
          </cell>
          <cell r="BC362">
            <v>22.734780000000001</v>
          </cell>
          <cell r="BH362">
            <v>41544</v>
          </cell>
          <cell r="BJ362">
            <v>22.44014</v>
          </cell>
        </row>
        <row r="363">
          <cell r="D363">
            <v>41543</v>
          </cell>
          <cell r="F363">
            <v>178.87765999999999</v>
          </cell>
          <cell r="K363">
            <v>41543</v>
          </cell>
          <cell r="M363">
            <v>22.189910000000001</v>
          </cell>
          <cell r="R363">
            <v>41543</v>
          </cell>
          <cell r="T363">
            <v>3.89</v>
          </cell>
          <cell r="Y363">
            <v>41543</v>
          </cell>
          <cell r="AA363">
            <v>318.12</v>
          </cell>
          <cell r="AF363">
            <v>41543</v>
          </cell>
          <cell r="AH363">
            <v>66.500429999999994</v>
          </cell>
          <cell r="AM363">
            <v>41543</v>
          </cell>
          <cell r="AO363">
            <v>50.179490000000001</v>
          </cell>
          <cell r="AT363">
            <v>41543</v>
          </cell>
          <cell r="AV363">
            <v>36.147739999999999</v>
          </cell>
          <cell r="BA363">
            <v>41543</v>
          </cell>
          <cell r="BC363">
            <v>22.764140000000001</v>
          </cell>
          <cell r="BH363">
            <v>41543</v>
          </cell>
          <cell r="BJ363">
            <v>22.626760000000001</v>
          </cell>
        </row>
        <row r="364">
          <cell r="D364">
            <v>41542</v>
          </cell>
          <cell r="F364">
            <v>178.17238</v>
          </cell>
          <cell r="K364">
            <v>41542</v>
          </cell>
          <cell r="M364">
            <v>22.806039999999999</v>
          </cell>
          <cell r="R364">
            <v>41542</v>
          </cell>
          <cell r="T364">
            <v>3.91</v>
          </cell>
          <cell r="Y364">
            <v>41542</v>
          </cell>
          <cell r="AA364">
            <v>312.64999999999998</v>
          </cell>
          <cell r="AF364">
            <v>41542</v>
          </cell>
          <cell r="AH364">
            <v>65.858980000000003</v>
          </cell>
          <cell r="AM364">
            <v>41542</v>
          </cell>
          <cell r="AO364">
            <v>50.256219999999999</v>
          </cell>
          <cell r="AT364">
            <v>41542</v>
          </cell>
          <cell r="AV364">
            <v>35.765169999999998</v>
          </cell>
          <cell r="BA364">
            <v>41542</v>
          </cell>
          <cell r="BC364">
            <v>23.126249999999999</v>
          </cell>
          <cell r="BH364">
            <v>41542</v>
          </cell>
          <cell r="BJ364">
            <v>22.608090000000001</v>
          </cell>
        </row>
        <row r="365">
          <cell r="D365">
            <v>41541</v>
          </cell>
          <cell r="F365">
            <v>178.64257000000001</v>
          </cell>
          <cell r="K365">
            <v>41541</v>
          </cell>
          <cell r="M365">
            <v>22.535309999999999</v>
          </cell>
          <cell r="R365">
            <v>41541</v>
          </cell>
          <cell r="T365">
            <v>3.8</v>
          </cell>
          <cell r="Y365">
            <v>41541</v>
          </cell>
          <cell r="AA365">
            <v>314.13</v>
          </cell>
          <cell r="AF365">
            <v>41541</v>
          </cell>
          <cell r="AH365">
            <v>66.894329999999997</v>
          </cell>
          <cell r="AM365">
            <v>41541</v>
          </cell>
          <cell r="AO365">
            <v>50.256219999999999</v>
          </cell>
          <cell r="AT365">
            <v>41541</v>
          </cell>
          <cell r="AV365">
            <v>35.951790000000003</v>
          </cell>
          <cell r="BA365">
            <v>41541</v>
          </cell>
          <cell r="BC365">
            <v>22.960159999999998</v>
          </cell>
          <cell r="BH365">
            <v>41541</v>
          </cell>
          <cell r="BJ365">
            <v>22.692070000000001</v>
          </cell>
        </row>
        <row r="366">
          <cell r="D366">
            <v>41540</v>
          </cell>
          <cell r="F366">
            <v>179.60175000000001</v>
          </cell>
          <cell r="K366">
            <v>41540</v>
          </cell>
          <cell r="M366">
            <v>22.661339999999999</v>
          </cell>
          <cell r="R366">
            <v>41540</v>
          </cell>
          <cell r="T366">
            <v>3.79</v>
          </cell>
          <cell r="Y366">
            <v>41540</v>
          </cell>
          <cell r="AA366">
            <v>311.49</v>
          </cell>
          <cell r="AF366">
            <v>41540</v>
          </cell>
          <cell r="AH366">
            <v>67.104960000000005</v>
          </cell>
          <cell r="AM366">
            <v>41540</v>
          </cell>
          <cell r="AO366">
            <v>51.071440000000003</v>
          </cell>
          <cell r="AT366">
            <v>41540</v>
          </cell>
          <cell r="AV366">
            <v>36.045099999999998</v>
          </cell>
          <cell r="BA366">
            <v>41540</v>
          </cell>
          <cell r="BC366">
            <v>22.91131</v>
          </cell>
          <cell r="BH366">
            <v>41540</v>
          </cell>
          <cell r="BJ366">
            <v>22.65475</v>
          </cell>
        </row>
        <row r="367">
          <cell r="D367">
            <v>41537</v>
          </cell>
          <cell r="F367">
            <v>178.68959000000001</v>
          </cell>
          <cell r="K367">
            <v>41537</v>
          </cell>
          <cell r="M367">
            <v>22.88072</v>
          </cell>
          <cell r="R367">
            <v>41537</v>
          </cell>
          <cell r="T367">
            <v>3.83</v>
          </cell>
          <cell r="Y367">
            <v>41537</v>
          </cell>
          <cell r="AA367">
            <v>316.33999999999997</v>
          </cell>
          <cell r="AF367">
            <v>41537</v>
          </cell>
          <cell r="AH367">
            <v>63.927779999999998</v>
          </cell>
          <cell r="AM367">
            <v>41537</v>
          </cell>
          <cell r="AO367">
            <v>51.25367</v>
          </cell>
          <cell r="AT367">
            <v>41537</v>
          </cell>
          <cell r="AV367">
            <v>36.763570000000001</v>
          </cell>
          <cell r="BA367">
            <v>41537</v>
          </cell>
          <cell r="BC367">
            <v>22.74521</v>
          </cell>
          <cell r="BH367">
            <v>41537</v>
          </cell>
          <cell r="BJ367">
            <v>22.402819999999998</v>
          </cell>
        </row>
        <row r="368">
          <cell r="D368">
            <v>41536</v>
          </cell>
          <cell r="F368">
            <v>181.85864000000001</v>
          </cell>
          <cell r="K368">
            <v>41536</v>
          </cell>
          <cell r="M368">
            <v>22.978739999999998</v>
          </cell>
          <cell r="R368">
            <v>41536</v>
          </cell>
          <cell r="T368">
            <v>3.95</v>
          </cell>
          <cell r="Y368">
            <v>41536</v>
          </cell>
          <cell r="AA368">
            <v>312.06</v>
          </cell>
          <cell r="AF368">
            <v>41536</v>
          </cell>
          <cell r="AH368">
            <v>64.596590000000006</v>
          </cell>
          <cell r="AM368">
            <v>41536</v>
          </cell>
          <cell r="AO368">
            <v>51.263260000000002</v>
          </cell>
          <cell r="AT368">
            <v>41536</v>
          </cell>
          <cell r="AV368">
            <v>36.679589999999997</v>
          </cell>
          <cell r="BA368">
            <v>41536</v>
          </cell>
          <cell r="BC368">
            <v>22.92108</v>
          </cell>
          <cell r="BH368">
            <v>41536</v>
          </cell>
          <cell r="BJ368">
            <v>22.822700000000001</v>
          </cell>
        </row>
        <row r="369">
          <cell r="D369">
            <v>41535</v>
          </cell>
          <cell r="F369">
            <v>182.82722999999999</v>
          </cell>
          <cell r="K369">
            <v>41535</v>
          </cell>
          <cell r="M369">
            <v>23.14677</v>
          </cell>
          <cell r="R369">
            <v>41535</v>
          </cell>
          <cell r="T369">
            <v>3.93</v>
          </cell>
          <cell r="Y369">
            <v>41535</v>
          </cell>
          <cell r="AA369">
            <v>312.03399999999999</v>
          </cell>
          <cell r="AF369">
            <v>41535</v>
          </cell>
          <cell r="AH369">
            <v>63.554400000000001</v>
          </cell>
          <cell r="AM369">
            <v>41535</v>
          </cell>
          <cell r="AO369">
            <v>51.138579999999997</v>
          </cell>
          <cell r="AT369">
            <v>41535</v>
          </cell>
          <cell r="AV369">
            <v>36.940860000000001</v>
          </cell>
          <cell r="BA369">
            <v>41535</v>
          </cell>
          <cell r="BC369">
            <v>23.10671</v>
          </cell>
          <cell r="BH369">
            <v>41535</v>
          </cell>
          <cell r="BJ369">
            <v>23.018640000000001</v>
          </cell>
        </row>
        <row r="370">
          <cell r="D370">
            <v>41534</v>
          </cell>
          <cell r="F370">
            <v>180.70197999999999</v>
          </cell>
          <cell r="K370">
            <v>41534</v>
          </cell>
          <cell r="M370">
            <v>22.750019999999999</v>
          </cell>
          <cell r="R370">
            <v>41534</v>
          </cell>
          <cell r="T370">
            <v>3.85</v>
          </cell>
          <cell r="Y370">
            <v>41534</v>
          </cell>
          <cell r="AA370">
            <v>304.17</v>
          </cell>
          <cell r="AF370">
            <v>41534</v>
          </cell>
          <cell r="AH370">
            <v>62.274230000000003</v>
          </cell>
          <cell r="AM370">
            <v>41534</v>
          </cell>
          <cell r="AO370">
            <v>51.378349999999998</v>
          </cell>
          <cell r="AT370">
            <v>41534</v>
          </cell>
          <cell r="AV370">
            <v>36.194389999999999</v>
          </cell>
          <cell r="BA370">
            <v>41534</v>
          </cell>
          <cell r="BC370">
            <v>23.126249999999999</v>
          </cell>
          <cell r="BH370">
            <v>41534</v>
          </cell>
          <cell r="BJ370">
            <v>22.639009999999999</v>
          </cell>
        </row>
        <row r="371">
          <cell r="D371">
            <v>41533</v>
          </cell>
          <cell r="F371">
            <v>181.63294999999999</v>
          </cell>
          <cell r="K371">
            <v>41533</v>
          </cell>
          <cell r="M371">
            <v>22.759360000000001</v>
          </cell>
          <cell r="R371">
            <v>41533</v>
          </cell>
          <cell r="T371">
            <v>3.82</v>
          </cell>
          <cell r="Y371">
            <v>41533</v>
          </cell>
          <cell r="AA371">
            <v>296.06</v>
          </cell>
          <cell r="AF371">
            <v>41533</v>
          </cell>
          <cell r="AH371">
            <v>61.563029999999998</v>
          </cell>
          <cell r="AM371">
            <v>41533</v>
          </cell>
          <cell r="AO371">
            <v>51.071440000000003</v>
          </cell>
          <cell r="AT371">
            <v>41533</v>
          </cell>
          <cell r="AV371">
            <v>36.259709999999998</v>
          </cell>
          <cell r="BA371">
            <v>41533</v>
          </cell>
          <cell r="BC371">
            <v>23.126249999999999</v>
          </cell>
          <cell r="BH371">
            <v>41533</v>
          </cell>
          <cell r="BJ371">
            <v>22.351970000000001</v>
          </cell>
        </row>
        <row r="372">
          <cell r="D372">
            <v>41530</v>
          </cell>
          <cell r="F372">
            <v>180.71138999999999</v>
          </cell>
          <cell r="K372">
            <v>41530</v>
          </cell>
          <cell r="M372">
            <v>22.70335</v>
          </cell>
          <cell r="R372">
            <v>41530</v>
          </cell>
          <cell r="T372">
            <v>3.83</v>
          </cell>
          <cell r="Y372">
            <v>41530</v>
          </cell>
          <cell r="AA372">
            <v>297.92</v>
          </cell>
          <cell r="AF372">
            <v>41530</v>
          </cell>
          <cell r="AH372">
            <v>63.584490000000002</v>
          </cell>
          <cell r="AM372">
            <v>41530</v>
          </cell>
          <cell r="AO372">
            <v>50.850850000000001</v>
          </cell>
          <cell r="AT372">
            <v>41530</v>
          </cell>
          <cell r="AV372">
            <v>36.101080000000003</v>
          </cell>
          <cell r="BA372">
            <v>41530</v>
          </cell>
          <cell r="BC372">
            <v>23.243500000000001</v>
          </cell>
          <cell r="BH372">
            <v>41530</v>
          </cell>
          <cell r="BJ372">
            <v>22.018640000000001</v>
          </cell>
        </row>
        <row r="373">
          <cell r="D373">
            <v>41529</v>
          </cell>
          <cell r="F373">
            <v>179.35724999999999</v>
          </cell>
          <cell r="K373">
            <v>41529</v>
          </cell>
          <cell r="M373">
            <v>22.675339999999998</v>
          </cell>
          <cell r="R373">
            <v>41529</v>
          </cell>
          <cell r="T373">
            <v>3.75</v>
          </cell>
          <cell r="Y373">
            <v>41529</v>
          </cell>
          <cell r="AA373">
            <v>298.86</v>
          </cell>
          <cell r="AF373">
            <v>41529</v>
          </cell>
          <cell r="AH373">
            <v>64.649929999999998</v>
          </cell>
          <cell r="AM373">
            <v>41529</v>
          </cell>
          <cell r="AO373">
            <v>50.687809999999999</v>
          </cell>
          <cell r="AT373">
            <v>41529</v>
          </cell>
          <cell r="AV373">
            <v>35.867809999999999</v>
          </cell>
          <cell r="BA373">
            <v>41529</v>
          </cell>
          <cell r="BC373">
            <v>22.55958</v>
          </cell>
          <cell r="BH373">
            <v>41529</v>
          </cell>
          <cell r="BJ373">
            <v>22.083449999999999</v>
          </cell>
        </row>
        <row r="374">
          <cell r="D374">
            <v>41528</v>
          </cell>
          <cell r="F374">
            <v>179.32903999999999</v>
          </cell>
          <cell r="K374">
            <v>41528</v>
          </cell>
          <cell r="M374">
            <v>22.75469</v>
          </cell>
          <cell r="R374">
            <v>41528</v>
          </cell>
          <cell r="T374">
            <v>3.82</v>
          </cell>
          <cell r="Y374">
            <v>41528</v>
          </cell>
          <cell r="AA374">
            <v>299.64</v>
          </cell>
          <cell r="AF374">
            <v>41528</v>
          </cell>
          <cell r="AH374">
            <v>63.968809999999998</v>
          </cell>
          <cell r="AM374">
            <v>41528</v>
          </cell>
          <cell r="AO374">
            <v>50.064399999999999</v>
          </cell>
          <cell r="AT374">
            <v>41528</v>
          </cell>
          <cell r="AV374">
            <v>35.9238</v>
          </cell>
          <cell r="BA374">
            <v>41528</v>
          </cell>
          <cell r="BC374">
            <v>22.549810000000001</v>
          </cell>
          <cell r="BH374">
            <v>41528</v>
          </cell>
          <cell r="BJ374">
            <v>22.305669999999999</v>
          </cell>
        </row>
        <row r="375">
          <cell r="D375">
            <v>41527</v>
          </cell>
          <cell r="F375">
            <v>175.47351</v>
          </cell>
          <cell r="K375">
            <v>41527</v>
          </cell>
          <cell r="M375">
            <v>22.549320000000002</v>
          </cell>
          <cell r="R375">
            <v>41527</v>
          </cell>
          <cell r="T375">
            <v>3.87</v>
          </cell>
          <cell r="Y375">
            <v>41527</v>
          </cell>
          <cell r="AA375">
            <v>300.36</v>
          </cell>
          <cell r="AF375">
            <v>41527</v>
          </cell>
          <cell r="AH375">
            <v>67.65204</v>
          </cell>
          <cell r="AM375">
            <v>41527</v>
          </cell>
          <cell r="AO375">
            <v>49.038179999999997</v>
          </cell>
          <cell r="AT375">
            <v>41527</v>
          </cell>
          <cell r="AV375">
            <v>35.784840000000003</v>
          </cell>
          <cell r="BA375">
            <v>41527</v>
          </cell>
          <cell r="BC375">
            <v>22.588889999999999</v>
          </cell>
          <cell r="BH375">
            <v>41527</v>
          </cell>
          <cell r="BJ375">
            <v>22.101970000000001</v>
          </cell>
        </row>
        <row r="376">
          <cell r="D376">
            <v>41526</v>
          </cell>
          <cell r="F376">
            <v>173.95011</v>
          </cell>
          <cell r="K376">
            <v>41526</v>
          </cell>
          <cell r="M376">
            <v>22.329940000000001</v>
          </cell>
          <cell r="R376">
            <v>41526</v>
          </cell>
          <cell r="T376">
            <v>3.69</v>
          </cell>
          <cell r="Y376">
            <v>41526</v>
          </cell>
          <cell r="AA376">
            <v>299.70999999999998</v>
          </cell>
          <cell r="AF376">
            <v>41526</v>
          </cell>
          <cell r="AH376">
            <v>69.228999999999999</v>
          </cell>
          <cell r="AM376">
            <v>41526</v>
          </cell>
          <cell r="AO376">
            <v>48.721679999999999</v>
          </cell>
          <cell r="AT376">
            <v>41526</v>
          </cell>
          <cell r="AV376">
            <v>35.682940000000002</v>
          </cell>
          <cell r="BA376">
            <v>41526</v>
          </cell>
          <cell r="BC376">
            <v>22.461870000000001</v>
          </cell>
          <cell r="BH376">
            <v>41526</v>
          </cell>
          <cell r="BJ376">
            <v>21.657520000000002</v>
          </cell>
        </row>
        <row r="377">
          <cell r="D377">
            <v>41523</v>
          </cell>
          <cell r="F377">
            <v>172.11637999999999</v>
          </cell>
          <cell r="K377">
            <v>41523</v>
          </cell>
          <cell r="M377">
            <v>21.984529999999999</v>
          </cell>
          <cell r="R377">
            <v>41523</v>
          </cell>
          <cell r="T377">
            <v>3.57</v>
          </cell>
          <cell r="Y377">
            <v>41523</v>
          </cell>
          <cell r="AA377">
            <v>295.86</v>
          </cell>
          <cell r="AF377">
            <v>41523</v>
          </cell>
          <cell r="AH377">
            <v>68.141670000000005</v>
          </cell>
          <cell r="AM377">
            <v>41523</v>
          </cell>
          <cell r="AO377">
            <v>48.328449999999997</v>
          </cell>
          <cell r="AT377">
            <v>41523</v>
          </cell>
          <cell r="AV377">
            <v>35.525469999999999</v>
          </cell>
          <cell r="BA377">
            <v>41523</v>
          </cell>
          <cell r="BC377">
            <v>21.86589</v>
          </cell>
          <cell r="BH377">
            <v>41523</v>
          </cell>
          <cell r="BJ377">
            <v>21.444559999999999</v>
          </cell>
        </row>
        <row r="378">
          <cell r="D378">
            <v>41522</v>
          </cell>
          <cell r="F378">
            <v>173.1696</v>
          </cell>
          <cell r="K378">
            <v>41522</v>
          </cell>
          <cell r="M378">
            <v>22.11523</v>
          </cell>
          <cell r="R378">
            <v>41522</v>
          </cell>
          <cell r="T378">
            <v>3.41</v>
          </cell>
          <cell r="Y378">
            <v>41522</v>
          </cell>
          <cell r="AA378">
            <v>294.10000000000002</v>
          </cell>
          <cell r="AF378">
            <v>41522</v>
          </cell>
          <cell r="AH378">
            <v>67.738200000000006</v>
          </cell>
          <cell r="AM378">
            <v>41522</v>
          </cell>
          <cell r="AO378">
            <v>48.117449999999998</v>
          </cell>
          <cell r="AT378">
            <v>41522</v>
          </cell>
          <cell r="AV378">
            <v>35.423569999999998</v>
          </cell>
          <cell r="BA378">
            <v>41522</v>
          </cell>
          <cell r="BC378">
            <v>21.885429999999999</v>
          </cell>
          <cell r="BH378">
            <v>41522</v>
          </cell>
          <cell r="BJ378">
            <v>21.444559999999999</v>
          </cell>
        </row>
        <row r="379">
          <cell r="D379">
            <v>41521</v>
          </cell>
          <cell r="F379">
            <v>172.21042</v>
          </cell>
          <cell r="K379">
            <v>41521</v>
          </cell>
          <cell r="M379">
            <v>22.189910000000001</v>
          </cell>
          <cell r="R379">
            <v>41521</v>
          </cell>
          <cell r="T379">
            <v>3.31</v>
          </cell>
          <cell r="Y379">
            <v>41521</v>
          </cell>
          <cell r="AA379">
            <v>293.64</v>
          </cell>
          <cell r="AF379">
            <v>41521</v>
          </cell>
          <cell r="AH379">
            <v>68.206090000000003</v>
          </cell>
          <cell r="AM379">
            <v>41521</v>
          </cell>
          <cell r="AO379">
            <v>48.18459</v>
          </cell>
          <cell r="AT379">
            <v>41521</v>
          </cell>
          <cell r="AV379">
            <v>35.70147</v>
          </cell>
          <cell r="BA379">
            <v>41521</v>
          </cell>
          <cell r="BC379">
            <v>21.86589</v>
          </cell>
          <cell r="BH379">
            <v>41521</v>
          </cell>
          <cell r="BJ379">
            <v>21.45382</v>
          </cell>
        </row>
        <row r="380">
          <cell r="D380">
            <v>41520</v>
          </cell>
          <cell r="F380">
            <v>172.99092999999999</v>
          </cell>
          <cell r="K380">
            <v>41520</v>
          </cell>
          <cell r="M380">
            <v>21.91919</v>
          </cell>
          <cell r="R380">
            <v>41520</v>
          </cell>
          <cell r="T380">
            <v>3.27</v>
          </cell>
          <cell r="Y380">
            <v>41520</v>
          </cell>
          <cell r="AA380">
            <v>288.8</v>
          </cell>
          <cell r="AF380">
            <v>41520</v>
          </cell>
          <cell r="AH380">
            <v>66.823210000000003</v>
          </cell>
          <cell r="AM380">
            <v>41520</v>
          </cell>
          <cell r="AO380">
            <v>48.165410000000001</v>
          </cell>
          <cell r="AT380">
            <v>41520</v>
          </cell>
          <cell r="AV380">
            <v>35.108609999999999</v>
          </cell>
          <cell r="BA380">
            <v>41520</v>
          </cell>
          <cell r="BC380">
            <v>21.719329999999999</v>
          </cell>
          <cell r="BH380">
            <v>41520</v>
          </cell>
          <cell r="BJ380">
            <v>21.351970000000001</v>
          </cell>
        </row>
        <row r="381">
          <cell r="D381">
            <v>41516</v>
          </cell>
          <cell r="F381">
            <v>171.40170000000001</v>
          </cell>
          <cell r="K381">
            <v>41516</v>
          </cell>
          <cell r="M381">
            <v>21.760490000000001</v>
          </cell>
          <cell r="R381">
            <v>41516</v>
          </cell>
          <cell r="T381">
            <v>3.27</v>
          </cell>
          <cell r="Y381">
            <v>41516</v>
          </cell>
          <cell r="AA381">
            <v>280.98</v>
          </cell>
          <cell r="AF381">
            <v>41516</v>
          </cell>
          <cell r="AH381">
            <v>66.636650000000003</v>
          </cell>
          <cell r="AM381">
            <v>41516</v>
          </cell>
          <cell r="AO381">
            <v>48.222949999999997</v>
          </cell>
          <cell r="AT381">
            <v>41516</v>
          </cell>
          <cell r="AV381">
            <v>35.367989999999999</v>
          </cell>
          <cell r="BA381">
            <v>41516</v>
          </cell>
          <cell r="BC381">
            <v>21.5337</v>
          </cell>
          <cell r="BH381">
            <v>41516</v>
          </cell>
          <cell r="BJ381">
            <v>21.42604</v>
          </cell>
        </row>
        <row r="382">
          <cell r="D382">
            <v>41515</v>
          </cell>
          <cell r="F382">
            <v>171.74964</v>
          </cell>
          <cell r="K382">
            <v>41515</v>
          </cell>
          <cell r="M382">
            <v>21.891179999999999</v>
          </cell>
          <cell r="R382">
            <v>41515</v>
          </cell>
          <cell r="T382">
            <v>3.38</v>
          </cell>
          <cell r="Y382">
            <v>41515</v>
          </cell>
          <cell r="AA382">
            <v>283.98</v>
          </cell>
          <cell r="AF382">
            <v>41515</v>
          </cell>
          <cell r="AH382">
            <v>67.249930000000006</v>
          </cell>
          <cell r="AM382">
            <v>41515</v>
          </cell>
          <cell r="AO382">
            <v>48.222949999999997</v>
          </cell>
          <cell r="AT382">
            <v>41515</v>
          </cell>
          <cell r="AV382">
            <v>35.293880000000001</v>
          </cell>
          <cell r="BA382">
            <v>41515</v>
          </cell>
          <cell r="BC382">
            <v>21.572780000000002</v>
          </cell>
          <cell r="BH382">
            <v>41515</v>
          </cell>
          <cell r="BJ382">
            <v>21.398260000000001</v>
          </cell>
        </row>
        <row r="383">
          <cell r="D383">
            <v>41514</v>
          </cell>
          <cell r="F383">
            <v>171.29826</v>
          </cell>
          <cell r="K383">
            <v>41514</v>
          </cell>
          <cell r="M383">
            <v>21.886510000000001</v>
          </cell>
          <cell r="R383">
            <v>41514</v>
          </cell>
          <cell r="T383">
            <v>3.42</v>
          </cell>
          <cell r="Y383">
            <v>41514</v>
          </cell>
          <cell r="AA383">
            <v>281.58</v>
          </cell>
          <cell r="AF383">
            <v>41514</v>
          </cell>
          <cell r="AH383">
            <v>67.139970000000005</v>
          </cell>
          <cell r="AM383">
            <v>41514</v>
          </cell>
          <cell r="AO383">
            <v>47.973590000000002</v>
          </cell>
          <cell r="AT383">
            <v>41514</v>
          </cell>
          <cell r="AV383">
            <v>35.525469999999999</v>
          </cell>
          <cell r="BA383">
            <v>41514</v>
          </cell>
          <cell r="BC383">
            <v>21.35783</v>
          </cell>
          <cell r="BH383">
            <v>41514</v>
          </cell>
          <cell r="BJ383">
            <v>21.4816</v>
          </cell>
        </row>
        <row r="384">
          <cell r="D384">
            <v>41513</v>
          </cell>
          <cell r="F384">
            <v>171.84367</v>
          </cell>
          <cell r="K384">
            <v>41513</v>
          </cell>
          <cell r="M384">
            <v>21.923850000000002</v>
          </cell>
          <cell r="R384">
            <v>41513</v>
          </cell>
          <cell r="T384">
            <v>3.39</v>
          </cell>
          <cell r="Y384">
            <v>41513</v>
          </cell>
          <cell r="AA384">
            <v>280.93</v>
          </cell>
          <cell r="AF384">
            <v>41513</v>
          </cell>
          <cell r="AH384">
            <v>66.824579999999997</v>
          </cell>
          <cell r="AM384">
            <v>41513</v>
          </cell>
          <cell r="AO384">
            <v>47.983179999999997</v>
          </cell>
          <cell r="AT384">
            <v>41513</v>
          </cell>
          <cell r="AV384">
            <v>35.340200000000003</v>
          </cell>
          <cell r="BA384">
            <v>41513</v>
          </cell>
          <cell r="BC384">
            <v>20.986560000000001</v>
          </cell>
          <cell r="BH384">
            <v>41513</v>
          </cell>
          <cell r="BJ384">
            <v>21.463080000000001</v>
          </cell>
        </row>
        <row r="385">
          <cell r="D385">
            <v>41512</v>
          </cell>
          <cell r="F385">
            <v>173.72442000000001</v>
          </cell>
          <cell r="K385">
            <v>41512</v>
          </cell>
          <cell r="M385">
            <v>22.245920000000002</v>
          </cell>
          <cell r="R385">
            <v>41512</v>
          </cell>
          <cell r="T385">
            <v>3.58</v>
          </cell>
          <cell r="Y385">
            <v>41512</v>
          </cell>
          <cell r="AA385">
            <v>286.20999999999998</v>
          </cell>
          <cell r="AF385">
            <v>41512</v>
          </cell>
          <cell r="AH385">
            <v>68.791330000000002</v>
          </cell>
          <cell r="AM385">
            <v>41512</v>
          </cell>
          <cell r="AO385">
            <v>48.884720000000002</v>
          </cell>
          <cell r="AT385">
            <v>41512</v>
          </cell>
          <cell r="AV385">
            <v>35.31241</v>
          </cell>
          <cell r="BA385">
            <v>41512</v>
          </cell>
          <cell r="BC385">
            <v>20.65437</v>
          </cell>
          <cell r="BH385">
            <v>41512</v>
          </cell>
          <cell r="BJ385">
            <v>21.861229999999999</v>
          </cell>
        </row>
        <row r="386">
          <cell r="D386">
            <v>41509</v>
          </cell>
          <cell r="F386">
            <v>174.36386999999999</v>
          </cell>
          <cell r="K386">
            <v>41509</v>
          </cell>
          <cell r="M386">
            <v>22.27393</v>
          </cell>
          <cell r="R386">
            <v>41509</v>
          </cell>
          <cell r="T386">
            <v>3.65</v>
          </cell>
          <cell r="Y386">
            <v>41509</v>
          </cell>
          <cell r="AA386">
            <v>290.01</v>
          </cell>
          <cell r="AF386">
            <v>41509</v>
          </cell>
          <cell r="AH386">
            <v>68.524630000000002</v>
          </cell>
          <cell r="AM386">
            <v>41509</v>
          </cell>
          <cell r="AO386">
            <v>49.143680000000003</v>
          </cell>
          <cell r="AT386">
            <v>41509</v>
          </cell>
          <cell r="AV386">
            <v>35.682940000000002</v>
          </cell>
          <cell r="BA386">
            <v>41509</v>
          </cell>
          <cell r="BC386">
            <v>20.527360000000002</v>
          </cell>
          <cell r="BH386">
            <v>41509</v>
          </cell>
          <cell r="BJ386">
            <v>22.018640000000001</v>
          </cell>
        </row>
        <row r="387">
          <cell r="D387">
            <v>41508</v>
          </cell>
          <cell r="F387">
            <v>174.14759000000001</v>
          </cell>
          <cell r="K387">
            <v>41508</v>
          </cell>
          <cell r="M387">
            <v>22.41395</v>
          </cell>
          <cell r="R387">
            <v>41508</v>
          </cell>
          <cell r="T387">
            <v>3.63</v>
          </cell>
          <cell r="Y387">
            <v>41508</v>
          </cell>
          <cell r="AA387">
            <v>289.73</v>
          </cell>
          <cell r="AF387">
            <v>41508</v>
          </cell>
          <cell r="AH387">
            <v>68.789959999999994</v>
          </cell>
          <cell r="AM387">
            <v>41508</v>
          </cell>
          <cell r="AO387">
            <v>48.529859999999999</v>
          </cell>
          <cell r="AT387">
            <v>41508</v>
          </cell>
          <cell r="AV387">
            <v>35.488410000000002</v>
          </cell>
          <cell r="BA387">
            <v>41508</v>
          </cell>
          <cell r="BC387">
            <v>20.439430000000002</v>
          </cell>
          <cell r="BH387">
            <v>41508</v>
          </cell>
          <cell r="BJ387">
            <v>22.018640000000001</v>
          </cell>
        </row>
        <row r="388">
          <cell r="D388">
            <v>41507</v>
          </cell>
          <cell r="F388">
            <v>173.83725999999999</v>
          </cell>
          <cell r="K388">
            <v>41507</v>
          </cell>
          <cell r="M388">
            <v>22.46997</v>
          </cell>
          <cell r="R388">
            <v>41507</v>
          </cell>
          <cell r="T388">
            <v>3.61</v>
          </cell>
          <cell r="Y388">
            <v>41507</v>
          </cell>
          <cell r="AA388">
            <v>284.57</v>
          </cell>
          <cell r="AF388">
            <v>41507</v>
          </cell>
          <cell r="AH388">
            <v>68.707899999999995</v>
          </cell>
          <cell r="AM388">
            <v>41507</v>
          </cell>
          <cell r="AO388">
            <v>48.222949999999997</v>
          </cell>
          <cell r="AT388">
            <v>41507</v>
          </cell>
          <cell r="AV388">
            <v>35.460619999999999</v>
          </cell>
          <cell r="BA388">
            <v>41507</v>
          </cell>
          <cell r="BC388">
            <v>19.804359999999999</v>
          </cell>
          <cell r="BH388">
            <v>41507</v>
          </cell>
          <cell r="BJ388">
            <v>21.861229999999999</v>
          </cell>
        </row>
        <row r="389">
          <cell r="D389">
            <v>41506</v>
          </cell>
          <cell r="F389">
            <v>173.55515</v>
          </cell>
          <cell r="K389">
            <v>41506</v>
          </cell>
          <cell r="M389">
            <v>22.70335</v>
          </cell>
          <cell r="R389">
            <v>41506</v>
          </cell>
          <cell r="T389">
            <v>3.63</v>
          </cell>
          <cell r="Y389">
            <v>41506</v>
          </cell>
          <cell r="AA389">
            <v>287.08999999999997</v>
          </cell>
          <cell r="AF389">
            <v>41506</v>
          </cell>
          <cell r="AH389">
            <v>68.531469999999999</v>
          </cell>
          <cell r="AM389">
            <v>41506</v>
          </cell>
          <cell r="AO389">
            <v>48.980629999999998</v>
          </cell>
          <cell r="AT389">
            <v>41506</v>
          </cell>
          <cell r="AV389">
            <v>35.803370000000001</v>
          </cell>
          <cell r="BA389">
            <v>41506</v>
          </cell>
          <cell r="BC389">
            <v>20.029070000000001</v>
          </cell>
          <cell r="BH389">
            <v>41506</v>
          </cell>
          <cell r="BJ389">
            <v>21.963080000000001</v>
          </cell>
        </row>
        <row r="390">
          <cell r="D390">
            <v>41505</v>
          </cell>
          <cell r="F390">
            <v>173.24483000000001</v>
          </cell>
          <cell r="K390">
            <v>41505</v>
          </cell>
          <cell r="M390">
            <v>22.656669999999998</v>
          </cell>
          <cell r="R390">
            <v>41505</v>
          </cell>
          <cell r="T390">
            <v>3.6</v>
          </cell>
          <cell r="Y390">
            <v>41505</v>
          </cell>
          <cell r="AA390">
            <v>285.57</v>
          </cell>
          <cell r="AF390">
            <v>41505</v>
          </cell>
          <cell r="AH390">
            <v>69.443730000000002</v>
          </cell>
          <cell r="AM390">
            <v>41505</v>
          </cell>
          <cell r="AO390">
            <v>49.038179999999997</v>
          </cell>
          <cell r="AT390">
            <v>41505</v>
          </cell>
          <cell r="AV390">
            <v>35.9238</v>
          </cell>
          <cell r="BA390">
            <v>41505</v>
          </cell>
          <cell r="BC390">
            <v>19.68712</v>
          </cell>
          <cell r="BH390">
            <v>41505</v>
          </cell>
          <cell r="BJ390">
            <v>22.083449999999999</v>
          </cell>
        </row>
        <row r="391">
          <cell r="D391">
            <v>41502</v>
          </cell>
          <cell r="F391">
            <v>174.28863999999999</v>
          </cell>
          <cell r="K391">
            <v>41502</v>
          </cell>
          <cell r="M391">
            <v>22.656669999999998</v>
          </cell>
          <cell r="R391">
            <v>41502</v>
          </cell>
          <cell r="T391">
            <v>3.66</v>
          </cell>
          <cell r="Y391">
            <v>41502</v>
          </cell>
          <cell r="AA391">
            <v>284.82</v>
          </cell>
          <cell r="AF391">
            <v>41502</v>
          </cell>
          <cell r="AH391">
            <v>68.703800000000001</v>
          </cell>
          <cell r="AM391">
            <v>41502</v>
          </cell>
          <cell r="AO391">
            <v>49.220399999999998</v>
          </cell>
          <cell r="AT391">
            <v>41502</v>
          </cell>
          <cell r="AV391">
            <v>36.173909999999999</v>
          </cell>
          <cell r="BA391">
            <v>41502</v>
          </cell>
          <cell r="BC391">
            <v>19.87275</v>
          </cell>
          <cell r="BH391">
            <v>41502</v>
          </cell>
          <cell r="BJ391">
            <v>22.17604</v>
          </cell>
        </row>
        <row r="392">
          <cell r="D392">
            <v>41501</v>
          </cell>
          <cell r="F392">
            <v>174.71181000000001</v>
          </cell>
          <cell r="K392">
            <v>41501</v>
          </cell>
          <cell r="M392">
            <v>22.857379999999999</v>
          </cell>
          <cell r="R392">
            <v>41501</v>
          </cell>
          <cell r="T392">
            <v>3.69</v>
          </cell>
          <cell r="Y392">
            <v>41501</v>
          </cell>
          <cell r="AA392">
            <v>286.47000000000003</v>
          </cell>
          <cell r="AF392">
            <v>41501</v>
          </cell>
          <cell r="AH392">
            <v>68.099279999999993</v>
          </cell>
          <cell r="AM392">
            <v>41501</v>
          </cell>
          <cell r="AO392">
            <v>49.383450000000003</v>
          </cell>
          <cell r="AT392">
            <v>41501</v>
          </cell>
          <cell r="AV392">
            <v>36.21096</v>
          </cell>
          <cell r="BA392">
            <v>41501</v>
          </cell>
          <cell r="BC392">
            <v>19.823899999999998</v>
          </cell>
          <cell r="BH392">
            <v>41501</v>
          </cell>
          <cell r="BJ392">
            <v>22.222339999999999</v>
          </cell>
        </row>
        <row r="393">
          <cell r="D393">
            <v>41500</v>
          </cell>
          <cell r="F393">
            <v>176.34806</v>
          </cell>
          <cell r="K393">
            <v>41500</v>
          </cell>
          <cell r="M393">
            <v>24.623609999999999</v>
          </cell>
          <cell r="R393">
            <v>41500</v>
          </cell>
          <cell r="T393">
            <v>3.82</v>
          </cell>
          <cell r="Y393">
            <v>41500</v>
          </cell>
          <cell r="AA393">
            <v>291.33999999999997</v>
          </cell>
          <cell r="AF393">
            <v>41500</v>
          </cell>
          <cell r="AH393">
            <v>68.179969999999997</v>
          </cell>
          <cell r="AM393">
            <v>41500</v>
          </cell>
          <cell r="AO393">
            <v>50.093170000000001</v>
          </cell>
          <cell r="AT393">
            <v>41500</v>
          </cell>
          <cell r="AV393">
            <v>36.618560000000002</v>
          </cell>
          <cell r="BA393">
            <v>41500</v>
          </cell>
          <cell r="BC393">
            <v>20.21471</v>
          </cell>
          <cell r="BH393">
            <v>41500</v>
          </cell>
          <cell r="BJ393">
            <v>22.28716</v>
          </cell>
        </row>
        <row r="394">
          <cell r="D394">
            <v>41499</v>
          </cell>
          <cell r="F394">
            <v>177.18499</v>
          </cell>
          <cell r="K394">
            <v>41499</v>
          </cell>
          <cell r="M394">
            <v>24.570869999999999</v>
          </cell>
          <cell r="R394">
            <v>41499</v>
          </cell>
          <cell r="T394">
            <v>3.69</v>
          </cell>
          <cell r="Y394">
            <v>41499</v>
          </cell>
          <cell r="AA394">
            <v>293.97000000000003</v>
          </cell>
          <cell r="AF394">
            <v>41499</v>
          </cell>
          <cell r="AH394">
            <v>66.958609999999993</v>
          </cell>
          <cell r="AM394">
            <v>41499</v>
          </cell>
          <cell r="AO394">
            <v>50.054810000000003</v>
          </cell>
          <cell r="AT394">
            <v>41499</v>
          </cell>
          <cell r="AV394">
            <v>36.72972</v>
          </cell>
          <cell r="BA394">
            <v>41499</v>
          </cell>
          <cell r="BC394">
            <v>20.292870000000001</v>
          </cell>
          <cell r="BH394">
            <v>41499</v>
          </cell>
          <cell r="BJ394">
            <v>22.407530000000001</v>
          </cell>
        </row>
        <row r="395">
          <cell r="D395">
            <v>41498</v>
          </cell>
          <cell r="F395">
            <v>177.81504000000001</v>
          </cell>
          <cell r="K395">
            <v>41498</v>
          </cell>
          <cell r="M395">
            <v>24.58907</v>
          </cell>
          <cell r="R395">
            <v>41498</v>
          </cell>
          <cell r="T395">
            <v>3.65</v>
          </cell>
          <cell r="Y395">
            <v>41498</v>
          </cell>
          <cell r="AA395">
            <v>296.69</v>
          </cell>
          <cell r="AF395">
            <v>41498</v>
          </cell>
          <cell r="AH395">
            <v>63.920940000000002</v>
          </cell>
          <cell r="AM395">
            <v>41498</v>
          </cell>
          <cell r="AO395">
            <v>49.488950000000003</v>
          </cell>
          <cell r="AT395">
            <v>41498</v>
          </cell>
          <cell r="AV395">
            <v>36.896459999999998</v>
          </cell>
          <cell r="BA395">
            <v>41498</v>
          </cell>
          <cell r="BC395">
            <v>20.04862</v>
          </cell>
          <cell r="BH395">
            <v>41498</v>
          </cell>
          <cell r="BJ395">
            <v>22.472339999999999</v>
          </cell>
        </row>
        <row r="396">
          <cell r="D396">
            <v>41495</v>
          </cell>
          <cell r="F396">
            <v>176.62076999999999</v>
          </cell>
          <cell r="K396">
            <v>41495</v>
          </cell>
          <cell r="M396">
            <v>24.321149999999999</v>
          </cell>
          <cell r="R396">
            <v>41495</v>
          </cell>
          <cell r="T396">
            <v>3.65</v>
          </cell>
          <cell r="Y396">
            <v>41495</v>
          </cell>
          <cell r="AA396">
            <v>297.26</v>
          </cell>
          <cell r="AF396">
            <v>41495</v>
          </cell>
          <cell r="AH396">
            <v>62.155239999999999</v>
          </cell>
          <cell r="AM396">
            <v>41495</v>
          </cell>
          <cell r="AO396">
            <v>49.460180000000001</v>
          </cell>
          <cell r="AT396">
            <v>41495</v>
          </cell>
          <cell r="AV396">
            <v>37.202159999999999</v>
          </cell>
          <cell r="BA396">
            <v>41495</v>
          </cell>
          <cell r="BC396">
            <v>19.853210000000001</v>
          </cell>
          <cell r="BH396">
            <v>41495</v>
          </cell>
          <cell r="BJ396">
            <v>22.45382</v>
          </cell>
        </row>
        <row r="397">
          <cell r="D397">
            <v>41494</v>
          </cell>
          <cell r="F397">
            <v>176.72421</v>
          </cell>
          <cell r="K397">
            <v>41494</v>
          </cell>
          <cell r="M397">
            <v>24.514389999999999</v>
          </cell>
          <cell r="R397">
            <v>41494</v>
          </cell>
          <cell r="T397">
            <v>3.71</v>
          </cell>
          <cell r="Y397">
            <v>41494</v>
          </cell>
          <cell r="AA397">
            <v>295.74</v>
          </cell>
          <cell r="AF397">
            <v>41494</v>
          </cell>
          <cell r="AH397">
            <v>63.05245</v>
          </cell>
          <cell r="AM397">
            <v>41494</v>
          </cell>
          <cell r="AO397">
            <v>49.412219999999998</v>
          </cell>
          <cell r="AT397">
            <v>41494</v>
          </cell>
          <cell r="AV397">
            <v>37.23921</v>
          </cell>
          <cell r="BA397">
            <v>41494</v>
          </cell>
          <cell r="BC397">
            <v>19.853210000000001</v>
          </cell>
          <cell r="BH397">
            <v>41494</v>
          </cell>
          <cell r="BJ397">
            <v>22.527899999999999</v>
          </cell>
        </row>
        <row r="398">
          <cell r="D398">
            <v>41493</v>
          </cell>
          <cell r="F398">
            <v>177.31664000000001</v>
          </cell>
          <cell r="K398">
            <v>41493</v>
          </cell>
          <cell r="M398">
            <v>24.383690000000001</v>
          </cell>
          <cell r="R398">
            <v>41493</v>
          </cell>
          <cell r="T398">
            <v>3.69</v>
          </cell>
          <cell r="Y398">
            <v>41493</v>
          </cell>
          <cell r="AA398">
            <v>296.91000000000003</v>
          </cell>
          <cell r="AF398">
            <v>41493</v>
          </cell>
          <cell r="AH398">
            <v>63.178280000000001</v>
          </cell>
          <cell r="AM398">
            <v>41493</v>
          </cell>
          <cell r="AO398">
            <v>49.04777</v>
          </cell>
          <cell r="AT398">
            <v>41493</v>
          </cell>
          <cell r="AV398">
            <v>37.192889999999998</v>
          </cell>
          <cell r="BA398">
            <v>41493</v>
          </cell>
          <cell r="BC398">
            <v>19.130210000000002</v>
          </cell>
          <cell r="BH398">
            <v>41493</v>
          </cell>
          <cell r="BJ398">
            <v>22.53716</v>
          </cell>
        </row>
        <row r="399">
          <cell r="D399">
            <v>41492</v>
          </cell>
          <cell r="F399">
            <v>178.70839000000001</v>
          </cell>
          <cell r="K399">
            <v>41492</v>
          </cell>
          <cell r="M399">
            <v>24.46771</v>
          </cell>
          <cell r="R399">
            <v>41492</v>
          </cell>
          <cell r="T399">
            <v>3.72</v>
          </cell>
          <cell r="Y399">
            <v>41492</v>
          </cell>
          <cell r="AA399">
            <v>300.75</v>
          </cell>
          <cell r="AF399">
            <v>41492</v>
          </cell>
          <cell r="AH399">
            <v>63.214970000000001</v>
          </cell>
          <cell r="AM399">
            <v>41492</v>
          </cell>
          <cell r="AO399">
            <v>49.33549</v>
          </cell>
          <cell r="AT399">
            <v>41492</v>
          </cell>
          <cell r="AV399">
            <v>37.39669</v>
          </cell>
          <cell r="BA399">
            <v>41492</v>
          </cell>
          <cell r="BC399">
            <v>18.778479999999998</v>
          </cell>
          <cell r="BH399">
            <v>41492</v>
          </cell>
          <cell r="BJ399">
            <v>22.50938</v>
          </cell>
        </row>
        <row r="400">
          <cell r="D400">
            <v>41491</v>
          </cell>
          <cell r="F400">
            <v>182.92838</v>
          </cell>
          <cell r="K400">
            <v>41491</v>
          </cell>
          <cell r="M400">
            <v>24.561060000000001</v>
          </cell>
          <cell r="R400">
            <v>41491</v>
          </cell>
          <cell r="T400">
            <v>3.82</v>
          </cell>
          <cell r="Y400">
            <v>41491</v>
          </cell>
          <cell r="AA400">
            <v>300.99</v>
          </cell>
          <cell r="AF400">
            <v>41491</v>
          </cell>
          <cell r="AH400">
            <v>63.785629999999998</v>
          </cell>
          <cell r="AM400">
            <v>41491</v>
          </cell>
          <cell r="AO400">
            <v>49.431399999999996</v>
          </cell>
          <cell r="AT400">
            <v>41491</v>
          </cell>
          <cell r="AV400">
            <v>37.322580000000002</v>
          </cell>
          <cell r="BA400">
            <v>41491</v>
          </cell>
          <cell r="BC400">
            <v>19.052050000000001</v>
          </cell>
          <cell r="BH400">
            <v>41491</v>
          </cell>
          <cell r="BJ400">
            <v>22.70382</v>
          </cell>
        </row>
        <row r="401">
          <cell r="D401">
            <v>41488</v>
          </cell>
          <cell r="F401">
            <v>182.61024</v>
          </cell>
          <cell r="K401">
            <v>41488</v>
          </cell>
          <cell r="M401">
            <v>24.44904</v>
          </cell>
          <cell r="R401">
            <v>41488</v>
          </cell>
          <cell r="T401">
            <v>3.8</v>
          </cell>
          <cell r="Y401">
            <v>41488</v>
          </cell>
          <cell r="AA401">
            <v>304.20999999999998</v>
          </cell>
          <cell r="AF401">
            <v>41488</v>
          </cell>
          <cell r="AH401">
            <v>62.84675</v>
          </cell>
          <cell r="AM401">
            <v>41488</v>
          </cell>
          <cell r="AO401">
            <v>49.018990000000002</v>
          </cell>
          <cell r="AT401">
            <v>41488</v>
          </cell>
          <cell r="AV401">
            <v>37.257739999999998</v>
          </cell>
          <cell r="BA401">
            <v>41488</v>
          </cell>
          <cell r="BC401">
            <v>18.91526</v>
          </cell>
          <cell r="BH401">
            <v>41488</v>
          </cell>
          <cell r="BJ401">
            <v>22.87049</v>
          </cell>
        </row>
        <row r="402">
          <cell r="D402">
            <v>41487</v>
          </cell>
          <cell r="F402">
            <v>183.21843999999999</v>
          </cell>
          <cell r="K402">
            <v>41487</v>
          </cell>
          <cell r="M402">
            <v>24.169920000000001</v>
          </cell>
          <cell r="R402">
            <v>41487</v>
          </cell>
          <cell r="T402">
            <v>3.81</v>
          </cell>
          <cell r="Y402">
            <v>41487</v>
          </cell>
          <cell r="AA402">
            <v>305.57</v>
          </cell>
          <cell r="AF402">
            <v>41487</v>
          </cell>
          <cell r="AH402">
            <v>62.049990000000001</v>
          </cell>
          <cell r="AM402">
            <v>41487</v>
          </cell>
          <cell r="AO402">
            <v>48.999809999999997</v>
          </cell>
          <cell r="AT402">
            <v>41487</v>
          </cell>
          <cell r="AV402">
            <v>37.581960000000002</v>
          </cell>
          <cell r="BA402">
            <v>41487</v>
          </cell>
          <cell r="BC402">
            <v>19.110669999999999</v>
          </cell>
          <cell r="BH402">
            <v>41487</v>
          </cell>
          <cell r="BJ402">
            <v>22.796420000000001</v>
          </cell>
        </row>
        <row r="403">
          <cell r="D403">
            <v>41486</v>
          </cell>
          <cell r="F403">
            <v>182.49796000000001</v>
          </cell>
          <cell r="K403">
            <v>41486</v>
          </cell>
          <cell r="M403">
            <v>23.888929999999998</v>
          </cell>
          <cell r="R403">
            <v>41486</v>
          </cell>
          <cell r="T403">
            <v>3.77</v>
          </cell>
          <cell r="Y403">
            <v>41486</v>
          </cell>
          <cell r="AA403">
            <v>301.22000000000003</v>
          </cell>
          <cell r="AF403">
            <v>41486</v>
          </cell>
          <cell r="AH403">
            <v>61.486660000000001</v>
          </cell>
          <cell r="AM403">
            <v>41486</v>
          </cell>
          <cell r="AO403">
            <v>48.04072</v>
          </cell>
          <cell r="AT403">
            <v>41486</v>
          </cell>
          <cell r="AV403">
            <v>37.128050000000002</v>
          </cell>
          <cell r="BA403">
            <v>41486</v>
          </cell>
          <cell r="BC403">
            <v>18.944569999999999</v>
          </cell>
          <cell r="BH403">
            <v>41486</v>
          </cell>
          <cell r="BJ403">
            <v>22.56494</v>
          </cell>
        </row>
        <row r="404">
          <cell r="D404">
            <v>41485</v>
          </cell>
          <cell r="F404">
            <v>183.40557999999999</v>
          </cell>
          <cell r="K404">
            <v>41485</v>
          </cell>
          <cell r="M404">
            <v>23.963609999999999</v>
          </cell>
          <cell r="R404">
            <v>41485</v>
          </cell>
          <cell r="T404">
            <v>3.82</v>
          </cell>
          <cell r="Y404">
            <v>41485</v>
          </cell>
          <cell r="AA404">
            <v>302.41000000000003</v>
          </cell>
          <cell r="AF404">
            <v>41485</v>
          </cell>
          <cell r="AH404">
            <v>61.594000000000001</v>
          </cell>
          <cell r="AM404">
            <v>41485</v>
          </cell>
          <cell r="AO404">
            <v>48.194180000000003</v>
          </cell>
          <cell r="AT404">
            <v>41485</v>
          </cell>
          <cell r="AV404">
            <v>37.350369999999998</v>
          </cell>
          <cell r="BA404">
            <v>41485</v>
          </cell>
          <cell r="BC404">
            <v>17.576730000000001</v>
          </cell>
          <cell r="BH404">
            <v>41485</v>
          </cell>
          <cell r="BJ404">
            <v>22.666789999999999</v>
          </cell>
        </row>
        <row r="405">
          <cell r="D405">
            <v>41484</v>
          </cell>
          <cell r="F405">
            <v>183.59272000000001</v>
          </cell>
          <cell r="K405">
            <v>41484</v>
          </cell>
          <cell r="M405">
            <v>23.64621</v>
          </cell>
          <cell r="R405">
            <v>41484</v>
          </cell>
          <cell r="T405">
            <v>3.75</v>
          </cell>
          <cell r="Y405">
            <v>41484</v>
          </cell>
          <cell r="AA405">
            <v>306.10000000000002</v>
          </cell>
          <cell r="AF405">
            <v>41484</v>
          </cell>
          <cell r="AH405">
            <v>60.842619999999997</v>
          </cell>
          <cell r="AM405">
            <v>41484</v>
          </cell>
          <cell r="AO405">
            <v>48.510680000000001</v>
          </cell>
          <cell r="AT405">
            <v>41484</v>
          </cell>
          <cell r="AV405">
            <v>37.313319999999997</v>
          </cell>
          <cell r="BA405">
            <v>41484</v>
          </cell>
          <cell r="BC405">
            <v>17.361789999999999</v>
          </cell>
          <cell r="BH405">
            <v>41484</v>
          </cell>
          <cell r="BJ405">
            <v>22.67605</v>
          </cell>
        </row>
        <row r="406">
          <cell r="D406">
            <v>41481</v>
          </cell>
          <cell r="F406">
            <v>184.65941000000001</v>
          </cell>
          <cell r="K406">
            <v>41481</v>
          </cell>
          <cell r="M406">
            <v>23.801169999999999</v>
          </cell>
          <cell r="R406">
            <v>41481</v>
          </cell>
          <cell r="T406">
            <v>3.82</v>
          </cell>
          <cell r="Y406">
            <v>41481</v>
          </cell>
          <cell r="AA406">
            <v>312.01</v>
          </cell>
          <cell r="AF406">
            <v>41481</v>
          </cell>
          <cell r="AH406">
            <v>59.918689999999998</v>
          </cell>
          <cell r="AM406">
            <v>41481</v>
          </cell>
          <cell r="AO406">
            <v>48.971040000000002</v>
          </cell>
          <cell r="AT406">
            <v>41481</v>
          </cell>
          <cell r="AV406">
            <v>37.646799999999999</v>
          </cell>
          <cell r="BA406">
            <v>41481</v>
          </cell>
          <cell r="BC406">
            <v>17.68421</v>
          </cell>
          <cell r="BH406">
            <v>41481</v>
          </cell>
          <cell r="BJ406">
            <v>22.824200000000001</v>
          </cell>
        </row>
        <row r="407">
          <cell r="D407">
            <v>41480</v>
          </cell>
          <cell r="F407">
            <v>184.53776999999999</v>
          </cell>
          <cell r="K407">
            <v>41480</v>
          </cell>
          <cell r="M407">
            <v>23.80491</v>
          </cell>
          <cell r="R407">
            <v>41480</v>
          </cell>
          <cell r="T407">
            <v>3.7</v>
          </cell>
          <cell r="Y407">
            <v>41480</v>
          </cell>
          <cell r="AA407">
            <v>303.39999999999998</v>
          </cell>
          <cell r="AF407">
            <v>41480</v>
          </cell>
          <cell r="AH407">
            <v>59.580359999999999</v>
          </cell>
          <cell r="AM407">
            <v>41480</v>
          </cell>
          <cell r="AO407">
            <v>47.637909999999998</v>
          </cell>
          <cell r="AT407">
            <v>41480</v>
          </cell>
          <cell r="AV407">
            <v>37.832070000000002</v>
          </cell>
          <cell r="BA407">
            <v>41480</v>
          </cell>
          <cell r="BC407">
            <v>17.713519999999999</v>
          </cell>
          <cell r="BH407">
            <v>41480</v>
          </cell>
          <cell r="BJ407">
            <v>22.861229999999999</v>
          </cell>
        </row>
        <row r="408">
          <cell r="D408">
            <v>41479</v>
          </cell>
          <cell r="F408">
            <v>183.96700000000001</v>
          </cell>
          <cell r="K408">
            <v>41479</v>
          </cell>
          <cell r="M408">
            <v>23.888929999999998</v>
          </cell>
          <cell r="R408">
            <v>41479</v>
          </cell>
          <cell r="T408">
            <v>3.63</v>
          </cell>
          <cell r="Y408">
            <v>41479</v>
          </cell>
          <cell r="AA408">
            <v>298.94</v>
          </cell>
          <cell r="AF408">
            <v>41479</v>
          </cell>
          <cell r="AH408">
            <v>59.853470000000002</v>
          </cell>
          <cell r="AM408">
            <v>41479</v>
          </cell>
          <cell r="AO408">
            <v>47.820129999999999</v>
          </cell>
          <cell r="AT408">
            <v>41479</v>
          </cell>
          <cell r="AV408">
            <v>37.8506</v>
          </cell>
          <cell r="BA408">
            <v>41479</v>
          </cell>
          <cell r="BC408">
            <v>17.35202</v>
          </cell>
          <cell r="BH408">
            <v>41479</v>
          </cell>
          <cell r="BJ408">
            <v>22.796420000000001</v>
          </cell>
        </row>
        <row r="409">
          <cell r="D409">
            <v>41478</v>
          </cell>
          <cell r="F409">
            <v>182.44182000000001</v>
          </cell>
          <cell r="K409">
            <v>41478</v>
          </cell>
          <cell r="M409">
            <v>23.86092</v>
          </cell>
          <cell r="R409">
            <v>41478</v>
          </cell>
          <cell r="T409">
            <v>3.66</v>
          </cell>
          <cell r="Y409">
            <v>41478</v>
          </cell>
          <cell r="AA409">
            <v>301.06</v>
          </cell>
          <cell r="AF409">
            <v>41478</v>
          </cell>
          <cell r="AH409">
            <v>56.929479999999998</v>
          </cell>
          <cell r="AM409">
            <v>41478</v>
          </cell>
          <cell r="AO409">
            <v>48.127040000000001</v>
          </cell>
          <cell r="AT409">
            <v>41478</v>
          </cell>
          <cell r="AV409">
            <v>37.943240000000003</v>
          </cell>
          <cell r="BA409">
            <v>41478</v>
          </cell>
          <cell r="BC409">
            <v>17.43995</v>
          </cell>
          <cell r="BH409">
            <v>41478</v>
          </cell>
          <cell r="BJ409">
            <v>22.879750000000001</v>
          </cell>
        </row>
        <row r="410">
          <cell r="D410">
            <v>41477</v>
          </cell>
          <cell r="F410">
            <v>181.60905</v>
          </cell>
          <cell r="K410">
            <v>41477</v>
          </cell>
          <cell r="M410">
            <v>24.010280000000002</v>
          </cell>
          <cell r="R410">
            <v>41477</v>
          </cell>
          <cell r="T410">
            <v>3.9</v>
          </cell>
          <cell r="Y410">
            <v>41477</v>
          </cell>
          <cell r="AA410">
            <v>303.48</v>
          </cell>
          <cell r="AF410">
            <v>41477</v>
          </cell>
          <cell r="AH410">
            <v>57.92407</v>
          </cell>
          <cell r="AM410">
            <v>41477</v>
          </cell>
          <cell r="AO410">
            <v>48.453130000000002</v>
          </cell>
          <cell r="AT410">
            <v>41477</v>
          </cell>
          <cell r="AV410">
            <v>37.832070000000002</v>
          </cell>
          <cell r="BA410">
            <v>41477</v>
          </cell>
          <cell r="BC410">
            <v>17.615819999999999</v>
          </cell>
          <cell r="BH410">
            <v>41477</v>
          </cell>
          <cell r="BJ410">
            <v>23.018640000000001</v>
          </cell>
        </row>
        <row r="411">
          <cell r="D411">
            <v>41474</v>
          </cell>
          <cell r="F411">
            <v>181.09442000000001</v>
          </cell>
          <cell r="K411">
            <v>41474</v>
          </cell>
          <cell r="M411">
            <v>24.103639999999999</v>
          </cell>
          <cell r="R411">
            <v>41474</v>
          </cell>
          <cell r="T411">
            <v>4.03</v>
          </cell>
          <cell r="Y411">
            <v>41474</v>
          </cell>
          <cell r="AA411">
            <v>305.23</v>
          </cell>
          <cell r="AF411">
            <v>41474</v>
          </cell>
          <cell r="AH411">
            <v>57.739280000000001</v>
          </cell>
          <cell r="AM411">
            <v>41474</v>
          </cell>
          <cell r="AO411">
            <v>48.453130000000002</v>
          </cell>
          <cell r="AT411">
            <v>41474</v>
          </cell>
          <cell r="AV411">
            <v>38.063659999999999</v>
          </cell>
          <cell r="BA411">
            <v>41474</v>
          </cell>
          <cell r="BC411">
            <v>17.488800000000001</v>
          </cell>
          <cell r="BH411">
            <v>41474</v>
          </cell>
          <cell r="BJ411">
            <v>22.889009999999999</v>
          </cell>
        </row>
        <row r="412">
          <cell r="D412">
            <v>41473</v>
          </cell>
          <cell r="F412">
            <v>185.25826000000001</v>
          </cell>
          <cell r="K412">
            <v>41473</v>
          </cell>
          <cell r="M412">
            <v>24.140979999999999</v>
          </cell>
          <cell r="R412">
            <v>41473</v>
          </cell>
          <cell r="T412">
            <v>4.6399999999999997</v>
          </cell>
          <cell r="Y412">
            <v>41473</v>
          </cell>
          <cell r="AA412">
            <v>304.11</v>
          </cell>
          <cell r="AF412">
            <v>41473</v>
          </cell>
          <cell r="AH412">
            <v>58.664299999999997</v>
          </cell>
          <cell r="AM412">
            <v>41473</v>
          </cell>
          <cell r="AO412">
            <v>48.107860000000002</v>
          </cell>
          <cell r="AT412">
            <v>41473</v>
          </cell>
          <cell r="AV412">
            <v>37.804279999999999</v>
          </cell>
          <cell r="BA412">
            <v>41473</v>
          </cell>
          <cell r="BC412">
            <v>17.615819999999999</v>
          </cell>
          <cell r="BH412">
            <v>41473</v>
          </cell>
          <cell r="BJ412">
            <v>21.879750000000001</v>
          </cell>
        </row>
        <row r="413">
          <cell r="D413">
            <v>41472</v>
          </cell>
          <cell r="F413">
            <v>182.03946999999999</v>
          </cell>
          <cell r="K413">
            <v>41472</v>
          </cell>
          <cell r="M413">
            <v>24.010280000000002</v>
          </cell>
          <cell r="R413">
            <v>41472</v>
          </cell>
          <cell r="T413">
            <v>4.38</v>
          </cell>
          <cell r="Y413">
            <v>41472</v>
          </cell>
          <cell r="AA413">
            <v>308.69</v>
          </cell>
          <cell r="AF413">
            <v>41472</v>
          </cell>
          <cell r="AH413">
            <v>58.467559999999999</v>
          </cell>
          <cell r="AM413">
            <v>41472</v>
          </cell>
          <cell r="AO413">
            <v>47.522820000000003</v>
          </cell>
          <cell r="AT413">
            <v>41472</v>
          </cell>
          <cell r="AV413">
            <v>37.832070000000002</v>
          </cell>
          <cell r="BA413">
            <v>41472</v>
          </cell>
          <cell r="BC413">
            <v>17.273859999999999</v>
          </cell>
          <cell r="BH413">
            <v>41472</v>
          </cell>
          <cell r="BJ413">
            <v>21.796410000000002</v>
          </cell>
        </row>
        <row r="414">
          <cell r="D414">
            <v>41471</v>
          </cell>
          <cell r="F414">
            <v>181.38448</v>
          </cell>
          <cell r="K414">
            <v>41471</v>
          </cell>
          <cell r="M414">
            <v>24.00095</v>
          </cell>
          <cell r="R414">
            <v>41471</v>
          </cell>
          <cell r="T414">
            <v>4.43</v>
          </cell>
          <cell r="Y414">
            <v>41471</v>
          </cell>
          <cell r="AA414">
            <v>306.87</v>
          </cell>
          <cell r="AF414">
            <v>41471</v>
          </cell>
          <cell r="AH414">
            <v>58.45194</v>
          </cell>
          <cell r="AM414">
            <v>41471</v>
          </cell>
          <cell r="AO414">
            <v>47.206319999999998</v>
          </cell>
          <cell r="AT414">
            <v>41471</v>
          </cell>
          <cell r="AV414">
            <v>37.267000000000003</v>
          </cell>
          <cell r="BA414">
            <v>41471</v>
          </cell>
          <cell r="BC414">
            <v>17.557189999999999</v>
          </cell>
          <cell r="BH414">
            <v>41471</v>
          </cell>
          <cell r="BJ414">
            <v>21.694559999999999</v>
          </cell>
        </row>
        <row r="415">
          <cell r="D415">
            <v>41470</v>
          </cell>
          <cell r="F415">
            <v>181.52484000000001</v>
          </cell>
          <cell r="K415">
            <v>41470</v>
          </cell>
          <cell r="M415">
            <v>24.206320000000002</v>
          </cell>
          <cell r="R415">
            <v>41470</v>
          </cell>
          <cell r="T415">
            <v>4.4000000000000004</v>
          </cell>
          <cell r="Y415">
            <v>41470</v>
          </cell>
          <cell r="AA415">
            <v>306.57</v>
          </cell>
          <cell r="AF415">
            <v>41470</v>
          </cell>
          <cell r="AH415">
            <v>58.077599999999997</v>
          </cell>
          <cell r="AM415">
            <v>41470</v>
          </cell>
          <cell r="AO415">
            <v>47.705039999999997</v>
          </cell>
          <cell r="AT415">
            <v>41470</v>
          </cell>
          <cell r="AV415">
            <v>37.989550000000001</v>
          </cell>
          <cell r="BA415">
            <v>41470</v>
          </cell>
          <cell r="BC415">
            <v>17.51811</v>
          </cell>
          <cell r="BH415">
            <v>41470</v>
          </cell>
          <cell r="BJ415">
            <v>21.879750000000001</v>
          </cell>
        </row>
        <row r="416">
          <cell r="D416">
            <v>41467</v>
          </cell>
          <cell r="F416">
            <v>179.71894</v>
          </cell>
          <cell r="K416">
            <v>41467</v>
          </cell>
          <cell r="M416">
            <v>24.21566</v>
          </cell>
          <cell r="R416">
            <v>41467</v>
          </cell>
          <cell r="T416">
            <v>4.32</v>
          </cell>
          <cell r="Y416">
            <v>41467</v>
          </cell>
          <cell r="AA416">
            <v>307.55</v>
          </cell>
          <cell r="AF416">
            <v>41467</v>
          </cell>
          <cell r="AH416">
            <v>57.951239999999999</v>
          </cell>
          <cell r="AM416">
            <v>41467</v>
          </cell>
          <cell r="AO416">
            <v>47.580359999999999</v>
          </cell>
          <cell r="AT416">
            <v>41467</v>
          </cell>
          <cell r="AV416">
            <v>38.00808</v>
          </cell>
          <cell r="BA416">
            <v>41467</v>
          </cell>
          <cell r="BC416">
            <v>17.498570000000001</v>
          </cell>
          <cell r="BH416">
            <v>41467</v>
          </cell>
          <cell r="BJ416">
            <v>22.000119999999999</v>
          </cell>
        </row>
        <row r="417">
          <cell r="D417">
            <v>41466</v>
          </cell>
          <cell r="F417">
            <v>180.40199999999999</v>
          </cell>
          <cell r="K417">
            <v>41466</v>
          </cell>
          <cell r="M417">
            <v>24.150310000000001</v>
          </cell>
          <cell r="R417">
            <v>41466</v>
          </cell>
          <cell r="T417">
            <v>4.45</v>
          </cell>
          <cell r="Y417">
            <v>41466</v>
          </cell>
          <cell r="AA417">
            <v>299.66000000000003</v>
          </cell>
          <cell r="AF417">
            <v>41466</v>
          </cell>
          <cell r="AH417">
            <v>58.056950000000001</v>
          </cell>
          <cell r="AM417">
            <v>41466</v>
          </cell>
          <cell r="AO417">
            <v>47.51323</v>
          </cell>
          <cell r="AT417">
            <v>41466</v>
          </cell>
          <cell r="AV417">
            <v>38.00808</v>
          </cell>
          <cell r="BA417">
            <v>41466</v>
          </cell>
          <cell r="BC417">
            <v>17.488800000000001</v>
          </cell>
          <cell r="BH417">
            <v>41466</v>
          </cell>
          <cell r="BJ417">
            <v>22.166779999999999</v>
          </cell>
        </row>
        <row r="418">
          <cell r="D418">
            <v>41465</v>
          </cell>
          <cell r="F418">
            <v>179.88737</v>
          </cell>
          <cell r="K418">
            <v>41465</v>
          </cell>
          <cell r="M418">
            <v>23.720890000000001</v>
          </cell>
          <cell r="R418">
            <v>41465</v>
          </cell>
          <cell r="T418">
            <v>3.98</v>
          </cell>
          <cell r="Y418">
            <v>41465</v>
          </cell>
          <cell r="AA418">
            <v>292.33</v>
          </cell>
          <cell r="AF418">
            <v>41465</v>
          </cell>
          <cell r="AH418">
            <v>57.165900000000001</v>
          </cell>
          <cell r="AM418">
            <v>41465</v>
          </cell>
          <cell r="AO418">
            <v>46.793909999999997</v>
          </cell>
          <cell r="AT418">
            <v>41465</v>
          </cell>
          <cell r="AV418">
            <v>37.683860000000003</v>
          </cell>
          <cell r="BA418">
            <v>41465</v>
          </cell>
          <cell r="BC418">
            <v>17.185919999999999</v>
          </cell>
          <cell r="BH418">
            <v>41465</v>
          </cell>
          <cell r="BJ418">
            <v>21.796410000000002</v>
          </cell>
        </row>
        <row r="419">
          <cell r="D419">
            <v>41464</v>
          </cell>
          <cell r="F419">
            <v>178.99845999999999</v>
          </cell>
          <cell r="K419">
            <v>41464</v>
          </cell>
          <cell r="M419">
            <v>23.482839999999999</v>
          </cell>
          <cell r="R419">
            <v>41464</v>
          </cell>
          <cell r="T419">
            <v>4.05</v>
          </cell>
          <cell r="Y419">
            <v>41464</v>
          </cell>
          <cell r="AA419">
            <v>291.52999999999997</v>
          </cell>
          <cell r="AF419">
            <v>41464</v>
          </cell>
          <cell r="AH419">
            <v>57.386009999999999</v>
          </cell>
          <cell r="AM419">
            <v>41464</v>
          </cell>
          <cell r="AO419">
            <v>46.045819999999999</v>
          </cell>
          <cell r="AT419">
            <v>41464</v>
          </cell>
          <cell r="AV419">
            <v>37.822809999999997</v>
          </cell>
          <cell r="BA419">
            <v>41464</v>
          </cell>
          <cell r="BC419">
            <v>16.580169999999999</v>
          </cell>
          <cell r="BH419">
            <v>41464</v>
          </cell>
          <cell r="BJ419">
            <v>21.87049</v>
          </cell>
        </row>
        <row r="420">
          <cell r="D420">
            <v>41463</v>
          </cell>
          <cell r="F420">
            <v>182.44182000000001</v>
          </cell>
          <cell r="K420">
            <v>41463</v>
          </cell>
          <cell r="M420">
            <v>22.98807</v>
          </cell>
          <cell r="R420">
            <v>41463</v>
          </cell>
          <cell r="T420">
            <v>4</v>
          </cell>
          <cell r="Y420">
            <v>41463</v>
          </cell>
          <cell r="AA420">
            <v>290.58999999999997</v>
          </cell>
          <cell r="AF420">
            <v>41463</v>
          </cell>
          <cell r="AH420">
            <v>56.39414</v>
          </cell>
          <cell r="AM420">
            <v>41463</v>
          </cell>
          <cell r="AO420">
            <v>45.595050000000001</v>
          </cell>
          <cell r="AT420">
            <v>41463</v>
          </cell>
          <cell r="AV420">
            <v>37.554169999999999</v>
          </cell>
          <cell r="BA420">
            <v>41463</v>
          </cell>
          <cell r="BC420">
            <v>16.609480000000001</v>
          </cell>
          <cell r="BH420">
            <v>41463</v>
          </cell>
          <cell r="BJ420">
            <v>21.59271</v>
          </cell>
        </row>
        <row r="421">
          <cell r="D421">
            <v>41460</v>
          </cell>
          <cell r="F421">
            <v>182.39502999999999</v>
          </cell>
          <cell r="K421">
            <v>41460</v>
          </cell>
          <cell r="M421">
            <v>22.936730000000001</v>
          </cell>
          <cell r="R421">
            <v>41460</v>
          </cell>
          <cell r="T421">
            <v>4.07</v>
          </cell>
          <cell r="Y421">
            <v>41460</v>
          </cell>
          <cell r="AA421">
            <v>285.88</v>
          </cell>
          <cell r="AF421">
            <v>41460</v>
          </cell>
          <cell r="AH421">
            <v>56.716160000000002</v>
          </cell>
          <cell r="AM421">
            <v>41460</v>
          </cell>
          <cell r="AO421">
            <v>45.633409999999998</v>
          </cell>
          <cell r="AT421">
            <v>41460</v>
          </cell>
          <cell r="AV421">
            <v>37.535640000000001</v>
          </cell>
          <cell r="BA421">
            <v>41460</v>
          </cell>
          <cell r="BC421">
            <v>16.609480000000001</v>
          </cell>
          <cell r="BH421">
            <v>41460</v>
          </cell>
          <cell r="BJ421">
            <v>21.518630000000002</v>
          </cell>
        </row>
        <row r="422">
          <cell r="D422">
            <v>41458</v>
          </cell>
          <cell r="F422">
            <v>180.82306</v>
          </cell>
          <cell r="K422">
            <v>41458</v>
          </cell>
          <cell r="M422">
            <v>22.955400000000001</v>
          </cell>
          <cell r="R422">
            <v>41458</v>
          </cell>
          <cell r="T422">
            <v>4.0599999999999996</v>
          </cell>
          <cell r="Y422">
            <v>41458</v>
          </cell>
          <cell r="AA422">
            <v>284.02999999999997</v>
          </cell>
          <cell r="AF422">
            <v>41458</v>
          </cell>
          <cell r="AH422">
            <v>57.175409999999999</v>
          </cell>
          <cell r="AM422">
            <v>41458</v>
          </cell>
          <cell r="AO422">
            <v>45.364870000000003</v>
          </cell>
          <cell r="AT422">
            <v>41458</v>
          </cell>
          <cell r="AV422">
            <v>37.507849999999998</v>
          </cell>
          <cell r="BA422">
            <v>41458</v>
          </cell>
          <cell r="BC422">
            <v>16.580169999999999</v>
          </cell>
          <cell r="BH422">
            <v>41458</v>
          </cell>
          <cell r="BJ422">
            <v>21.213080000000001</v>
          </cell>
        </row>
        <row r="423">
          <cell r="D423">
            <v>41457</v>
          </cell>
          <cell r="F423">
            <v>179.18559999999999</v>
          </cell>
          <cell r="K423">
            <v>41457</v>
          </cell>
          <cell r="M423">
            <v>22.70335</v>
          </cell>
          <cell r="R423">
            <v>41457</v>
          </cell>
          <cell r="T423">
            <v>3.97</v>
          </cell>
          <cell r="Y423">
            <v>41457</v>
          </cell>
          <cell r="AA423">
            <v>283.73</v>
          </cell>
          <cell r="AF423">
            <v>41457</v>
          </cell>
          <cell r="AH423">
            <v>56.861539999999998</v>
          </cell>
          <cell r="AM423">
            <v>41457</v>
          </cell>
          <cell r="AO423">
            <v>45.096319999999999</v>
          </cell>
          <cell r="AT423">
            <v>41457</v>
          </cell>
          <cell r="AV423">
            <v>37.39669</v>
          </cell>
          <cell r="BA423">
            <v>41457</v>
          </cell>
          <cell r="BC423">
            <v>16.443380000000001</v>
          </cell>
          <cell r="BH423">
            <v>41457</v>
          </cell>
          <cell r="BJ423">
            <v>21.20382</v>
          </cell>
        </row>
        <row r="424">
          <cell r="D424">
            <v>41456</v>
          </cell>
          <cell r="F424">
            <v>178.97975</v>
          </cell>
          <cell r="K424">
            <v>41456</v>
          </cell>
          <cell r="M424">
            <v>22.71735</v>
          </cell>
          <cell r="R424">
            <v>41456</v>
          </cell>
          <cell r="T424">
            <v>4.0999999999999996</v>
          </cell>
          <cell r="Y424">
            <v>41456</v>
          </cell>
          <cell r="AA424">
            <v>282.10000000000002</v>
          </cell>
          <cell r="AF424">
            <v>41456</v>
          </cell>
          <cell r="AH424">
            <v>55.601999999999997</v>
          </cell>
          <cell r="AM424">
            <v>41456</v>
          </cell>
          <cell r="AO424">
            <v>45.643000000000001</v>
          </cell>
          <cell r="AT424">
            <v>41456</v>
          </cell>
          <cell r="AV424">
            <v>37.480060000000002</v>
          </cell>
          <cell r="BA424">
            <v>41456</v>
          </cell>
          <cell r="BC424">
            <v>16.3066</v>
          </cell>
          <cell r="BH424">
            <v>41456</v>
          </cell>
          <cell r="BJ424">
            <v>21.611229999999999</v>
          </cell>
        </row>
        <row r="425">
          <cell r="D425">
            <v>41453</v>
          </cell>
          <cell r="F425">
            <v>178.82068000000001</v>
          </cell>
          <cell r="K425">
            <v>41453</v>
          </cell>
          <cell r="M425">
            <v>22.55865</v>
          </cell>
          <cell r="R425">
            <v>41453</v>
          </cell>
          <cell r="T425">
            <v>4.08</v>
          </cell>
          <cell r="Y425">
            <v>41453</v>
          </cell>
          <cell r="AA425">
            <v>277.69</v>
          </cell>
          <cell r="AF425">
            <v>41453</v>
          </cell>
          <cell r="AH425">
            <v>53.877769999999998</v>
          </cell>
          <cell r="AM425">
            <v>41453</v>
          </cell>
          <cell r="AO425">
            <v>45.26896</v>
          </cell>
          <cell r="AT425">
            <v>41453</v>
          </cell>
          <cell r="AV425">
            <v>37.155839999999998</v>
          </cell>
          <cell r="BA425">
            <v>41453</v>
          </cell>
          <cell r="BC425">
            <v>16.13073</v>
          </cell>
          <cell r="BH425">
            <v>41453</v>
          </cell>
          <cell r="BJ425">
            <v>21.472339999999999</v>
          </cell>
        </row>
        <row r="426">
          <cell r="D426">
            <v>41452</v>
          </cell>
          <cell r="F426">
            <v>183.06872999999999</v>
          </cell>
          <cell r="K426">
            <v>41452</v>
          </cell>
          <cell r="M426">
            <v>22.83212</v>
          </cell>
          <cell r="R426">
            <v>41452</v>
          </cell>
          <cell r="T426">
            <v>4.08</v>
          </cell>
          <cell r="Y426">
            <v>41452</v>
          </cell>
          <cell r="AA426">
            <v>277.55</v>
          </cell>
          <cell r="AF426">
            <v>41452</v>
          </cell>
          <cell r="AH426">
            <v>53.50412</v>
          </cell>
          <cell r="AM426">
            <v>41452</v>
          </cell>
          <cell r="AO426">
            <v>45.767690000000002</v>
          </cell>
          <cell r="AT426">
            <v>41452</v>
          </cell>
          <cell r="AV426">
            <v>37.294789999999999</v>
          </cell>
          <cell r="BA426">
            <v>41452</v>
          </cell>
          <cell r="BC426">
            <v>16.267520000000001</v>
          </cell>
          <cell r="BH426">
            <v>41452</v>
          </cell>
          <cell r="BJ426">
            <v>21.59271</v>
          </cell>
        </row>
        <row r="427">
          <cell r="D427">
            <v>41451</v>
          </cell>
          <cell r="F427">
            <v>182.32953000000001</v>
          </cell>
          <cell r="K427">
            <v>41451</v>
          </cell>
          <cell r="M427">
            <v>22.605</v>
          </cell>
          <cell r="R427">
            <v>41451</v>
          </cell>
          <cell r="T427">
            <v>4.1399999999999997</v>
          </cell>
          <cell r="Y427">
            <v>41451</v>
          </cell>
          <cell r="AA427">
            <v>277.57</v>
          </cell>
          <cell r="AF427">
            <v>41451</v>
          </cell>
          <cell r="AH427">
            <v>54.087009999999999</v>
          </cell>
          <cell r="AM427">
            <v>41451</v>
          </cell>
          <cell r="AO427">
            <v>45.67897</v>
          </cell>
          <cell r="AT427">
            <v>41451</v>
          </cell>
          <cell r="AV427">
            <v>37.359639999999999</v>
          </cell>
          <cell r="BA427">
            <v>41451</v>
          </cell>
          <cell r="BC427">
            <v>15.98418</v>
          </cell>
          <cell r="BH427">
            <v>41451</v>
          </cell>
          <cell r="BJ427">
            <v>21.527889999999999</v>
          </cell>
        </row>
        <row r="428">
          <cell r="D428">
            <v>41450</v>
          </cell>
          <cell r="F428">
            <v>182.44182000000001</v>
          </cell>
          <cell r="K428">
            <v>41450</v>
          </cell>
          <cell r="M428">
            <v>22.252739999999999</v>
          </cell>
          <cell r="R428">
            <v>41450</v>
          </cell>
          <cell r="T428">
            <v>4.1500000000000004</v>
          </cell>
          <cell r="Y428">
            <v>41450</v>
          </cell>
          <cell r="AA428">
            <v>272.08800000000002</v>
          </cell>
          <cell r="AF428">
            <v>41450</v>
          </cell>
          <cell r="AH428">
            <v>54.706589999999998</v>
          </cell>
          <cell r="AM428">
            <v>41450</v>
          </cell>
          <cell r="AO428">
            <v>44.449550000000002</v>
          </cell>
          <cell r="AT428">
            <v>41450</v>
          </cell>
          <cell r="AV428">
            <v>36.794559999999997</v>
          </cell>
          <cell r="BA428">
            <v>41450</v>
          </cell>
          <cell r="BC428">
            <v>16.150269999999999</v>
          </cell>
          <cell r="BH428">
            <v>41450</v>
          </cell>
          <cell r="BJ428">
            <v>21.398260000000001</v>
          </cell>
        </row>
        <row r="429">
          <cell r="D429">
            <v>41449</v>
          </cell>
          <cell r="F429">
            <v>181.09442000000001</v>
          </cell>
          <cell r="K429">
            <v>41449</v>
          </cell>
          <cell r="M429">
            <v>22.29909</v>
          </cell>
          <cell r="R429">
            <v>41449</v>
          </cell>
          <cell r="T429">
            <v>4.05</v>
          </cell>
          <cell r="Y429">
            <v>41449</v>
          </cell>
          <cell r="AA429">
            <v>270.61</v>
          </cell>
          <cell r="AF429">
            <v>41449</v>
          </cell>
          <cell r="AH429">
            <v>54.694360000000003</v>
          </cell>
          <cell r="AM429">
            <v>41449</v>
          </cell>
          <cell r="AO429">
            <v>44.39237</v>
          </cell>
          <cell r="AT429">
            <v>41449</v>
          </cell>
          <cell r="AV429">
            <v>36.618560000000002</v>
          </cell>
          <cell r="BA429">
            <v>41449</v>
          </cell>
          <cell r="BC429">
            <v>15.984579999999999</v>
          </cell>
          <cell r="BH429">
            <v>41449</v>
          </cell>
          <cell r="BJ429">
            <v>21.231590000000001</v>
          </cell>
        </row>
        <row r="430">
          <cell r="D430">
            <v>41446</v>
          </cell>
          <cell r="F430">
            <v>182.89095</v>
          </cell>
          <cell r="K430">
            <v>41446</v>
          </cell>
          <cell r="M430">
            <v>22.693989999999999</v>
          </cell>
          <cell r="R430">
            <v>41446</v>
          </cell>
          <cell r="T430">
            <v>4</v>
          </cell>
          <cell r="Y430">
            <v>41446</v>
          </cell>
          <cell r="AA430">
            <v>273.36</v>
          </cell>
          <cell r="AF430">
            <v>41446</v>
          </cell>
          <cell r="AH430">
            <v>56.183529999999998</v>
          </cell>
          <cell r="AM430">
            <v>41446</v>
          </cell>
          <cell r="AO430">
            <v>45.011850000000003</v>
          </cell>
          <cell r="AT430">
            <v>41446</v>
          </cell>
          <cell r="AV430">
            <v>36.831620000000001</v>
          </cell>
          <cell r="BA430">
            <v>41446</v>
          </cell>
          <cell r="BC430">
            <v>16.267230000000001</v>
          </cell>
          <cell r="BH430">
            <v>41446</v>
          </cell>
          <cell r="BJ430">
            <v>21.629740000000002</v>
          </cell>
        </row>
        <row r="431">
          <cell r="D431">
            <v>41445</v>
          </cell>
          <cell r="F431">
            <v>184.65941000000001</v>
          </cell>
          <cell r="K431">
            <v>41445</v>
          </cell>
          <cell r="M431">
            <v>22.651350000000001</v>
          </cell>
          <cell r="R431">
            <v>41445</v>
          </cell>
          <cell r="T431">
            <v>3.87</v>
          </cell>
          <cell r="Y431">
            <v>41445</v>
          </cell>
          <cell r="AA431">
            <v>273.44</v>
          </cell>
          <cell r="AF431">
            <v>41445</v>
          </cell>
          <cell r="AH431">
            <v>56.637079999999997</v>
          </cell>
          <cell r="AM431">
            <v>41445</v>
          </cell>
          <cell r="AO431">
            <v>44.859360000000002</v>
          </cell>
          <cell r="AT431">
            <v>41445</v>
          </cell>
          <cell r="AV431">
            <v>36.248019999999997</v>
          </cell>
          <cell r="BA431">
            <v>41445</v>
          </cell>
          <cell r="BC431">
            <v>16.082049999999999</v>
          </cell>
          <cell r="BH431">
            <v>41445</v>
          </cell>
          <cell r="BJ431">
            <v>21.527889999999999</v>
          </cell>
        </row>
        <row r="432">
          <cell r="D432">
            <v>41444</v>
          </cell>
          <cell r="F432">
            <v>188.95425</v>
          </cell>
          <cell r="K432">
            <v>41444</v>
          </cell>
          <cell r="M432">
            <v>22.87847</v>
          </cell>
          <cell r="R432">
            <v>41444</v>
          </cell>
          <cell r="T432">
            <v>4.07</v>
          </cell>
          <cell r="Y432">
            <v>41444</v>
          </cell>
          <cell r="AA432">
            <v>278.16000000000003</v>
          </cell>
          <cell r="AF432">
            <v>41444</v>
          </cell>
          <cell r="AH432">
            <v>57.474330000000002</v>
          </cell>
          <cell r="AM432">
            <v>41444</v>
          </cell>
          <cell r="AO432">
            <v>46.098309999999998</v>
          </cell>
          <cell r="AT432">
            <v>41444</v>
          </cell>
          <cell r="AV432">
            <v>37.43374</v>
          </cell>
          <cell r="BA432">
            <v>41444</v>
          </cell>
          <cell r="BC432">
            <v>16.38419</v>
          </cell>
          <cell r="BH432">
            <v>41444</v>
          </cell>
          <cell r="BJ432">
            <v>22.027899999999999</v>
          </cell>
        </row>
        <row r="433">
          <cell r="D433">
            <v>41443</v>
          </cell>
          <cell r="F433">
            <v>191.69584</v>
          </cell>
          <cell r="K433">
            <v>41443</v>
          </cell>
          <cell r="M433">
            <v>23.00825</v>
          </cell>
          <cell r="R433">
            <v>41443</v>
          </cell>
          <cell r="T433">
            <v>4.09</v>
          </cell>
          <cell r="Y433">
            <v>41443</v>
          </cell>
          <cell r="AA433">
            <v>281.76</v>
          </cell>
          <cell r="AF433">
            <v>41443</v>
          </cell>
          <cell r="AH433">
            <v>58.665939999999999</v>
          </cell>
          <cell r="AM433">
            <v>41443</v>
          </cell>
          <cell r="AO433">
            <v>46.469990000000003</v>
          </cell>
          <cell r="AT433">
            <v>41443</v>
          </cell>
          <cell r="AV433">
            <v>37.915439999999997</v>
          </cell>
          <cell r="BA433">
            <v>41443</v>
          </cell>
          <cell r="BC433">
            <v>16.569379999999999</v>
          </cell>
          <cell r="BH433">
            <v>41443</v>
          </cell>
          <cell r="BJ433">
            <v>22.349399999999999</v>
          </cell>
        </row>
        <row r="434">
          <cell r="D434">
            <v>41442</v>
          </cell>
          <cell r="F434">
            <v>189.98352</v>
          </cell>
          <cell r="K434">
            <v>41442</v>
          </cell>
          <cell r="M434">
            <v>22.897010000000002</v>
          </cell>
          <cell r="R434">
            <v>41442</v>
          </cell>
          <cell r="T434">
            <v>4.05</v>
          </cell>
          <cell r="Y434">
            <v>41442</v>
          </cell>
          <cell r="AA434">
            <v>278.06</v>
          </cell>
          <cell r="AF434">
            <v>41442</v>
          </cell>
          <cell r="AH434">
            <v>58.697189999999999</v>
          </cell>
          <cell r="AM434">
            <v>41442</v>
          </cell>
          <cell r="AO434">
            <v>45.983939999999997</v>
          </cell>
          <cell r="AT434">
            <v>41442</v>
          </cell>
          <cell r="AV434">
            <v>37.683860000000003</v>
          </cell>
          <cell r="BA434">
            <v>41442</v>
          </cell>
          <cell r="BC434">
            <v>16.31597</v>
          </cell>
          <cell r="BH434">
            <v>41442</v>
          </cell>
          <cell r="BJ434">
            <v>21.834990000000001</v>
          </cell>
        </row>
        <row r="435">
          <cell r="D435">
            <v>41439</v>
          </cell>
          <cell r="F435">
            <v>189.19753</v>
          </cell>
          <cell r="K435">
            <v>41439</v>
          </cell>
          <cell r="M435">
            <v>22.33154</v>
          </cell>
          <cell r="R435">
            <v>41439</v>
          </cell>
          <cell r="T435">
            <v>3.94</v>
          </cell>
          <cell r="Y435">
            <v>41439</v>
          </cell>
          <cell r="AA435">
            <v>273.99</v>
          </cell>
          <cell r="AF435">
            <v>41439</v>
          </cell>
          <cell r="AH435">
            <v>58.432229999999997</v>
          </cell>
          <cell r="AM435">
            <v>41439</v>
          </cell>
          <cell r="AO435">
            <v>45.583669999999998</v>
          </cell>
          <cell r="AT435">
            <v>41439</v>
          </cell>
          <cell r="AV435">
            <v>37.368899999999996</v>
          </cell>
          <cell r="BA435">
            <v>41439</v>
          </cell>
          <cell r="BC435">
            <v>16.189260000000001</v>
          </cell>
          <cell r="BH435">
            <v>41439</v>
          </cell>
          <cell r="BJ435">
            <v>21.605340000000002</v>
          </cell>
        </row>
        <row r="436">
          <cell r="D436">
            <v>41438</v>
          </cell>
          <cell r="F436">
            <v>190.66658000000001</v>
          </cell>
          <cell r="K436">
            <v>41438</v>
          </cell>
          <cell r="M436">
            <v>22.572559999999999</v>
          </cell>
          <cell r="R436">
            <v>41438</v>
          </cell>
          <cell r="T436">
            <v>3.95</v>
          </cell>
          <cell r="Y436">
            <v>41438</v>
          </cell>
          <cell r="AA436">
            <v>275.79000000000002</v>
          </cell>
          <cell r="AF436">
            <v>41438</v>
          </cell>
          <cell r="AH436">
            <v>59.23592</v>
          </cell>
          <cell r="AM436">
            <v>41438</v>
          </cell>
          <cell r="AO436">
            <v>45.650379999999998</v>
          </cell>
          <cell r="AT436">
            <v>41438</v>
          </cell>
          <cell r="AV436">
            <v>37.43374</v>
          </cell>
          <cell r="BA436">
            <v>41438</v>
          </cell>
          <cell r="BC436">
            <v>16.491409999999998</v>
          </cell>
          <cell r="BH436">
            <v>41438</v>
          </cell>
          <cell r="BJ436">
            <v>21.752320000000001</v>
          </cell>
        </row>
        <row r="437">
          <cell r="D437">
            <v>41437</v>
          </cell>
          <cell r="F437">
            <v>188.26184000000001</v>
          </cell>
          <cell r="K437">
            <v>41437</v>
          </cell>
          <cell r="M437">
            <v>22.23883</v>
          </cell>
          <cell r="R437">
            <v>41437</v>
          </cell>
          <cell r="T437">
            <v>3.9</v>
          </cell>
          <cell r="Y437">
            <v>41437</v>
          </cell>
          <cell r="AA437">
            <v>271.67</v>
          </cell>
          <cell r="AF437">
            <v>41437</v>
          </cell>
          <cell r="AH437">
            <v>58.722999999999999</v>
          </cell>
          <cell r="AM437">
            <v>41437</v>
          </cell>
          <cell r="AO437">
            <v>44.945129999999999</v>
          </cell>
          <cell r="AT437">
            <v>41437</v>
          </cell>
          <cell r="AV437">
            <v>37.415219999999998</v>
          </cell>
          <cell r="BA437">
            <v>41437</v>
          </cell>
          <cell r="BC437">
            <v>16.121030000000001</v>
          </cell>
          <cell r="BH437">
            <v>41437</v>
          </cell>
          <cell r="BJ437">
            <v>21.586970000000001</v>
          </cell>
        </row>
        <row r="438">
          <cell r="D438">
            <v>41436</v>
          </cell>
          <cell r="F438">
            <v>190.86306999999999</v>
          </cell>
          <cell r="K438">
            <v>41436</v>
          </cell>
          <cell r="M438">
            <v>22.312989999999999</v>
          </cell>
          <cell r="R438">
            <v>41436</v>
          </cell>
          <cell r="T438">
            <v>3.96</v>
          </cell>
          <cell r="Y438">
            <v>41436</v>
          </cell>
          <cell r="AA438">
            <v>274.77999999999997</v>
          </cell>
          <cell r="AF438">
            <v>41436</v>
          </cell>
          <cell r="AH438">
            <v>59.458080000000002</v>
          </cell>
          <cell r="AM438">
            <v>41436</v>
          </cell>
          <cell r="AO438">
            <v>44.783119999999997</v>
          </cell>
          <cell r="AT438">
            <v>41436</v>
          </cell>
          <cell r="AV438">
            <v>37.526380000000003</v>
          </cell>
          <cell r="BA438">
            <v>41436</v>
          </cell>
          <cell r="BC438">
            <v>16.481660000000002</v>
          </cell>
          <cell r="BH438">
            <v>41436</v>
          </cell>
          <cell r="BJ438">
            <v>21.66046</v>
          </cell>
        </row>
        <row r="439">
          <cell r="D439">
            <v>41435</v>
          </cell>
          <cell r="F439">
            <v>191.83618999999999</v>
          </cell>
          <cell r="K439">
            <v>41435</v>
          </cell>
          <cell r="M439">
            <v>22.58183</v>
          </cell>
          <cell r="R439">
            <v>41435</v>
          </cell>
          <cell r="T439">
            <v>4.0599999999999996</v>
          </cell>
          <cell r="Y439">
            <v>41435</v>
          </cell>
          <cell r="AA439">
            <v>281.07</v>
          </cell>
          <cell r="AF439">
            <v>41435</v>
          </cell>
          <cell r="AH439">
            <v>59.63335</v>
          </cell>
          <cell r="AM439">
            <v>41435</v>
          </cell>
          <cell r="AO439">
            <v>44.640160000000002</v>
          </cell>
          <cell r="AT439">
            <v>41435</v>
          </cell>
          <cell r="AV439">
            <v>37.885170000000002</v>
          </cell>
          <cell r="BA439">
            <v>41435</v>
          </cell>
          <cell r="BC439">
            <v>16.579129999999999</v>
          </cell>
          <cell r="BH439">
            <v>41435</v>
          </cell>
          <cell r="BJ439">
            <v>21.844180000000001</v>
          </cell>
        </row>
        <row r="440">
          <cell r="D440">
            <v>41432</v>
          </cell>
          <cell r="F440">
            <v>193.08067</v>
          </cell>
          <cell r="K440">
            <v>41432</v>
          </cell>
          <cell r="M440">
            <v>22.70234</v>
          </cell>
          <cell r="R440">
            <v>41432</v>
          </cell>
          <cell r="T440">
            <v>3.91</v>
          </cell>
          <cell r="Y440">
            <v>41432</v>
          </cell>
          <cell r="AA440">
            <v>276.87</v>
          </cell>
          <cell r="AF440">
            <v>41432</v>
          </cell>
          <cell r="AH440">
            <v>60.030239999999999</v>
          </cell>
          <cell r="AM440">
            <v>41432</v>
          </cell>
          <cell r="AO440">
            <v>44.697339999999997</v>
          </cell>
          <cell r="AT440">
            <v>41432</v>
          </cell>
          <cell r="AV440">
            <v>38.096769999999999</v>
          </cell>
          <cell r="BA440">
            <v>41432</v>
          </cell>
          <cell r="BC440">
            <v>16.59862</v>
          </cell>
          <cell r="BH440">
            <v>41432</v>
          </cell>
          <cell r="BJ440">
            <v>21.917660000000001</v>
          </cell>
        </row>
        <row r="441">
          <cell r="D441">
            <v>41431</v>
          </cell>
          <cell r="F441">
            <v>190.69465</v>
          </cell>
          <cell r="K441">
            <v>41431</v>
          </cell>
          <cell r="M441">
            <v>22.757960000000001</v>
          </cell>
          <cell r="R441">
            <v>41431</v>
          </cell>
          <cell r="T441">
            <v>3.94</v>
          </cell>
          <cell r="Y441">
            <v>41431</v>
          </cell>
          <cell r="AA441">
            <v>267.83</v>
          </cell>
          <cell r="AF441">
            <v>41431</v>
          </cell>
          <cell r="AH441">
            <v>59.574930000000002</v>
          </cell>
          <cell r="AM441">
            <v>41431</v>
          </cell>
          <cell r="AO441">
            <v>43.963509999999999</v>
          </cell>
          <cell r="AT441">
            <v>41431</v>
          </cell>
          <cell r="AV441">
            <v>37.526380000000003</v>
          </cell>
          <cell r="BA441">
            <v>41431</v>
          </cell>
          <cell r="BC441">
            <v>16.559629999999999</v>
          </cell>
          <cell r="BH441">
            <v>41431</v>
          </cell>
          <cell r="BJ441">
            <v>21.476739999999999</v>
          </cell>
        </row>
        <row r="442">
          <cell r="D442">
            <v>41430</v>
          </cell>
          <cell r="F442">
            <v>189.70281</v>
          </cell>
          <cell r="K442">
            <v>41430</v>
          </cell>
          <cell r="M442">
            <v>22.544750000000001</v>
          </cell>
          <cell r="R442">
            <v>41430</v>
          </cell>
          <cell r="T442">
            <v>3.91</v>
          </cell>
          <cell r="Y442">
            <v>41430</v>
          </cell>
          <cell r="AA442">
            <v>267.17</v>
          </cell>
          <cell r="AF442">
            <v>41430</v>
          </cell>
          <cell r="AH442">
            <v>60.478479999999998</v>
          </cell>
          <cell r="AM442">
            <v>41430</v>
          </cell>
          <cell r="AO442">
            <v>43.858669999999996</v>
          </cell>
          <cell r="AT442">
            <v>41430</v>
          </cell>
          <cell r="AV442">
            <v>37.397579999999998</v>
          </cell>
          <cell r="BA442">
            <v>41430</v>
          </cell>
          <cell r="BC442">
            <v>16.072299999999998</v>
          </cell>
          <cell r="BH442">
            <v>41430</v>
          </cell>
          <cell r="BJ442">
            <v>21.421620000000001</v>
          </cell>
        </row>
        <row r="443">
          <cell r="D443">
            <v>41429</v>
          </cell>
          <cell r="F443">
            <v>192.93096</v>
          </cell>
          <cell r="K443">
            <v>41429</v>
          </cell>
          <cell r="M443">
            <v>22.58183</v>
          </cell>
          <cell r="R443">
            <v>41429</v>
          </cell>
          <cell r="T443">
            <v>4.01</v>
          </cell>
          <cell r="Y443">
            <v>41429</v>
          </cell>
          <cell r="AA443">
            <v>265.7</v>
          </cell>
          <cell r="AF443">
            <v>41429</v>
          </cell>
          <cell r="AH443">
            <v>61.049149999999997</v>
          </cell>
          <cell r="AM443">
            <v>41429</v>
          </cell>
          <cell r="AO443">
            <v>44.306600000000003</v>
          </cell>
          <cell r="AT443">
            <v>41429</v>
          </cell>
          <cell r="AV443">
            <v>38.105969999999999</v>
          </cell>
          <cell r="BA443">
            <v>41429</v>
          </cell>
          <cell r="BC443">
            <v>16.52065</v>
          </cell>
          <cell r="BH443">
            <v>41429</v>
          </cell>
          <cell r="BJ443">
            <v>21.73394</v>
          </cell>
        </row>
        <row r="444">
          <cell r="D444">
            <v>41428</v>
          </cell>
          <cell r="F444">
            <v>195.51347999999999</v>
          </cell>
          <cell r="K444">
            <v>41428</v>
          </cell>
          <cell r="M444">
            <v>22.600370000000002</v>
          </cell>
          <cell r="R444">
            <v>41428</v>
          </cell>
          <cell r="T444">
            <v>3.96</v>
          </cell>
          <cell r="Y444">
            <v>41428</v>
          </cell>
          <cell r="AA444">
            <v>266.88</v>
          </cell>
          <cell r="AF444">
            <v>41428</v>
          </cell>
          <cell r="AH444">
            <v>61.240729999999999</v>
          </cell>
          <cell r="AM444">
            <v>41428</v>
          </cell>
          <cell r="AO444">
            <v>45.011850000000003</v>
          </cell>
          <cell r="AT444">
            <v>41428</v>
          </cell>
          <cell r="AV444">
            <v>37.544780000000003</v>
          </cell>
          <cell r="BA444">
            <v>41428</v>
          </cell>
          <cell r="BC444">
            <v>16.58887</v>
          </cell>
          <cell r="BH444">
            <v>41428</v>
          </cell>
          <cell r="BJ444">
            <v>21.71557</v>
          </cell>
        </row>
        <row r="445">
          <cell r="D445">
            <v>41425</v>
          </cell>
          <cell r="F445">
            <v>194.64328</v>
          </cell>
          <cell r="K445">
            <v>41425</v>
          </cell>
          <cell r="M445">
            <v>22.354710000000001</v>
          </cell>
          <cell r="R445">
            <v>41425</v>
          </cell>
          <cell r="T445">
            <v>4</v>
          </cell>
          <cell r="Y445">
            <v>41425</v>
          </cell>
          <cell r="AA445">
            <v>269.2</v>
          </cell>
          <cell r="AF445">
            <v>41425</v>
          </cell>
          <cell r="AH445">
            <v>61.106900000000003</v>
          </cell>
          <cell r="AM445">
            <v>41425</v>
          </cell>
          <cell r="AO445">
            <v>44.754530000000003</v>
          </cell>
          <cell r="AT445">
            <v>41425</v>
          </cell>
          <cell r="AV445">
            <v>36.790390000000002</v>
          </cell>
          <cell r="BA445">
            <v>41425</v>
          </cell>
          <cell r="BC445">
            <v>15.69218</v>
          </cell>
          <cell r="BH445">
            <v>41425</v>
          </cell>
          <cell r="BJ445">
            <v>21.421620000000001</v>
          </cell>
        </row>
        <row r="446">
          <cell r="D446">
            <v>41424</v>
          </cell>
          <cell r="F446">
            <v>195.89711</v>
          </cell>
          <cell r="K446">
            <v>41424</v>
          </cell>
          <cell r="M446">
            <v>22.591100000000001</v>
          </cell>
          <cell r="R446">
            <v>41424</v>
          </cell>
          <cell r="T446">
            <v>4.04</v>
          </cell>
          <cell r="Y446">
            <v>41424</v>
          </cell>
          <cell r="AA446">
            <v>266.83</v>
          </cell>
          <cell r="AF446">
            <v>41424</v>
          </cell>
          <cell r="AH446">
            <v>61.357579999999999</v>
          </cell>
          <cell r="AM446">
            <v>41424</v>
          </cell>
          <cell r="AO446">
            <v>45.431179999999998</v>
          </cell>
          <cell r="AT446">
            <v>41424</v>
          </cell>
          <cell r="AV446">
            <v>37.507980000000003</v>
          </cell>
          <cell r="BA446">
            <v>41424</v>
          </cell>
          <cell r="BC446">
            <v>16.208749999999998</v>
          </cell>
          <cell r="BH446">
            <v>41424</v>
          </cell>
          <cell r="BJ446">
            <v>21.678830000000001</v>
          </cell>
        </row>
        <row r="447">
          <cell r="D447">
            <v>41423</v>
          </cell>
          <cell r="F447">
            <v>194.54971</v>
          </cell>
          <cell r="K447">
            <v>41423</v>
          </cell>
          <cell r="M447">
            <v>22.359349999999999</v>
          </cell>
          <cell r="R447">
            <v>41423</v>
          </cell>
          <cell r="T447">
            <v>3.98</v>
          </cell>
          <cell r="Y447">
            <v>41423</v>
          </cell>
          <cell r="AA447">
            <v>265.52999999999997</v>
          </cell>
          <cell r="AF447">
            <v>41423</v>
          </cell>
          <cell r="AH447">
            <v>60.456740000000003</v>
          </cell>
          <cell r="AM447">
            <v>41423</v>
          </cell>
          <cell r="AO447">
            <v>44.878419999999998</v>
          </cell>
          <cell r="AT447">
            <v>41423</v>
          </cell>
          <cell r="AV447">
            <v>38.087569999999999</v>
          </cell>
          <cell r="BA447">
            <v>41423</v>
          </cell>
          <cell r="BC447">
            <v>16.150269999999999</v>
          </cell>
          <cell r="BH447">
            <v>41423</v>
          </cell>
          <cell r="BJ447">
            <v>21.71557</v>
          </cell>
        </row>
        <row r="448">
          <cell r="D448">
            <v>41422</v>
          </cell>
          <cell r="F448">
            <v>194.41871</v>
          </cell>
          <cell r="K448">
            <v>41422</v>
          </cell>
          <cell r="M448">
            <v>22.146129999999999</v>
          </cell>
          <cell r="R448">
            <v>41422</v>
          </cell>
          <cell r="T448">
            <v>4.05</v>
          </cell>
          <cell r="Y448">
            <v>41422</v>
          </cell>
          <cell r="AA448">
            <v>267.29000000000002</v>
          </cell>
          <cell r="AF448">
            <v>41422</v>
          </cell>
          <cell r="AH448">
            <v>59.979689999999998</v>
          </cell>
          <cell r="AM448">
            <v>41422</v>
          </cell>
          <cell r="AO448">
            <v>45.0595</v>
          </cell>
          <cell r="AT448">
            <v>41422</v>
          </cell>
          <cell r="AV448">
            <v>39.145560000000003</v>
          </cell>
          <cell r="BA448">
            <v>41422</v>
          </cell>
          <cell r="BC448">
            <v>16.160019999999999</v>
          </cell>
          <cell r="BH448">
            <v>41422</v>
          </cell>
          <cell r="BJ448">
            <v>21.678830000000001</v>
          </cell>
        </row>
        <row r="449">
          <cell r="D449">
            <v>41418</v>
          </cell>
          <cell r="F449">
            <v>192.49118000000001</v>
          </cell>
          <cell r="K449">
            <v>41418</v>
          </cell>
          <cell r="M449">
            <v>21.81241</v>
          </cell>
          <cell r="R449">
            <v>41418</v>
          </cell>
          <cell r="T449">
            <v>4.05</v>
          </cell>
          <cell r="Y449">
            <v>41418</v>
          </cell>
          <cell r="AA449">
            <v>261.74</v>
          </cell>
          <cell r="AF449">
            <v>41418</v>
          </cell>
          <cell r="AH449">
            <v>60.483919999999998</v>
          </cell>
          <cell r="AM449">
            <v>41418</v>
          </cell>
          <cell r="AO449">
            <v>44.954659999999997</v>
          </cell>
          <cell r="AT449">
            <v>41418</v>
          </cell>
          <cell r="AV449">
            <v>38.86036</v>
          </cell>
          <cell r="BA449">
            <v>41418</v>
          </cell>
          <cell r="BC449">
            <v>15.78965</v>
          </cell>
          <cell r="BH449">
            <v>41418</v>
          </cell>
          <cell r="BJ449">
            <v>21.614529999999998</v>
          </cell>
        </row>
        <row r="450">
          <cell r="D450">
            <v>41417</v>
          </cell>
          <cell r="F450">
            <v>192.90289000000001</v>
          </cell>
          <cell r="K450">
            <v>41417</v>
          </cell>
          <cell r="M450">
            <v>21.793869999999998</v>
          </cell>
          <cell r="R450">
            <v>41417</v>
          </cell>
          <cell r="T450">
            <v>4.01</v>
          </cell>
          <cell r="Y450">
            <v>41417</v>
          </cell>
          <cell r="AA450">
            <v>261.8</v>
          </cell>
          <cell r="AF450">
            <v>41417</v>
          </cell>
          <cell r="AH450">
            <v>60.074939999999998</v>
          </cell>
          <cell r="AM450">
            <v>41417</v>
          </cell>
          <cell r="AO450">
            <v>44.954659999999997</v>
          </cell>
          <cell r="AT450">
            <v>41417</v>
          </cell>
          <cell r="AV450">
            <v>38.57517</v>
          </cell>
          <cell r="BA450">
            <v>41417</v>
          </cell>
          <cell r="BC450">
            <v>15.731170000000001</v>
          </cell>
          <cell r="BH450">
            <v>41417</v>
          </cell>
          <cell r="BJ450">
            <v>21.73394</v>
          </cell>
        </row>
        <row r="451">
          <cell r="D451">
            <v>41416</v>
          </cell>
          <cell r="F451">
            <v>193.67950999999999</v>
          </cell>
          <cell r="K451">
            <v>41416</v>
          </cell>
          <cell r="M451">
            <v>21.636279999999999</v>
          </cell>
          <cell r="R451">
            <v>41416</v>
          </cell>
          <cell r="T451">
            <v>3.96</v>
          </cell>
          <cell r="Y451">
            <v>41416</v>
          </cell>
          <cell r="AA451">
            <v>262.95999999999998</v>
          </cell>
          <cell r="AF451">
            <v>41416</v>
          </cell>
          <cell r="AH451">
            <v>59.968139999999998</v>
          </cell>
          <cell r="AM451">
            <v>41416</v>
          </cell>
          <cell r="AO451">
            <v>45.354939999999999</v>
          </cell>
          <cell r="AT451">
            <v>41416</v>
          </cell>
          <cell r="AV451">
            <v>38.86956</v>
          </cell>
          <cell r="BA451">
            <v>41416</v>
          </cell>
          <cell r="BC451">
            <v>15.312060000000001</v>
          </cell>
          <cell r="BH451">
            <v>41416</v>
          </cell>
          <cell r="BJ451">
            <v>21.917660000000001</v>
          </cell>
        </row>
        <row r="452">
          <cell r="D452">
            <v>41415</v>
          </cell>
          <cell r="F452">
            <v>195.23276999999999</v>
          </cell>
          <cell r="K452">
            <v>41415</v>
          </cell>
          <cell r="M452">
            <v>22.257370000000002</v>
          </cell>
          <cell r="R452">
            <v>41415</v>
          </cell>
          <cell r="T452">
            <v>4.0199999999999996</v>
          </cell>
          <cell r="Y452">
            <v>41415</v>
          </cell>
          <cell r="AA452">
            <v>268.86</v>
          </cell>
          <cell r="AF452">
            <v>41415</v>
          </cell>
          <cell r="AH452">
            <v>59.737969999999997</v>
          </cell>
          <cell r="AM452">
            <v>41415</v>
          </cell>
          <cell r="AO452">
            <v>45.707560000000001</v>
          </cell>
          <cell r="AT452">
            <v>41415</v>
          </cell>
          <cell r="AV452">
            <v>38.952359999999999</v>
          </cell>
          <cell r="BA452">
            <v>41415</v>
          </cell>
          <cell r="BC452">
            <v>16.23799</v>
          </cell>
          <cell r="BH452">
            <v>41415</v>
          </cell>
          <cell r="BJ452">
            <v>21.73394</v>
          </cell>
        </row>
        <row r="453">
          <cell r="D453">
            <v>41414</v>
          </cell>
          <cell r="F453">
            <v>194.25029000000001</v>
          </cell>
          <cell r="K453">
            <v>41414</v>
          </cell>
          <cell r="M453">
            <v>22.197120000000002</v>
          </cell>
          <cell r="R453">
            <v>41414</v>
          </cell>
          <cell r="T453">
            <v>4.0999999999999996</v>
          </cell>
          <cell r="Y453">
            <v>41414</v>
          </cell>
          <cell r="AA453">
            <v>267.63</v>
          </cell>
          <cell r="AF453">
            <v>41414</v>
          </cell>
          <cell r="AH453">
            <v>60.182279999999999</v>
          </cell>
          <cell r="AM453">
            <v>41414</v>
          </cell>
          <cell r="AO453">
            <v>45.764740000000003</v>
          </cell>
          <cell r="AT453">
            <v>41414</v>
          </cell>
          <cell r="AV453">
            <v>38.989159999999998</v>
          </cell>
          <cell r="BA453">
            <v>41414</v>
          </cell>
          <cell r="BC453">
            <v>16.257490000000001</v>
          </cell>
          <cell r="BH453">
            <v>41414</v>
          </cell>
          <cell r="BJ453">
            <v>21.65127</v>
          </cell>
        </row>
        <row r="454">
          <cell r="D454">
            <v>41411</v>
          </cell>
          <cell r="F454">
            <v>195.03627</v>
          </cell>
          <cell r="K454">
            <v>41411</v>
          </cell>
          <cell r="M454">
            <v>22.470590000000001</v>
          </cell>
          <cell r="R454">
            <v>41411</v>
          </cell>
          <cell r="T454">
            <v>4.07</v>
          </cell>
          <cell r="Y454">
            <v>41411</v>
          </cell>
          <cell r="AA454">
            <v>269.89999999999998</v>
          </cell>
          <cell r="AF454">
            <v>41411</v>
          </cell>
          <cell r="AH454">
            <v>58.868389999999998</v>
          </cell>
          <cell r="AM454">
            <v>41411</v>
          </cell>
          <cell r="AO454">
            <v>45.545549999999999</v>
          </cell>
          <cell r="AT454">
            <v>41411</v>
          </cell>
          <cell r="AV454">
            <v>39.531959999999998</v>
          </cell>
          <cell r="BA454">
            <v>41411</v>
          </cell>
          <cell r="BC454">
            <v>16.345210000000002</v>
          </cell>
          <cell r="BH454">
            <v>41411</v>
          </cell>
          <cell r="BJ454">
            <v>21.550229999999999</v>
          </cell>
        </row>
        <row r="455">
          <cell r="D455">
            <v>41410</v>
          </cell>
          <cell r="F455">
            <v>191.52742000000001</v>
          </cell>
          <cell r="K455">
            <v>41410</v>
          </cell>
          <cell r="M455">
            <v>22.143350000000002</v>
          </cell>
          <cell r="R455">
            <v>41410</v>
          </cell>
          <cell r="T455">
            <v>3.83</v>
          </cell>
          <cell r="Y455">
            <v>41410</v>
          </cell>
          <cell r="AA455">
            <v>264.12</v>
          </cell>
          <cell r="AF455">
            <v>41410</v>
          </cell>
          <cell r="AH455">
            <v>59.047469999999997</v>
          </cell>
          <cell r="AM455">
            <v>41410</v>
          </cell>
          <cell r="AO455">
            <v>44.792650000000002</v>
          </cell>
          <cell r="AT455">
            <v>41410</v>
          </cell>
          <cell r="AV455">
            <v>39.64235</v>
          </cell>
          <cell r="BA455">
            <v>41410</v>
          </cell>
          <cell r="BC455">
            <v>16.140529999999998</v>
          </cell>
          <cell r="BH455">
            <v>41410</v>
          </cell>
          <cell r="BJ455">
            <v>21.375689999999999</v>
          </cell>
        </row>
        <row r="456">
          <cell r="D456">
            <v>41409</v>
          </cell>
          <cell r="F456">
            <v>190.24551</v>
          </cell>
          <cell r="K456">
            <v>41409</v>
          </cell>
          <cell r="M456">
            <v>19.661760000000001</v>
          </cell>
          <cell r="R456">
            <v>41409</v>
          </cell>
          <cell r="T456">
            <v>4.38</v>
          </cell>
          <cell r="Y456">
            <v>41409</v>
          </cell>
          <cell r="AA456">
            <v>266.56</v>
          </cell>
          <cell r="AF456">
            <v>41409</v>
          </cell>
          <cell r="AH456">
            <v>58.269190000000002</v>
          </cell>
          <cell r="AM456">
            <v>41409</v>
          </cell>
          <cell r="AO456">
            <v>44.573450000000001</v>
          </cell>
          <cell r="AT456">
            <v>41409</v>
          </cell>
          <cell r="AV456">
            <v>39.485959999999999</v>
          </cell>
          <cell r="BA456">
            <v>41409</v>
          </cell>
          <cell r="BC456">
            <v>16.043060000000001</v>
          </cell>
          <cell r="BH456">
            <v>41409</v>
          </cell>
          <cell r="BJ456">
            <v>21.348140000000001</v>
          </cell>
        </row>
        <row r="457">
          <cell r="D457">
            <v>41408</v>
          </cell>
          <cell r="F457">
            <v>190.14259000000001</v>
          </cell>
          <cell r="K457">
            <v>41408</v>
          </cell>
          <cell r="M457">
            <v>19.717379999999999</v>
          </cell>
          <cell r="R457">
            <v>41408</v>
          </cell>
          <cell r="T457">
            <v>4.26</v>
          </cell>
          <cell r="Y457">
            <v>41408</v>
          </cell>
          <cell r="AA457">
            <v>268.33</v>
          </cell>
          <cell r="AF457">
            <v>41408</v>
          </cell>
          <cell r="AH457">
            <v>60.308639999999997</v>
          </cell>
          <cell r="AM457">
            <v>41408</v>
          </cell>
          <cell r="AO457">
            <v>44.087400000000002</v>
          </cell>
          <cell r="AT457">
            <v>41408</v>
          </cell>
          <cell r="AV457">
            <v>39.117959999999997</v>
          </cell>
          <cell r="BA457">
            <v>41408</v>
          </cell>
          <cell r="BC457">
            <v>16.208749999999998</v>
          </cell>
          <cell r="BH457">
            <v>41408</v>
          </cell>
          <cell r="BJ457">
            <v>21.136859999999999</v>
          </cell>
        </row>
        <row r="458">
          <cell r="D458">
            <v>41407</v>
          </cell>
          <cell r="F458">
            <v>189.45017000000001</v>
          </cell>
          <cell r="K458">
            <v>41407</v>
          </cell>
          <cell r="M458">
            <v>19.717379999999999</v>
          </cell>
          <cell r="R458">
            <v>41407</v>
          </cell>
          <cell r="T458">
            <v>4.17</v>
          </cell>
          <cell r="Y458">
            <v>41407</v>
          </cell>
          <cell r="AA458">
            <v>264.51</v>
          </cell>
          <cell r="AF458">
            <v>41407</v>
          </cell>
          <cell r="AH458">
            <v>61.786940000000001</v>
          </cell>
          <cell r="AM458">
            <v>41407</v>
          </cell>
          <cell r="AO458">
            <v>43.992100000000001</v>
          </cell>
          <cell r="AT458">
            <v>41407</v>
          </cell>
          <cell r="AV458">
            <v>38.814360000000001</v>
          </cell>
          <cell r="BA458">
            <v>41407</v>
          </cell>
          <cell r="BC458">
            <v>16.218499999999999</v>
          </cell>
          <cell r="BH458">
            <v>41407</v>
          </cell>
          <cell r="BJ458">
            <v>20.989879999999999</v>
          </cell>
        </row>
        <row r="459">
          <cell r="D459">
            <v>41404</v>
          </cell>
          <cell r="F459">
            <v>191.32156000000001</v>
          </cell>
          <cell r="K459">
            <v>41404</v>
          </cell>
          <cell r="M459">
            <v>19.55979</v>
          </cell>
          <cell r="R459">
            <v>41404</v>
          </cell>
          <cell r="T459">
            <v>3.95</v>
          </cell>
          <cell r="Y459">
            <v>41404</v>
          </cell>
          <cell r="AA459">
            <v>263.63</v>
          </cell>
          <cell r="AF459">
            <v>41404</v>
          </cell>
          <cell r="AH459">
            <v>61.54645</v>
          </cell>
          <cell r="AM459">
            <v>41404</v>
          </cell>
          <cell r="AO459">
            <v>44.18271</v>
          </cell>
          <cell r="AT459">
            <v>41404</v>
          </cell>
          <cell r="AV459">
            <v>38.777560000000001</v>
          </cell>
          <cell r="BA459">
            <v>41404</v>
          </cell>
          <cell r="BC459">
            <v>16.276979999999998</v>
          </cell>
          <cell r="BH459">
            <v>41404</v>
          </cell>
          <cell r="BJ459">
            <v>21.035810000000001</v>
          </cell>
        </row>
        <row r="460">
          <cell r="D460">
            <v>41403</v>
          </cell>
          <cell r="F460">
            <v>190.17066</v>
          </cell>
          <cell r="K460">
            <v>41403</v>
          </cell>
          <cell r="M460">
            <v>19.3095</v>
          </cell>
          <cell r="R460">
            <v>41403</v>
          </cell>
          <cell r="T460">
            <v>3.86</v>
          </cell>
          <cell r="Y460">
            <v>41403</v>
          </cell>
          <cell r="AA460">
            <v>260.16000000000003</v>
          </cell>
          <cell r="AF460">
            <v>41403</v>
          </cell>
          <cell r="AH460">
            <v>62.062759999999997</v>
          </cell>
          <cell r="AM460">
            <v>41403</v>
          </cell>
          <cell r="AO460">
            <v>43.868200000000002</v>
          </cell>
          <cell r="AT460">
            <v>41403</v>
          </cell>
          <cell r="AV460">
            <v>38.749960000000002</v>
          </cell>
          <cell r="BA460">
            <v>41403</v>
          </cell>
          <cell r="BC460">
            <v>15.69218</v>
          </cell>
          <cell r="BH460">
            <v>41403</v>
          </cell>
          <cell r="BJ460">
            <v>20.92558</v>
          </cell>
        </row>
        <row r="461">
          <cell r="D461">
            <v>41402</v>
          </cell>
          <cell r="F461">
            <v>191.64905999999999</v>
          </cell>
          <cell r="K461">
            <v>41402</v>
          </cell>
          <cell r="M461">
            <v>19.207529999999998</v>
          </cell>
          <cell r="R461">
            <v>41402</v>
          </cell>
          <cell r="T461">
            <v>3.83</v>
          </cell>
          <cell r="Y461">
            <v>41402</v>
          </cell>
          <cell r="AA461">
            <v>258.68</v>
          </cell>
          <cell r="AF461">
            <v>41402</v>
          </cell>
          <cell r="AH461">
            <v>62.608969999999999</v>
          </cell>
          <cell r="AM461">
            <v>41402</v>
          </cell>
          <cell r="AO461">
            <v>44.192239999999998</v>
          </cell>
          <cell r="AT461">
            <v>41402</v>
          </cell>
          <cell r="AV461">
            <v>39.062759999999997</v>
          </cell>
          <cell r="BA461">
            <v>41402</v>
          </cell>
          <cell r="BC461">
            <v>16.150269999999999</v>
          </cell>
          <cell r="BH461">
            <v>41402</v>
          </cell>
          <cell r="BJ461">
            <v>21.136859999999999</v>
          </cell>
        </row>
        <row r="462">
          <cell r="D462">
            <v>41401</v>
          </cell>
          <cell r="F462">
            <v>189.64667</v>
          </cell>
          <cell r="K462">
            <v>41401</v>
          </cell>
          <cell r="M462">
            <v>18.89235</v>
          </cell>
          <cell r="R462">
            <v>41401</v>
          </cell>
          <cell r="T462">
            <v>3.54</v>
          </cell>
          <cell r="Y462">
            <v>41401</v>
          </cell>
          <cell r="AA462">
            <v>257.73</v>
          </cell>
          <cell r="AF462">
            <v>41401</v>
          </cell>
          <cell r="AH462">
            <v>61.909509999999997</v>
          </cell>
          <cell r="AM462">
            <v>41401</v>
          </cell>
          <cell r="AO462">
            <v>44.268479999999997</v>
          </cell>
          <cell r="AT462">
            <v>41401</v>
          </cell>
          <cell r="AV462">
            <v>39.283560000000001</v>
          </cell>
          <cell r="BA462">
            <v>41401</v>
          </cell>
          <cell r="BC462">
            <v>15.487500000000001</v>
          </cell>
          <cell r="BH462">
            <v>41401</v>
          </cell>
          <cell r="BJ462">
            <v>20.83372</v>
          </cell>
        </row>
        <row r="463">
          <cell r="D463">
            <v>41400</v>
          </cell>
          <cell r="F463">
            <v>188.85504</v>
          </cell>
          <cell r="K463">
            <v>41400</v>
          </cell>
          <cell r="M463">
            <v>19.290959999999998</v>
          </cell>
          <cell r="R463">
            <v>41400</v>
          </cell>
          <cell r="T463">
            <v>3.61</v>
          </cell>
          <cell r="Y463">
            <v>41400</v>
          </cell>
          <cell r="AA463">
            <v>255.72</v>
          </cell>
          <cell r="AF463">
            <v>41400</v>
          </cell>
          <cell r="AH463">
            <v>62.186489999999999</v>
          </cell>
          <cell r="AM463">
            <v>41400</v>
          </cell>
          <cell r="AO463">
            <v>43.801490000000001</v>
          </cell>
          <cell r="AT463">
            <v>41400</v>
          </cell>
          <cell r="AV463">
            <v>38.713160000000002</v>
          </cell>
          <cell r="BA463">
            <v>41400</v>
          </cell>
          <cell r="BC463">
            <v>15.43876</v>
          </cell>
          <cell r="BH463">
            <v>41400</v>
          </cell>
          <cell r="BJ463">
            <v>20.741859999999999</v>
          </cell>
        </row>
        <row r="464">
          <cell r="D464">
            <v>41397</v>
          </cell>
          <cell r="F464">
            <v>190.46624</v>
          </cell>
          <cell r="K464">
            <v>41397</v>
          </cell>
          <cell r="M464">
            <v>19.3095</v>
          </cell>
          <cell r="R464">
            <v>41397</v>
          </cell>
          <cell r="T464">
            <v>3.6</v>
          </cell>
          <cell r="Y464">
            <v>41397</v>
          </cell>
          <cell r="AA464">
            <v>258.05</v>
          </cell>
          <cell r="AF464">
            <v>41397</v>
          </cell>
          <cell r="AH464">
            <v>60.738160000000001</v>
          </cell>
          <cell r="AM464">
            <v>41397</v>
          </cell>
          <cell r="AO464">
            <v>44.211300000000001</v>
          </cell>
          <cell r="AT464">
            <v>41397</v>
          </cell>
          <cell r="AV464">
            <v>38.86036</v>
          </cell>
          <cell r="BA464">
            <v>41397</v>
          </cell>
          <cell r="BC464">
            <v>15.458259999999999</v>
          </cell>
          <cell r="BH464">
            <v>41397</v>
          </cell>
          <cell r="BJ464">
            <v>20.732679999999998</v>
          </cell>
        </row>
        <row r="465">
          <cell r="D465">
            <v>41396</v>
          </cell>
          <cell r="F465">
            <v>188.49181999999999</v>
          </cell>
          <cell r="K465">
            <v>41396</v>
          </cell>
          <cell r="M465">
            <v>19.216799999999999</v>
          </cell>
          <cell r="R465">
            <v>41396</v>
          </cell>
          <cell r="T465">
            <v>3.41</v>
          </cell>
          <cell r="Y465">
            <v>41396</v>
          </cell>
          <cell r="AA465">
            <v>252.55</v>
          </cell>
          <cell r="AF465">
            <v>41396</v>
          </cell>
          <cell r="AH465">
            <v>60.136150000000001</v>
          </cell>
          <cell r="AM465">
            <v>41396</v>
          </cell>
          <cell r="AO465">
            <v>43.992100000000001</v>
          </cell>
          <cell r="AT465">
            <v>41396</v>
          </cell>
          <cell r="AV465">
            <v>38.60277</v>
          </cell>
          <cell r="BA465">
            <v>41396</v>
          </cell>
          <cell r="BC465">
            <v>15.16586</v>
          </cell>
          <cell r="BH465">
            <v>41396</v>
          </cell>
          <cell r="BJ465">
            <v>20.503029999999999</v>
          </cell>
        </row>
        <row r="466">
          <cell r="D466">
            <v>41395</v>
          </cell>
          <cell r="F466">
            <v>185.92134999999999</v>
          </cell>
          <cell r="K466">
            <v>41395</v>
          </cell>
          <cell r="M466">
            <v>18.89235</v>
          </cell>
          <cell r="R466">
            <v>41395</v>
          </cell>
          <cell r="T466">
            <v>3.22</v>
          </cell>
          <cell r="Y466">
            <v>41395</v>
          </cell>
          <cell r="AA466">
            <v>248.23</v>
          </cell>
          <cell r="AF466">
            <v>41395</v>
          </cell>
          <cell r="AH466">
            <v>59.29522</v>
          </cell>
          <cell r="AM466">
            <v>41395</v>
          </cell>
          <cell r="AO466">
            <v>41.876359999999998</v>
          </cell>
          <cell r="AT466">
            <v>41395</v>
          </cell>
          <cell r="AV466">
            <v>38.83276</v>
          </cell>
          <cell r="BA466">
            <v>41395</v>
          </cell>
          <cell r="BC466">
            <v>15.15611</v>
          </cell>
          <cell r="BH466">
            <v>41395</v>
          </cell>
          <cell r="BJ466">
            <v>20.346869999999999</v>
          </cell>
        </row>
        <row r="467">
          <cell r="D467">
            <v>41394</v>
          </cell>
          <cell r="F467">
            <v>188.63151999999999</v>
          </cell>
          <cell r="K467">
            <v>41394</v>
          </cell>
          <cell r="M467">
            <v>19.39293</v>
          </cell>
          <cell r="R467">
            <v>41394</v>
          </cell>
          <cell r="T467">
            <v>2.82</v>
          </cell>
          <cell r="Y467">
            <v>41394</v>
          </cell>
          <cell r="AA467">
            <v>253.81</v>
          </cell>
          <cell r="AF467">
            <v>41394</v>
          </cell>
          <cell r="AH467">
            <v>59.766300000000001</v>
          </cell>
          <cell r="AM467">
            <v>41394</v>
          </cell>
          <cell r="AO467">
            <v>42.143210000000003</v>
          </cell>
          <cell r="AT467">
            <v>41394</v>
          </cell>
          <cell r="AV467">
            <v>38.943159999999999</v>
          </cell>
          <cell r="BA467">
            <v>41394</v>
          </cell>
          <cell r="BC467">
            <v>15.47775</v>
          </cell>
          <cell r="BH467">
            <v>41394</v>
          </cell>
          <cell r="BJ467">
            <v>20.475470000000001</v>
          </cell>
        </row>
        <row r="468">
          <cell r="D468">
            <v>41393</v>
          </cell>
          <cell r="F468">
            <v>185.47431</v>
          </cell>
          <cell r="K468">
            <v>41393</v>
          </cell>
          <cell r="M468">
            <v>19.448550000000001</v>
          </cell>
          <cell r="R468">
            <v>41393</v>
          </cell>
          <cell r="T468">
            <v>2.68</v>
          </cell>
          <cell r="Y468">
            <v>41393</v>
          </cell>
          <cell r="AA468">
            <v>249.74</v>
          </cell>
          <cell r="AF468">
            <v>41393</v>
          </cell>
          <cell r="AH468">
            <v>58.057459999999999</v>
          </cell>
          <cell r="AM468">
            <v>41393</v>
          </cell>
          <cell r="AO468">
            <v>41.933540000000001</v>
          </cell>
          <cell r="AT468">
            <v>41393</v>
          </cell>
          <cell r="AV468">
            <v>38.86036</v>
          </cell>
          <cell r="BA468">
            <v>41393</v>
          </cell>
          <cell r="BC468">
            <v>15.234080000000001</v>
          </cell>
          <cell r="BH468">
            <v>41393</v>
          </cell>
          <cell r="BJ468">
            <v>20.457100000000001</v>
          </cell>
        </row>
        <row r="469">
          <cell r="D469">
            <v>41390</v>
          </cell>
          <cell r="F469">
            <v>180.96668</v>
          </cell>
          <cell r="K469">
            <v>41390</v>
          </cell>
          <cell r="M469">
            <v>19.161180000000002</v>
          </cell>
          <cell r="R469">
            <v>41390</v>
          </cell>
          <cell r="T469">
            <v>2.64</v>
          </cell>
          <cell r="Y469">
            <v>41390</v>
          </cell>
          <cell r="AA469">
            <v>254.81</v>
          </cell>
          <cell r="AF469">
            <v>41390</v>
          </cell>
          <cell r="AH469">
            <v>56.3142</v>
          </cell>
          <cell r="AM469">
            <v>41390</v>
          </cell>
          <cell r="AO469">
            <v>41.914479999999998</v>
          </cell>
          <cell r="AT469">
            <v>41390</v>
          </cell>
          <cell r="AV469">
            <v>38.731560000000002</v>
          </cell>
          <cell r="BA469">
            <v>41390</v>
          </cell>
          <cell r="BC469">
            <v>15.214589999999999</v>
          </cell>
          <cell r="BH469">
            <v>41390</v>
          </cell>
          <cell r="BJ469">
            <v>20.401979999999998</v>
          </cell>
        </row>
        <row r="470">
          <cell r="D470">
            <v>41389</v>
          </cell>
          <cell r="F470">
            <v>180.63140000000001</v>
          </cell>
          <cell r="K470">
            <v>41389</v>
          </cell>
          <cell r="M470">
            <v>19.133369999999999</v>
          </cell>
          <cell r="R470">
            <v>41389</v>
          </cell>
          <cell r="T470">
            <v>2.68</v>
          </cell>
          <cell r="Y470">
            <v>41389</v>
          </cell>
          <cell r="AA470">
            <v>274.7</v>
          </cell>
          <cell r="AF470">
            <v>41389</v>
          </cell>
          <cell r="AH470">
            <v>55.122999999999998</v>
          </cell>
          <cell r="AM470">
            <v>41389</v>
          </cell>
          <cell r="AO470">
            <v>42.143210000000003</v>
          </cell>
          <cell r="AT470">
            <v>41389</v>
          </cell>
          <cell r="AV470">
            <v>38.961559999999999</v>
          </cell>
          <cell r="BA470">
            <v>41389</v>
          </cell>
          <cell r="BC470">
            <v>15.253579999999999</v>
          </cell>
          <cell r="BH470">
            <v>41389</v>
          </cell>
          <cell r="BJ470">
            <v>20.163150000000002</v>
          </cell>
        </row>
        <row r="471">
          <cell r="D471">
            <v>41388</v>
          </cell>
          <cell r="F471">
            <v>178.54522</v>
          </cell>
          <cell r="K471">
            <v>41388</v>
          </cell>
          <cell r="M471">
            <v>18.901620000000001</v>
          </cell>
          <cell r="R471">
            <v>41388</v>
          </cell>
          <cell r="T471">
            <v>2.61</v>
          </cell>
          <cell r="Y471">
            <v>41388</v>
          </cell>
          <cell r="AA471">
            <v>268.77999999999997</v>
          </cell>
          <cell r="AF471">
            <v>41388</v>
          </cell>
          <cell r="AH471">
            <v>54.729129999999998</v>
          </cell>
          <cell r="AM471">
            <v>41388</v>
          </cell>
          <cell r="AO471">
            <v>42.305230000000002</v>
          </cell>
          <cell r="AT471">
            <v>41388</v>
          </cell>
          <cell r="AV471">
            <v>38.777560000000001</v>
          </cell>
          <cell r="BA471">
            <v>41388</v>
          </cell>
          <cell r="BC471">
            <v>15.390029999999999</v>
          </cell>
          <cell r="BH471">
            <v>41388</v>
          </cell>
          <cell r="BJ471">
            <v>20.172329999999999</v>
          </cell>
        </row>
        <row r="472">
          <cell r="D472">
            <v>41387</v>
          </cell>
          <cell r="F472">
            <v>178.45209</v>
          </cell>
          <cell r="K472">
            <v>41387</v>
          </cell>
          <cell r="M472">
            <v>19.383659999999999</v>
          </cell>
          <cell r="R472">
            <v>41387</v>
          </cell>
          <cell r="T472">
            <v>2.5299999999999998</v>
          </cell>
          <cell r="Y472">
            <v>41387</v>
          </cell>
          <cell r="AA472">
            <v>268.89999999999998</v>
          </cell>
          <cell r="AF472">
            <v>41387</v>
          </cell>
          <cell r="AH472">
            <v>54.819299999999998</v>
          </cell>
          <cell r="AM472">
            <v>41387</v>
          </cell>
          <cell r="AO472">
            <v>41.742939999999997</v>
          </cell>
          <cell r="AT472">
            <v>41387</v>
          </cell>
          <cell r="AV472">
            <v>39.283560000000001</v>
          </cell>
          <cell r="BA472">
            <v>41387</v>
          </cell>
          <cell r="BC472">
            <v>15.390029999999999</v>
          </cell>
          <cell r="BH472">
            <v>41387</v>
          </cell>
          <cell r="BJ472">
            <v>19.749780000000001</v>
          </cell>
        </row>
        <row r="473">
          <cell r="D473">
            <v>41386</v>
          </cell>
          <cell r="F473">
            <v>174.93165999999999</v>
          </cell>
          <cell r="K473">
            <v>41386</v>
          </cell>
          <cell r="M473">
            <v>19.087019999999999</v>
          </cell>
          <cell r="R473">
            <v>41386</v>
          </cell>
          <cell r="T473">
            <v>2.46</v>
          </cell>
          <cell r="Y473">
            <v>41386</v>
          </cell>
          <cell r="AA473">
            <v>263.55</v>
          </cell>
          <cell r="AF473">
            <v>41386</v>
          </cell>
          <cell r="AH473">
            <v>53.812350000000002</v>
          </cell>
          <cell r="AM473">
            <v>41386</v>
          </cell>
          <cell r="AO473">
            <v>41.342660000000002</v>
          </cell>
          <cell r="AT473">
            <v>41386</v>
          </cell>
          <cell r="AV473">
            <v>39.301960000000001</v>
          </cell>
          <cell r="BA473">
            <v>41386</v>
          </cell>
          <cell r="BC473">
            <v>15.26332</v>
          </cell>
          <cell r="BH473">
            <v>41386</v>
          </cell>
          <cell r="BJ473">
            <v>19.611989999999999</v>
          </cell>
        </row>
        <row r="474">
          <cell r="D474">
            <v>41383</v>
          </cell>
          <cell r="F474">
            <v>176.95264</v>
          </cell>
          <cell r="K474">
            <v>41383</v>
          </cell>
          <cell r="M474">
            <v>18.96651</v>
          </cell>
          <cell r="R474">
            <v>41383</v>
          </cell>
          <cell r="T474">
            <v>2.4700000000000002</v>
          </cell>
          <cell r="Y474">
            <v>41383</v>
          </cell>
          <cell r="AA474">
            <v>260.32</v>
          </cell>
          <cell r="AF474">
            <v>41383</v>
          </cell>
          <cell r="AH474">
            <v>52.713610000000003</v>
          </cell>
          <cell r="AM474">
            <v>41383</v>
          </cell>
          <cell r="AO474">
            <v>41.047220000000003</v>
          </cell>
          <cell r="AT474">
            <v>41383</v>
          </cell>
          <cell r="AV474">
            <v>39.246760000000002</v>
          </cell>
          <cell r="BA474">
            <v>41383</v>
          </cell>
          <cell r="BC474">
            <v>15.47775</v>
          </cell>
          <cell r="BH474">
            <v>41383</v>
          </cell>
          <cell r="BJ474">
            <v>19.979430000000001</v>
          </cell>
        </row>
        <row r="475">
          <cell r="D475">
            <v>41382</v>
          </cell>
          <cell r="F475">
            <v>192.92495</v>
          </cell>
          <cell r="K475">
            <v>41382</v>
          </cell>
          <cell r="M475">
            <v>19.077750000000002</v>
          </cell>
          <cell r="R475">
            <v>41382</v>
          </cell>
          <cell r="T475">
            <v>2.5099999999999998</v>
          </cell>
          <cell r="Y475">
            <v>41382</v>
          </cell>
          <cell r="AA475">
            <v>259.42</v>
          </cell>
          <cell r="AF475">
            <v>41382</v>
          </cell>
          <cell r="AH475">
            <v>52.918779999999998</v>
          </cell>
          <cell r="AM475">
            <v>41382</v>
          </cell>
          <cell r="AO475">
            <v>40.694600000000001</v>
          </cell>
          <cell r="AT475">
            <v>41382</v>
          </cell>
          <cell r="AV475">
            <v>38.731560000000002</v>
          </cell>
          <cell r="BA475">
            <v>41382</v>
          </cell>
          <cell r="BC475">
            <v>15.204840000000001</v>
          </cell>
          <cell r="BH475">
            <v>41382</v>
          </cell>
          <cell r="BJ475">
            <v>20.824539999999999</v>
          </cell>
        </row>
        <row r="476">
          <cell r="D476">
            <v>41381</v>
          </cell>
          <cell r="F476">
            <v>195.27189999999999</v>
          </cell>
          <cell r="K476">
            <v>41381</v>
          </cell>
          <cell r="M476">
            <v>19.124099999999999</v>
          </cell>
          <cell r="R476">
            <v>41381</v>
          </cell>
          <cell r="T476">
            <v>2.4</v>
          </cell>
          <cell r="Y476">
            <v>41381</v>
          </cell>
          <cell r="AA476">
            <v>267.39999999999998</v>
          </cell>
          <cell r="AF476">
            <v>41381</v>
          </cell>
          <cell r="AH476">
            <v>54.369810000000001</v>
          </cell>
          <cell r="AM476">
            <v>41381</v>
          </cell>
          <cell r="AO476">
            <v>40.589759999999998</v>
          </cell>
          <cell r="AT476">
            <v>41381</v>
          </cell>
          <cell r="AV476">
            <v>39.145560000000003</v>
          </cell>
          <cell r="BA476">
            <v>41381</v>
          </cell>
          <cell r="BC476">
            <v>15.12687</v>
          </cell>
          <cell r="BH476">
            <v>41381</v>
          </cell>
          <cell r="BJ476">
            <v>20.907209999999999</v>
          </cell>
        </row>
        <row r="477">
          <cell r="D477">
            <v>41380</v>
          </cell>
          <cell r="F477">
            <v>197.4419</v>
          </cell>
          <cell r="K477">
            <v>41380</v>
          </cell>
          <cell r="M477">
            <v>19.615410000000001</v>
          </cell>
          <cell r="R477">
            <v>41380</v>
          </cell>
          <cell r="T477">
            <v>2.44</v>
          </cell>
          <cell r="Y477">
            <v>41380</v>
          </cell>
          <cell r="AA477">
            <v>272.33999999999997</v>
          </cell>
          <cell r="AF477">
            <v>41380</v>
          </cell>
          <cell r="AH477">
            <v>57.533740000000002</v>
          </cell>
          <cell r="AM477">
            <v>41380</v>
          </cell>
          <cell r="AO477">
            <v>41.09487</v>
          </cell>
          <cell r="AT477">
            <v>41380</v>
          </cell>
          <cell r="AV477">
            <v>38.979959999999998</v>
          </cell>
          <cell r="BA477">
            <v>41380</v>
          </cell>
          <cell r="BC477">
            <v>15.282819999999999</v>
          </cell>
          <cell r="BH477">
            <v>41380</v>
          </cell>
          <cell r="BJ477">
            <v>21.219529999999999</v>
          </cell>
        </row>
        <row r="478">
          <cell r="D478">
            <v>41379</v>
          </cell>
          <cell r="F478">
            <v>194.89005</v>
          </cell>
          <cell r="K478">
            <v>41379</v>
          </cell>
          <cell r="M478">
            <v>19.513439999999999</v>
          </cell>
          <cell r="R478">
            <v>41379</v>
          </cell>
          <cell r="T478">
            <v>2.4</v>
          </cell>
          <cell r="Y478">
            <v>41379</v>
          </cell>
          <cell r="AA478">
            <v>267.72000000000003</v>
          </cell>
          <cell r="AF478">
            <v>41379</v>
          </cell>
          <cell r="AH478">
            <v>56.671219999999998</v>
          </cell>
          <cell r="AM478">
            <v>41379</v>
          </cell>
          <cell r="AO478">
            <v>40.99004</v>
          </cell>
          <cell r="AT478">
            <v>41379</v>
          </cell>
          <cell r="AV478">
            <v>36.882390000000001</v>
          </cell>
          <cell r="BA478">
            <v>41379</v>
          </cell>
          <cell r="BC478">
            <v>15.12687</v>
          </cell>
          <cell r="BH478">
            <v>41379</v>
          </cell>
          <cell r="BJ478">
            <v>20.953140000000001</v>
          </cell>
        </row>
        <row r="479">
          <cell r="D479">
            <v>41376</v>
          </cell>
          <cell r="F479">
            <v>196.86447000000001</v>
          </cell>
          <cell r="K479">
            <v>41376</v>
          </cell>
          <cell r="M479">
            <v>19.967669999999998</v>
          </cell>
          <cell r="R479">
            <v>41376</v>
          </cell>
          <cell r="T479">
            <v>2.48</v>
          </cell>
          <cell r="Y479">
            <v>41376</v>
          </cell>
          <cell r="AA479">
            <v>272.87</v>
          </cell>
          <cell r="AF479">
            <v>41376</v>
          </cell>
          <cell r="AH479">
            <v>58.014270000000003</v>
          </cell>
          <cell r="AM479">
            <v>41376</v>
          </cell>
          <cell r="AO479">
            <v>41.237830000000002</v>
          </cell>
          <cell r="AT479">
            <v>41376</v>
          </cell>
          <cell r="AV479">
            <v>37.79318</v>
          </cell>
          <cell r="BA479">
            <v>41376</v>
          </cell>
          <cell r="BC479">
            <v>15.78965</v>
          </cell>
          <cell r="BH479">
            <v>41376</v>
          </cell>
          <cell r="BJ479">
            <v>21.550229999999999</v>
          </cell>
        </row>
        <row r="480">
          <cell r="D480">
            <v>41375</v>
          </cell>
          <cell r="F480">
            <v>198.29872</v>
          </cell>
          <cell r="K480">
            <v>41375</v>
          </cell>
          <cell r="M480">
            <v>20.10209</v>
          </cell>
          <cell r="R480">
            <v>41375</v>
          </cell>
          <cell r="T480">
            <v>2.52</v>
          </cell>
          <cell r="Y480">
            <v>41375</v>
          </cell>
          <cell r="AA480">
            <v>269.85000000000002</v>
          </cell>
          <cell r="AF480">
            <v>41375</v>
          </cell>
          <cell r="AH480">
            <v>58.625720000000001</v>
          </cell>
          <cell r="AM480">
            <v>41375</v>
          </cell>
          <cell r="AO480">
            <v>41.45702</v>
          </cell>
          <cell r="AT480">
            <v>41375</v>
          </cell>
          <cell r="AV480">
            <v>37.885170000000002</v>
          </cell>
          <cell r="BA480">
            <v>41375</v>
          </cell>
          <cell r="BC480">
            <v>15.75066</v>
          </cell>
          <cell r="BH480">
            <v>41375</v>
          </cell>
          <cell r="BJ480">
            <v>21.669640000000001</v>
          </cell>
        </row>
        <row r="481">
          <cell r="D481">
            <v>41374</v>
          </cell>
          <cell r="F481">
            <v>197.4419</v>
          </cell>
          <cell r="K481">
            <v>41374</v>
          </cell>
          <cell r="M481">
            <v>19.90278</v>
          </cell>
          <cell r="R481">
            <v>41374</v>
          </cell>
          <cell r="T481">
            <v>2.61</v>
          </cell>
          <cell r="Y481">
            <v>41374</v>
          </cell>
          <cell r="AA481">
            <v>264.77</v>
          </cell>
          <cell r="AF481">
            <v>41374</v>
          </cell>
          <cell r="AH481">
            <v>58.8093</v>
          </cell>
          <cell r="AM481">
            <v>41374</v>
          </cell>
          <cell r="AO481">
            <v>40.932859999999998</v>
          </cell>
          <cell r="AT481">
            <v>41374</v>
          </cell>
          <cell r="AV481">
            <v>37.78398</v>
          </cell>
          <cell r="BA481">
            <v>41374</v>
          </cell>
          <cell r="BC481">
            <v>15.93585</v>
          </cell>
          <cell r="BH481">
            <v>41374</v>
          </cell>
          <cell r="BJ481">
            <v>21.66046</v>
          </cell>
        </row>
        <row r="482">
          <cell r="D482">
            <v>41373</v>
          </cell>
          <cell r="F482">
            <v>194.8528</v>
          </cell>
          <cell r="K482">
            <v>41373</v>
          </cell>
          <cell r="M482">
            <v>19.43928</v>
          </cell>
          <cell r="R482">
            <v>41373</v>
          </cell>
          <cell r="T482">
            <v>2.63</v>
          </cell>
          <cell r="Y482">
            <v>41373</v>
          </cell>
          <cell r="AA482">
            <v>261.14</v>
          </cell>
          <cell r="AF482">
            <v>41373</v>
          </cell>
          <cell r="AH482">
            <v>57.633620000000001</v>
          </cell>
          <cell r="AM482">
            <v>41373</v>
          </cell>
          <cell r="AO482">
            <v>40.866140000000001</v>
          </cell>
          <cell r="AT482">
            <v>41373</v>
          </cell>
          <cell r="AV482">
            <v>37.452779999999997</v>
          </cell>
          <cell r="BA482">
            <v>41373</v>
          </cell>
          <cell r="BC482">
            <v>15.43876</v>
          </cell>
          <cell r="BH482">
            <v>41373</v>
          </cell>
          <cell r="BJ482">
            <v>21.182790000000001</v>
          </cell>
        </row>
        <row r="483">
          <cell r="D483">
            <v>41372</v>
          </cell>
          <cell r="F483">
            <v>194.94593</v>
          </cell>
          <cell r="K483">
            <v>41372</v>
          </cell>
          <cell r="M483">
            <v>19.068480000000001</v>
          </cell>
          <cell r="R483">
            <v>41372</v>
          </cell>
          <cell r="T483">
            <v>2.59</v>
          </cell>
          <cell r="Y483">
            <v>41372</v>
          </cell>
          <cell r="AA483">
            <v>258.95</v>
          </cell>
          <cell r="AF483">
            <v>41372</v>
          </cell>
          <cell r="AH483">
            <v>57.529690000000002</v>
          </cell>
          <cell r="AM483">
            <v>41372</v>
          </cell>
          <cell r="AO483">
            <v>40.761310000000002</v>
          </cell>
          <cell r="AT483">
            <v>41372</v>
          </cell>
          <cell r="AV483">
            <v>37.590780000000002</v>
          </cell>
          <cell r="BA483">
            <v>41372</v>
          </cell>
          <cell r="BC483">
            <v>15.809139999999999</v>
          </cell>
          <cell r="BH483">
            <v>41372</v>
          </cell>
          <cell r="BJ483">
            <v>21.2379</v>
          </cell>
        </row>
        <row r="484">
          <cell r="D484">
            <v>41369</v>
          </cell>
          <cell r="F484">
            <v>195.02975000000001</v>
          </cell>
          <cell r="K484">
            <v>41369</v>
          </cell>
          <cell r="M484">
            <v>19.105560000000001</v>
          </cell>
          <cell r="R484">
            <v>41369</v>
          </cell>
          <cell r="T484">
            <v>2.29</v>
          </cell>
          <cell r="Y484">
            <v>41369</v>
          </cell>
          <cell r="AA484">
            <v>255.48</v>
          </cell>
          <cell r="AF484">
            <v>41369</v>
          </cell>
          <cell r="AH484">
            <v>57.123399999999997</v>
          </cell>
          <cell r="AM484">
            <v>41369</v>
          </cell>
          <cell r="AO484">
            <v>40.456339999999997</v>
          </cell>
          <cell r="AT484">
            <v>41369</v>
          </cell>
          <cell r="AV484">
            <v>36.873190000000001</v>
          </cell>
          <cell r="BA484">
            <v>41369</v>
          </cell>
          <cell r="BC484">
            <v>15.848129999999999</v>
          </cell>
          <cell r="BH484">
            <v>41369</v>
          </cell>
          <cell r="BJ484">
            <v>21.063369999999999</v>
          </cell>
        </row>
        <row r="485">
          <cell r="D485">
            <v>41368</v>
          </cell>
          <cell r="F485">
            <v>196.79928000000001</v>
          </cell>
          <cell r="K485">
            <v>41368</v>
          </cell>
          <cell r="M485">
            <v>19.504169999999998</v>
          </cell>
          <cell r="R485">
            <v>41368</v>
          </cell>
          <cell r="T485">
            <v>2.33</v>
          </cell>
          <cell r="Y485">
            <v>41368</v>
          </cell>
          <cell r="AA485">
            <v>259.08</v>
          </cell>
          <cell r="AF485">
            <v>41368</v>
          </cell>
          <cell r="AH485">
            <v>57.733510000000003</v>
          </cell>
          <cell r="AM485">
            <v>41368</v>
          </cell>
          <cell r="AO485">
            <v>40.532580000000003</v>
          </cell>
          <cell r="AT485">
            <v>41368</v>
          </cell>
          <cell r="AV485">
            <v>37.296379999999999</v>
          </cell>
          <cell r="BA485">
            <v>41368</v>
          </cell>
          <cell r="BC485">
            <v>15.809139999999999</v>
          </cell>
          <cell r="BH485">
            <v>41368</v>
          </cell>
          <cell r="BJ485">
            <v>21.201160000000002</v>
          </cell>
        </row>
        <row r="486">
          <cell r="D486">
            <v>41367</v>
          </cell>
          <cell r="F486">
            <v>198.05658</v>
          </cell>
          <cell r="K486">
            <v>41367</v>
          </cell>
          <cell r="M486">
            <v>19.49212</v>
          </cell>
          <cell r="R486">
            <v>41367</v>
          </cell>
          <cell r="T486">
            <v>2.3199999999999998</v>
          </cell>
          <cell r="Y486">
            <v>41367</v>
          </cell>
          <cell r="AA486">
            <v>259.02999999999997</v>
          </cell>
          <cell r="AF486">
            <v>41367</v>
          </cell>
          <cell r="AH486">
            <v>58.309869999999997</v>
          </cell>
          <cell r="AM486">
            <v>41367</v>
          </cell>
          <cell r="AO486">
            <v>40.389629999999997</v>
          </cell>
          <cell r="AT486">
            <v>41367</v>
          </cell>
          <cell r="AV486">
            <v>36.955979999999997</v>
          </cell>
          <cell r="BA486">
            <v>41367</v>
          </cell>
          <cell r="BC486">
            <v>16.121030000000001</v>
          </cell>
          <cell r="BH486">
            <v>41367</v>
          </cell>
          <cell r="BJ486">
            <v>21.127669999999998</v>
          </cell>
        </row>
        <row r="487">
          <cell r="D487">
            <v>41366</v>
          </cell>
          <cell r="F487">
            <v>199.63983999999999</v>
          </cell>
          <cell r="K487">
            <v>41366</v>
          </cell>
          <cell r="M487">
            <v>19.513269999999999</v>
          </cell>
          <cell r="R487">
            <v>41366</v>
          </cell>
          <cell r="T487">
            <v>2.39</v>
          </cell>
          <cell r="Y487">
            <v>41366</v>
          </cell>
          <cell r="AA487">
            <v>263.322</v>
          </cell>
          <cell r="AF487">
            <v>41366</v>
          </cell>
          <cell r="AH487">
            <v>58.013190000000002</v>
          </cell>
          <cell r="AM487">
            <v>41366</v>
          </cell>
          <cell r="AO487">
            <v>40.075119999999998</v>
          </cell>
          <cell r="AT487">
            <v>41366</v>
          </cell>
          <cell r="AV487">
            <v>37.461979999999997</v>
          </cell>
          <cell r="BA487">
            <v>41366</v>
          </cell>
          <cell r="BC487">
            <v>16.179510000000001</v>
          </cell>
          <cell r="BH487">
            <v>41366</v>
          </cell>
          <cell r="BJ487">
            <v>21.439990000000002</v>
          </cell>
        </row>
        <row r="488">
          <cell r="D488">
            <v>41365</v>
          </cell>
          <cell r="F488">
            <v>197.79580000000001</v>
          </cell>
          <cell r="K488">
            <v>41365</v>
          </cell>
          <cell r="M488">
            <v>19.154640000000001</v>
          </cell>
          <cell r="R488">
            <v>41365</v>
          </cell>
          <cell r="T488">
            <v>2.44</v>
          </cell>
          <cell r="Y488">
            <v>41365</v>
          </cell>
          <cell r="AA488">
            <v>261.61</v>
          </cell>
          <cell r="AF488">
            <v>41365</v>
          </cell>
          <cell r="AH488">
            <v>57.894129999999997</v>
          </cell>
          <cell r="AM488">
            <v>41365</v>
          </cell>
          <cell r="AO488">
            <v>39.884520000000002</v>
          </cell>
          <cell r="AT488">
            <v>41365</v>
          </cell>
          <cell r="AV488">
            <v>37.21358</v>
          </cell>
          <cell r="BA488">
            <v>41365</v>
          </cell>
          <cell r="BC488">
            <v>16.569379999999999</v>
          </cell>
          <cell r="BH488">
            <v>41365</v>
          </cell>
          <cell r="BJ488">
            <v>21.201160000000002</v>
          </cell>
        </row>
        <row r="489">
          <cell r="D489">
            <v>41361</v>
          </cell>
          <cell r="F489">
            <v>198.65262999999999</v>
          </cell>
          <cell r="K489">
            <v>41361</v>
          </cell>
          <cell r="M489">
            <v>19.214410000000001</v>
          </cell>
          <cell r="R489">
            <v>41361</v>
          </cell>
          <cell r="T489">
            <v>2.5499999999999998</v>
          </cell>
          <cell r="Y489">
            <v>41361</v>
          </cell>
          <cell r="AA489">
            <v>266.49</v>
          </cell>
          <cell r="AF489">
            <v>41361</v>
          </cell>
          <cell r="AH489">
            <v>59.750100000000003</v>
          </cell>
          <cell r="AM489">
            <v>41361</v>
          </cell>
          <cell r="AO489">
            <v>39.665320000000001</v>
          </cell>
          <cell r="AT489">
            <v>41361</v>
          </cell>
          <cell r="AV489">
            <v>37.20438</v>
          </cell>
          <cell r="BA489">
            <v>41361</v>
          </cell>
          <cell r="BC489">
            <v>16.959250000000001</v>
          </cell>
          <cell r="BH489">
            <v>41361</v>
          </cell>
          <cell r="BJ489">
            <v>21.2379</v>
          </cell>
        </row>
        <row r="490">
          <cell r="D490">
            <v>41360</v>
          </cell>
          <cell r="F490">
            <v>196.40812</v>
          </cell>
          <cell r="K490">
            <v>41360</v>
          </cell>
          <cell r="M490">
            <v>19.154640000000001</v>
          </cell>
          <cell r="R490">
            <v>41360</v>
          </cell>
          <cell r="T490">
            <v>2.5499999999999998</v>
          </cell>
          <cell r="Y490">
            <v>41360</v>
          </cell>
          <cell r="AA490">
            <v>265.3</v>
          </cell>
          <cell r="AF490">
            <v>41360</v>
          </cell>
          <cell r="AH490">
            <v>61.021610000000003</v>
          </cell>
          <cell r="AM490">
            <v>41360</v>
          </cell>
          <cell r="AO490">
            <v>39.751089999999998</v>
          </cell>
          <cell r="AT490">
            <v>41360</v>
          </cell>
          <cell r="AV490">
            <v>37.001980000000003</v>
          </cell>
          <cell r="BA490">
            <v>41360</v>
          </cell>
          <cell r="BC490">
            <v>17.08596</v>
          </cell>
          <cell r="BH490">
            <v>41360</v>
          </cell>
          <cell r="BJ490">
            <v>21.219529999999999</v>
          </cell>
        </row>
        <row r="491">
          <cell r="D491">
            <v>41359</v>
          </cell>
          <cell r="F491">
            <v>197.77717999999999</v>
          </cell>
          <cell r="K491">
            <v>41359</v>
          </cell>
          <cell r="M491">
            <v>19.168430000000001</v>
          </cell>
          <cell r="R491">
            <v>41359</v>
          </cell>
          <cell r="T491">
            <v>2.54</v>
          </cell>
          <cell r="Y491">
            <v>41359</v>
          </cell>
          <cell r="AA491">
            <v>260.31</v>
          </cell>
          <cell r="AF491">
            <v>41359</v>
          </cell>
          <cell r="AH491">
            <v>62.243989999999997</v>
          </cell>
          <cell r="AM491">
            <v>41359</v>
          </cell>
          <cell r="AO491">
            <v>39.936929999999997</v>
          </cell>
          <cell r="AT491">
            <v>41359</v>
          </cell>
          <cell r="AV491">
            <v>37.434379999999997</v>
          </cell>
          <cell r="BA491">
            <v>41359</v>
          </cell>
          <cell r="BC491">
            <v>17.456330000000001</v>
          </cell>
          <cell r="BH491">
            <v>41359</v>
          </cell>
          <cell r="BJ491">
            <v>21.2379</v>
          </cell>
        </row>
        <row r="492">
          <cell r="D492">
            <v>41358</v>
          </cell>
          <cell r="F492">
            <v>196.26841999999999</v>
          </cell>
          <cell r="K492">
            <v>41358</v>
          </cell>
          <cell r="M492">
            <v>19.173030000000001</v>
          </cell>
          <cell r="R492">
            <v>41358</v>
          </cell>
          <cell r="T492">
            <v>2.5099999999999998</v>
          </cell>
          <cell r="Y492">
            <v>41358</v>
          </cell>
          <cell r="AA492">
            <v>256.02</v>
          </cell>
          <cell r="AF492">
            <v>41358</v>
          </cell>
          <cell r="AH492">
            <v>62.573880000000003</v>
          </cell>
          <cell r="AM492">
            <v>41358</v>
          </cell>
          <cell r="AO492">
            <v>39.813850000000002</v>
          </cell>
          <cell r="AT492">
            <v>41358</v>
          </cell>
          <cell r="AV492">
            <v>36.909990000000001</v>
          </cell>
          <cell r="BA492">
            <v>41358</v>
          </cell>
          <cell r="BC492">
            <v>17.43684</v>
          </cell>
          <cell r="BH492">
            <v>41358</v>
          </cell>
          <cell r="BJ492">
            <v>21.348140000000001</v>
          </cell>
        </row>
        <row r="493">
          <cell r="D493">
            <v>41355</v>
          </cell>
          <cell r="F493">
            <v>197.5164</v>
          </cell>
          <cell r="K493">
            <v>41355</v>
          </cell>
          <cell r="M493">
            <v>19.08107</v>
          </cell>
          <cell r="R493">
            <v>41355</v>
          </cell>
          <cell r="T493">
            <v>2.54</v>
          </cell>
          <cell r="Y493">
            <v>41355</v>
          </cell>
          <cell r="AA493">
            <v>257.75</v>
          </cell>
          <cell r="AF493">
            <v>41355</v>
          </cell>
          <cell r="AH493">
            <v>62.348460000000003</v>
          </cell>
          <cell r="AM493">
            <v>41355</v>
          </cell>
          <cell r="AO493">
            <v>39.85172</v>
          </cell>
          <cell r="AT493">
            <v>41355</v>
          </cell>
          <cell r="AV493">
            <v>36.836390000000002</v>
          </cell>
          <cell r="BA493">
            <v>41355</v>
          </cell>
          <cell r="BC493">
            <v>17.524360000000001</v>
          </cell>
          <cell r="BH493">
            <v>41355</v>
          </cell>
          <cell r="BJ493">
            <v>21.467549999999999</v>
          </cell>
        </row>
        <row r="494">
          <cell r="D494">
            <v>41354</v>
          </cell>
          <cell r="F494">
            <v>197.68404000000001</v>
          </cell>
          <cell r="K494">
            <v>41354</v>
          </cell>
          <cell r="M494">
            <v>19.163830000000001</v>
          </cell>
          <cell r="R494">
            <v>41354</v>
          </cell>
          <cell r="T494">
            <v>2.64</v>
          </cell>
          <cell r="Y494">
            <v>41354</v>
          </cell>
          <cell r="AA494">
            <v>253.39</v>
          </cell>
          <cell r="AF494">
            <v>41354</v>
          </cell>
          <cell r="AH494">
            <v>61.109349999999999</v>
          </cell>
          <cell r="AM494">
            <v>41354</v>
          </cell>
          <cell r="AO494">
            <v>39.738100000000003</v>
          </cell>
          <cell r="AT494">
            <v>41354</v>
          </cell>
          <cell r="AV494">
            <v>36.863990000000001</v>
          </cell>
          <cell r="BA494">
            <v>41354</v>
          </cell>
          <cell r="BC494">
            <v>17.572990000000001</v>
          </cell>
          <cell r="BH494">
            <v>41354</v>
          </cell>
          <cell r="BJ494">
            <v>21.39406</v>
          </cell>
        </row>
        <row r="495">
          <cell r="D495">
            <v>41353</v>
          </cell>
          <cell r="F495">
            <v>200.29177000000001</v>
          </cell>
          <cell r="K495">
            <v>41353</v>
          </cell>
          <cell r="M495">
            <v>19.92708</v>
          </cell>
          <cell r="R495">
            <v>41353</v>
          </cell>
          <cell r="T495">
            <v>2.75</v>
          </cell>
          <cell r="Y495">
            <v>41353</v>
          </cell>
          <cell r="AA495">
            <v>257.27800000000002</v>
          </cell>
          <cell r="AF495">
            <v>41353</v>
          </cell>
          <cell r="AH495">
            <v>61.021610000000003</v>
          </cell>
          <cell r="AM495">
            <v>41353</v>
          </cell>
          <cell r="AO495">
            <v>39.899059999999999</v>
          </cell>
          <cell r="AT495">
            <v>41353</v>
          </cell>
          <cell r="AV495">
            <v>36.679989999999997</v>
          </cell>
          <cell r="BA495">
            <v>41353</v>
          </cell>
          <cell r="BC495">
            <v>17.923079999999999</v>
          </cell>
          <cell r="BH495">
            <v>41353</v>
          </cell>
          <cell r="BJ495">
            <v>21.550229999999999</v>
          </cell>
        </row>
        <row r="496">
          <cell r="D496">
            <v>41352</v>
          </cell>
          <cell r="F496">
            <v>198.78300999999999</v>
          </cell>
          <cell r="K496">
            <v>41352</v>
          </cell>
          <cell r="M496">
            <v>19.78914</v>
          </cell>
          <cell r="R496">
            <v>41352</v>
          </cell>
          <cell r="T496">
            <v>2.67</v>
          </cell>
          <cell r="Y496">
            <v>41352</v>
          </cell>
          <cell r="AA496">
            <v>256.41000000000003</v>
          </cell>
          <cell r="AF496">
            <v>41352</v>
          </cell>
          <cell r="AH496">
            <v>61.346910000000001</v>
          </cell>
          <cell r="AM496">
            <v>41352</v>
          </cell>
          <cell r="AO496">
            <v>40.09789</v>
          </cell>
          <cell r="AT496">
            <v>41352</v>
          </cell>
          <cell r="AV496">
            <v>36.183190000000003</v>
          </cell>
          <cell r="BA496">
            <v>41352</v>
          </cell>
          <cell r="BC496">
            <v>17.88419</v>
          </cell>
          <cell r="BH496">
            <v>41352</v>
          </cell>
          <cell r="BJ496">
            <v>21.421620000000001</v>
          </cell>
        </row>
        <row r="497">
          <cell r="D497">
            <v>41351</v>
          </cell>
          <cell r="F497">
            <v>198.56881000000001</v>
          </cell>
          <cell r="K497">
            <v>41351</v>
          </cell>
          <cell r="M497">
            <v>19.92708</v>
          </cell>
          <cell r="R497">
            <v>41351</v>
          </cell>
          <cell r="T497">
            <v>2.65</v>
          </cell>
          <cell r="Y497">
            <v>41351</v>
          </cell>
          <cell r="AA497">
            <v>257.89</v>
          </cell>
          <cell r="AF497">
            <v>41351</v>
          </cell>
          <cell r="AH497">
            <v>61.51294</v>
          </cell>
          <cell r="AM497">
            <v>41351</v>
          </cell>
          <cell r="AO497">
            <v>43.676879999999997</v>
          </cell>
          <cell r="AT497">
            <v>41351</v>
          </cell>
          <cell r="AV497">
            <v>35.658799999999999</v>
          </cell>
          <cell r="BA497">
            <v>41351</v>
          </cell>
          <cell r="BC497">
            <v>17.952259999999999</v>
          </cell>
          <cell r="BH497">
            <v>41351</v>
          </cell>
          <cell r="BJ497">
            <v>21.357320000000001</v>
          </cell>
        </row>
        <row r="498">
          <cell r="D498">
            <v>41348</v>
          </cell>
          <cell r="F498">
            <v>200.16138000000001</v>
          </cell>
          <cell r="K498">
            <v>41348</v>
          </cell>
          <cell r="M498">
            <v>20.161570000000001</v>
          </cell>
          <cell r="R498">
            <v>41348</v>
          </cell>
          <cell r="T498">
            <v>2.6</v>
          </cell>
          <cell r="Y498">
            <v>41348</v>
          </cell>
          <cell r="AA498">
            <v>261.82</v>
          </cell>
          <cell r="AF498">
            <v>41348</v>
          </cell>
          <cell r="AH498">
            <v>59.885080000000002</v>
          </cell>
          <cell r="AM498">
            <v>41348</v>
          </cell>
          <cell r="AO498">
            <v>44.10295</v>
          </cell>
          <cell r="AT498">
            <v>41348</v>
          </cell>
          <cell r="AV498">
            <v>35.723199999999999</v>
          </cell>
          <cell r="BA498">
            <v>41348</v>
          </cell>
          <cell r="BC498">
            <v>17.69941</v>
          </cell>
          <cell r="BH498">
            <v>41348</v>
          </cell>
          <cell r="BJ498">
            <v>21.531849999999999</v>
          </cell>
        </row>
        <row r="499">
          <cell r="D499">
            <v>41347</v>
          </cell>
          <cell r="F499">
            <v>200.98095000000001</v>
          </cell>
          <cell r="K499">
            <v>41347</v>
          </cell>
          <cell r="M499">
            <v>19.85351</v>
          </cell>
          <cell r="R499">
            <v>41347</v>
          </cell>
          <cell r="T499">
            <v>2.63</v>
          </cell>
          <cell r="Y499">
            <v>41347</v>
          </cell>
          <cell r="AA499">
            <v>265.74</v>
          </cell>
          <cell r="AF499">
            <v>41347</v>
          </cell>
          <cell r="AH499">
            <v>58.378709999999998</v>
          </cell>
          <cell r="AM499">
            <v>41347</v>
          </cell>
          <cell r="AO499">
            <v>44.585830000000001</v>
          </cell>
          <cell r="AT499">
            <v>41347</v>
          </cell>
          <cell r="AV499">
            <v>35.898000000000003</v>
          </cell>
          <cell r="BA499">
            <v>41347</v>
          </cell>
          <cell r="BC499">
            <v>17.378489999999999</v>
          </cell>
          <cell r="BH499">
            <v>41347</v>
          </cell>
          <cell r="BJ499">
            <v>21.761500000000002</v>
          </cell>
        </row>
        <row r="500">
          <cell r="D500">
            <v>41346</v>
          </cell>
          <cell r="F500">
            <v>197.49778000000001</v>
          </cell>
          <cell r="K500">
            <v>41346</v>
          </cell>
          <cell r="M500">
            <v>19.83972</v>
          </cell>
          <cell r="R500">
            <v>41346</v>
          </cell>
          <cell r="T500">
            <v>2.6</v>
          </cell>
          <cell r="Y500">
            <v>41346</v>
          </cell>
          <cell r="AA500">
            <v>275.10000000000002</v>
          </cell>
          <cell r="AF500">
            <v>41346</v>
          </cell>
          <cell r="AH500">
            <v>57.818539999999999</v>
          </cell>
          <cell r="AM500">
            <v>41346</v>
          </cell>
          <cell r="AO500">
            <v>44.349119999999999</v>
          </cell>
          <cell r="AT500">
            <v>41346</v>
          </cell>
          <cell r="AV500">
            <v>35.502400000000002</v>
          </cell>
          <cell r="BA500">
            <v>41346</v>
          </cell>
          <cell r="BC500">
            <v>17.22289</v>
          </cell>
          <cell r="BH500">
            <v>41346</v>
          </cell>
          <cell r="BJ500">
            <v>21.577780000000001</v>
          </cell>
        </row>
        <row r="501">
          <cell r="D501">
            <v>41345</v>
          </cell>
          <cell r="F501">
            <v>196.09146999999999</v>
          </cell>
          <cell r="K501">
            <v>41345</v>
          </cell>
          <cell r="M501">
            <v>19.954660000000001</v>
          </cell>
          <cell r="R501">
            <v>41345</v>
          </cell>
          <cell r="T501">
            <v>2.61</v>
          </cell>
          <cell r="Y501">
            <v>41345</v>
          </cell>
          <cell r="AA501">
            <v>274.13</v>
          </cell>
          <cell r="AF501">
            <v>41345</v>
          </cell>
          <cell r="AH501">
            <v>57.829340000000002</v>
          </cell>
          <cell r="AM501">
            <v>41345</v>
          </cell>
          <cell r="AO501">
            <v>44.339649999999999</v>
          </cell>
          <cell r="AT501">
            <v>41345</v>
          </cell>
          <cell r="AV501">
            <v>35.5852</v>
          </cell>
          <cell r="BA501">
            <v>41345</v>
          </cell>
          <cell r="BC501">
            <v>17.183990000000001</v>
          </cell>
          <cell r="BH501">
            <v>41345</v>
          </cell>
          <cell r="BJ501">
            <v>21.504300000000001</v>
          </cell>
        </row>
        <row r="502">
          <cell r="D502">
            <v>41344</v>
          </cell>
          <cell r="F502">
            <v>195.65375</v>
          </cell>
          <cell r="K502">
            <v>41344</v>
          </cell>
          <cell r="M502">
            <v>20.120190000000001</v>
          </cell>
          <cell r="R502">
            <v>41344</v>
          </cell>
          <cell r="T502">
            <v>2.59</v>
          </cell>
          <cell r="Y502">
            <v>41344</v>
          </cell>
          <cell r="AA502">
            <v>271.24</v>
          </cell>
          <cell r="AF502">
            <v>41344</v>
          </cell>
          <cell r="AH502">
            <v>59.103549999999998</v>
          </cell>
          <cell r="AM502">
            <v>41344</v>
          </cell>
          <cell r="AO502">
            <v>44.292310000000001</v>
          </cell>
          <cell r="AT502">
            <v>41344</v>
          </cell>
          <cell r="AV502">
            <v>35.904879999999999</v>
          </cell>
          <cell r="BA502">
            <v>41344</v>
          </cell>
          <cell r="BC502">
            <v>17.35904</v>
          </cell>
          <cell r="BH502">
            <v>41344</v>
          </cell>
          <cell r="BJ502">
            <v>21.697199999999999</v>
          </cell>
        </row>
        <row r="503">
          <cell r="D503">
            <v>41341</v>
          </cell>
          <cell r="F503">
            <v>195.93314000000001</v>
          </cell>
          <cell r="K503">
            <v>41341</v>
          </cell>
          <cell r="M503">
            <v>20.074210000000001</v>
          </cell>
          <cell r="R503">
            <v>41341</v>
          </cell>
          <cell r="T503">
            <v>2.56</v>
          </cell>
          <cell r="Y503">
            <v>41341</v>
          </cell>
          <cell r="AA503">
            <v>274.19</v>
          </cell>
          <cell r="AF503">
            <v>41341</v>
          </cell>
          <cell r="AH503">
            <v>58.273429999999998</v>
          </cell>
          <cell r="AM503">
            <v>41341</v>
          </cell>
          <cell r="AO503">
            <v>43.818899999999999</v>
          </cell>
          <cell r="AT503">
            <v>41341</v>
          </cell>
          <cell r="AV503">
            <v>35.822679999999998</v>
          </cell>
          <cell r="BA503">
            <v>41341</v>
          </cell>
          <cell r="BC503">
            <v>17.28124</v>
          </cell>
          <cell r="BH503">
            <v>41341</v>
          </cell>
          <cell r="BJ503">
            <v>21.834990000000001</v>
          </cell>
        </row>
        <row r="504">
          <cell r="D504">
            <v>41340</v>
          </cell>
          <cell r="F504">
            <v>195.03907000000001</v>
          </cell>
          <cell r="K504">
            <v>41340</v>
          </cell>
          <cell r="M504">
            <v>20.048459999999999</v>
          </cell>
          <cell r="R504">
            <v>41340</v>
          </cell>
          <cell r="T504">
            <v>2.5499999999999998</v>
          </cell>
          <cell r="Y504">
            <v>41340</v>
          </cell>
          <cell r="AA504">
            <v>273.88</v>
          </cell>
          <cell r="AF504">
            <v>41340</v>
          </cell>
          <cell r="AH504">
            <v>58.119819999999997</v>
          </cell>
          <cell r="AM504">
            <v>41340</v>
          </cell>
          <cell r="AO504">
            <v>43.449640000000002</v>
          </cell>
          <cell r="AT504">
            <v>41340</v>
          </cell>
          <cell r="AV504">
            <v>35.731340000000003</v>
          </cell>
          <cell r="BA504">
            <v>41340</v>
          </cell>
          <cell r="BC504">
            <v>17.17426</v>
          </cell>
          <cell r="BH504">
            <v>41340</v>
          </cell>
          <cell r="BJ504">
            <v>21.752320000000001</v>
          </cell>
        </row>
        <row r="505">
          <cell r="D505">
            <v>41339</v>
          </cell>
          <cell r="F505">
            <v>194.07048</v>
          </cell>
          <cell r="K505">
            <v>41339</v>
          </cell>
          <cell r="M505">
            <v>19.96846</v>
          </cell>
          <cell r="R505">
            <v>41339</v>
          </cell>
          <cell r="T505">
            <v>2.4300000000000002</v>
          </cell>
          <cell r="Y505">
            <v>41339</v>
          </cell>
          <cell r="AA505">
            <v>273.79000000000002</v>
          </cell>
          <cell r="AF505">
            <v>41339</v>
          </cell>
          <cell r="AH505">
            <v>57.455719999999999</v>
          </cell>
          <cell r="AM505">
            <v>41339</v>
          </cell>
          <cell r="AO505">
            <v>43.667409999999997</v>
          </cell>
          <cell r="AT505">
            <v>41339</v>
          </cell>
          <cell r="AV505">
            <v>35.64</v>
          </cell>
          <cell r="BA505">
            <v>41339</v>
          </cell>
          <cell r="BC505">
            <v>16.999210000000001</v>
          </cell>
          <cell r="BH505">
            <v>41339</v>
          </cell>
          <cell r="BJ505">
            <v>21.743130000000001</v>
          </cell>
        </row>
        <row r="506">
          <cell r="D506">
            <v>41338</v>
          </cell>
          <cell r="F506">
            <v>192.34752</v>
          </cell>
          <cell r="K506">
            <v>41338</v>
          </cell>
          <cell r="M506">
            <v>19.511430000000001</v>
          </cell>
          <cell r="R506">
            <v>41338</v>
          </cell>
          <cell r="T506">
            <v>2.4300000000000002</v>
          </cell>
          <cell r="Y506">
            <v>41338</v>
          </cell>
          <cell r="AA506">
            <v>275.58999999999997</v>
          </cell>
          <cell r="AF506">
            <v>41338</v>
          </cell>
          <cell r="AH506">
            <v>58.195680000000003</v>
          </cell>
          <cell r="AM506">
            <v>41338</v>
          </cell>
          <cell r="AO506">
            <v>43.818899999999999</v>
          </cell>
          <cell r="AT506">
            <v>41338</v>
          </cell>
          <cell r="AV506">
            <v>35.329450000000001</v>
          </cell>
          <cell r="BA506">
            <v>41338</v>
          </cell>
          <cell r="BC506">
            <v>17.06729</v>
          </cell>
          <cell r="BH506">
            <v>41338</v>
          </cell>
          <cell r="BJ506">
            <v>21.669640000000001</v>
          </cell>
        </row>
        <row r="507">
          <cell r="D507">
            <v>41337</v>
          </cell>
          <cell r="F507">
            <v>191.09953999999999</v>
          </cell>
          <cell r="K507">
            <v>41337</v>
          </cell>
          <cell r="M507">
            <v>19.07188</v>
          </cell>
          <cell r="R507">
            <v>41337</v>
          </cell>
          <cell r="T507">
            <v>2.4</v>
          </cell>
          <cell r="Y507">
            <v>41337</v>
          </cell>
          <cell r="AA507">
            <v>273.11</v>
          </cell>
          <cell r="AF507">
            <v>41337</v>
          </cell>
          <cell r="AH507">
            <v>56.698210000000003</v>
          </cell>
          <cell r="AM507">
            <v>41337</v>
          </cell>
          <cell r="AO507">
            <v>43.790500000000002</v>
          </cell>
          <cell r="AT507">
            <v>41337</v>
          </cell>
          <cell r="AV507">
            <v>35.457329999999999</v>
          </cell>
          <cell r="BA507">
            <v>41337</v>
          </cell>
          <cell r="BC507">
            <v>16.688020000000002</v>
          </cell>
          <cell r="BH507">
            <v>41337</v>
          </cell>
          <cell r="BJ507">
            <v>21.375689999999999</v>
          </cell>
        </row>
        <row r="508">
          <cell r="D508">
            <v>41334</v>
          </cell>
          <cell r="F508">
            <v>188.97611000000001</v>
          </cell>
          <cell r="K508">
            <v>41334</v>
          </cell>
          <cell r="M508">
            <v>19.154640000000001</v>
          </cell>
          <cell r="R508">
            <v>41334</v>
          </cell>
          <cell r="T508">
            <v>2.42</v>
          </cell>
          <cell r="Y508">
            <v>41334</v>
          </cell>
          <cell r="AA508">
            <v>265.74</v>
          </cell>
          <cell r="AF508">
            <v>41334</v>
          </cell>
          <cell r="AH508">
            <v>58.104700000000001</v>
          </cell>
          <cell r="AM508">
            <v>41334</v>
          </cell>
          <cell r="AO508">
            <v>44.036670000000001</v>
          </cell>
          <cell r="AT508">
            <v>41334</v>
          </cell>
          <cell r="AV508">
            <v>35.347720000000002</v>
          </cell>
          <cell r="BA508">
            <v>41334</v>
          </cell>
          <cell r="BC508">
            <v>16.54214</v>
          </cell>
          <cell r="BH508">
            <v>41334</v>
          </cell>
          <cell r="BJ508">
            <v>21.302209999999999</v>
          </cell>
        </row>
        <row r="509">
          <cell r="D509">
            <v>41333</v>
          </cell>
          <cell r="F509">
            <v>187.03895</v>
          </cell>
          <cell r="K509">
            <v>41333</v>
          </cell>
          <cell r="M509">
            <v>19.177630000000001</v>
          </cell>
          <cell r="R509">
            <v>41333</v>
          </cell>
          <cell r="T509">
            <v>2.4900000000000002</v>
          </cell>
          <cell r="Y509">
            <v>41333</v>
          </cell>
          <cell r="AA509">
            <v>264.27</v>
          </cell>
          <cell r="AF509">
            <v>41333</v>
          </cell>
          <cell r="AH509">
            <v>59.580030000000001</v>
          </cell>
          <cell r="AM509">
            <v>41333</v>
          </cell>
          <cell r="AO509">
            <v>43.75262</v>
          </cell>
          <cell r="AT509">
            <v>41333</v>
          </cell>
          <cell r="AV509">
            <v>35.365989999999996</v>
          </cell>
          <cell r="BA509">
            <v>41333</v>
          </cell>
          <cell r="BC509">
            <v>16.435169999999999</v>
          </cell>
          <cell r="BH509">
            <v>41333</v>
          </cell>
          <cell r="BJ509">
            <v>21.32976</v>
          </cell>
        </row>
        <row r="510">
          <cell r="D510">
            <v>41332</v>
          </cell>
          <cell r="F510">
            <v>188.43593999999999</v>
          </cell>
          <cell r="K510">
            <v>41332</v>
          </cell>
          <cell r="M510">
            <v>19.209810000000001</v>
          </cell>
          <cell r="R510">
            <v>41332</v>
          </cell>
          <cell r="T510">
            <v>2.5299999999999998</v>
          </cell>
          <cell r="Y510">
            <v>41332</v>
          </cell>
          <cell r="AA510">
            <v>263.25</v>
          </cell>
          <cell r="AF510">
            <v>41332</v>
          </cell>
          <cell r="AH510">
            <v>60.007919999999999</v>
          </cell>
          <cell r="AM510">
            <v>41332</v>
          </cell>
          <cell r="AO510">
            <v>43.799970000000002</v>
          </cell>
          <cell r="AT510">
            <v>41332</v>
          </cell>
          <cell r="AV510">
            <v>35.11938</v>
          </cell>
          <cell r="BA510">
            <v>41332</v>
          </cell>
          <cell r="BC510">
            <v>17.154810000000001</v>
          </cell>
          <cell r="BH510">
            <v>41332</v>
          </cell>
          <cell r="BJ510">
            <v>21.467549999999999</v>
          </cell>
        </row>
        <row r="511">
          <cell r="D511">
            <v>41331</v>
          </cell>
          <cell r="F511">
            <v>185.465</v>
          </cell>
          <cell r="K511">
            <v>41331</v>
          </cell>
          <cell r="M511">
            <v>18.950489999999999</v>
          </cell>
          <cell r="R511">
            <v>41331</v>
          </cell>
          <cell r="T511">
            <v>2.46</v>
          </cell>
          <cell r="Y511">
            <v>41331</v>
          </cell>
          <cell r="AA511">
            <v>259.36</v>
          </cell>
          <cell r="AF511">
            <v>41331</v>
          </cell>
          <cell r="AH511">
            <v>60.60183</v>
          </cell>
          <cell r="AM511">
            <v>41331</v>
          </cell>
          <cell r="AO511">
            <v>43.260280000000002</v>
          </cell>
          <cell r="AT511">
            <v>41331</v>
          </cell>
          <cell r="AV511">
            <v>34.80883</v>
          </cell>
          <cell r="BA511">
            <v>41331</v>
          </cell>
          <cell r="BC511">
            <v>16.474070000000001</v>
          </cell>
          <cell r="BH511">
            <v>41331</v>
          </cell>
          <cell r="BJ511">
            <v>21.1736</v>
          </cell>
        </row>
        <row r="512">
          <cell r="D512">
            <v>41330</v>
          </cell>
          <cell r="F512">
            <v>183.94693000000001</v>
          </cell>
          <cell r="K512">
            <v>41330</v>
          </cell>
          <cell r="M512">
            <v>18.99831</v>
          </cell>
          <cell r="R512">
            <v>41330</v>
          </cell>
          <cell r="T512">
            <v>2.5299999999999998</v>
          </cell>
          <cell r="Y512">
            <v>41330</v>
          </cell>
          <cell r="AA512">
            <v>259.87</v>
          </cell>
          <cell r="AF512">
            <v>41330</v>
          </cell>
          <cell r="AH512">
            <v>59.768999999999998</v>
          </cell>
          <cell r="AM512">
            <v>41330</v>
          </cell>
          <cell r="AO512">
            <v>42.815269999999998</v>
          </cell>
          <cell r="AT512">
            <v>41330</v>
          </cell>
          <cell r="AV512">
            <v>34.45261</v>
          </cell>
          <cell r="BA512">
            <v>41330</v>
          </cell>
          <cell r="BC512">
            <v>16.211490000000001</v>
          </cell>
          <cell r="BH512">
            <v>41330</v>
          </cell>
          <cell r="BJ512">
            <v>20.953140000000001</v>
          </cell>
        </row>
        <row r="513">
          <cell r="D513">
            <v>41327</v>
          </cell>
          <cell r="F513">
            <v>187.28109000000001</v>
          </cell>
          <cell r="K513">
            <v>41327</v>
          </cell>
          <cell r="M513">
            <v>19.219010000000001</v>
          </cell>
          <cell r="R513">
            <v>41327</v>
          </cell>
          <cell r="T513">
            <v>2.61</v>
          </cell>
          <cell r="Y513">
            <v>41327</v>
          </cell>
          <cell r="AA513">
            <v>265.42</v>
          </cell>
          <cell r="AF513">
            <v>41327</v>
          </cell>
          <cell r="AH513">
            <v>60.850189999999998</v>
          </cell>
          <cell r="AM513">
            <v>41327</v>
          </cell>
          <cell r="AO513">
            <v>43.137189999999997</v>
          </cell>
          <cell r="AT513">
            <v>41327</v>
          </cell>
          <cell r="AV513">
            <v>35.183309999999999</v>
          </cell>
          <cell r="BA513">
            <v>41327</v>
          </cell>
          <cell r="BC513">
            <v>16.853339999999999</v>
          </cell>
          <cell r="BH513">
            <v>41327</v>
          </cell>
          <cell r="BJ513">
            <v>21.48592</v>
          </cell>
        </row>
        <row r="514">
          <cell r="D514">
            <v>41326</v>
          </cell>
          <cell r="F514">
            <v>184.71062000000001</v>
          </cell>
          <cell r="K514">
            <v>41326</v>
          </cell>
          <cell r="M514">
            <v>19.09027</v>
          </cell>
          <cell r="R514">
            <v>41326</v>
          </cell>
          <cell r="T514">
            <v>2.6</v>
          </cell>
          <cell r="Y514">
            <v>41326</v>
          </cell>
          <cell r="AA514">
            <v>265.94</v>
          </cell>
          <cell r="AF514">
            <v>41326</v>
          </cell>
          <cell r="AH514">
            <v>60.209029999999998</v>
          </cell>
          <cell r="AM514">
            <v>41326</v>
          </cell>
          <cell r="AO514">
            <v>43.061450000000001</v>
          </cell>
          <cell r="AT514">
            <v>41326</v>
          </cell>
          <cell r="AV514">
            <v>34.443480000000001</v>
          </cell>
          <cell r="BA514">
            <v>41326</v>
          </cell>
          <cell r="BC514">
            <v>16.736640000000001</v>
          </cell>
          <cell r="BH514">
            <v>41326</v>
          </cell>
          <cell r="BJ514">
            <v>21.366510000000002</v>
          </cell>
        </row>
        <row r="515">
          <cell r="D515">
            <v>41325</v>
          </cell>
          <cell r="F515">
            <v>185.62332000000001</v>
          </cell>
          <cell r="K515">
            <v>41325</v>
          </cell>
          <cell r="M515">
            <v>19.407520000000002</v>
          </cell>
          <cell r="R515">
            <v>41325</v>
          </cell>
          <cell r="T515">
            <v>2.7</v>
          </cell>
          <cell r="Y515">
            <v>41325</v>
          </cell>
          <cell r="AA515">
            <v>266.41000000000003</v>
          </cell>
          <cell r="AF515">
            <v>41325</v>
          </cell>
          <cell r="AH515">
            <v>60.585630000000002</v>
          </cell>
          <cell r="AM515">
            <v>41325</v>
          </cell>
          <cell r="AO515">
            <v>43.620069999999998</v>
          </cell>
          <cell r="AT515">
            <v>41325</v>
          </cell>
          <cell r="AV515">
            <v>34.461750000000002</v>
          </cell>
          <cell r="BA515">
            <v>41325</v>
          </cell>
          <cell r="BC515">
            <v>16.590769999999999</v>
          </cell>
          <cell r="BH515">
            <v>41325</v>
          </cell>
          <cell r="BJ515">
            <v>21.32976</v>
          </cell>
        </row>
        <row r="516">
          <cell r="D516">
            <v>41324</v>
          </cell>
          <cell r="F516">
            <v>186.56397000000001</v>
          </cell>
          <cell r="K516">
            <v>41324</v>
          </cell>
          <cell r="M516">
            <v>19.733969999999999</v>
          </cell>
          <cell r="R516">
            <v>41324</v>
          </cell>
          <cell r="T516">
            <v>2.82</v>
          </cell>
          <cell r="Y516">
            <v>41324</v>
          </cell>
          <cell r="AA516">
            <v>269.75</v>
          </cell>
          <cell r="AF516">
            <v>41324</v>
          </cell>
          <cell r="AH516">
            <v>62.089300000000001</v>
          </cell>
          <cell r="AM516">
            <v>41324</v>
          </cell>
          <cell r="AO516">
            <v>43.989330000000002</v>
          </cell>
          <cell r="AT516">
            <v>41324</v>
          </cell>
          <cell r="AV516">
            <v>34.406939999999999</v>
          </cell>
          <cell r="BA516">
            <v>41324</v>
          </cell>
          <cell r="BC516">
            <v>17.09646</v>
          </cell>
          <cell r="BH516">
            <v>41324</v>
          </cell>
          <cell r="BJ516">
            <v>21.63955</v>
          </cell>
        </row>
        <row r="517">
          <cell r="D517">
            <v>41320</v>
          </cell>
          <cell r="F517">
            <v>187.17864</v>
          </cell>
          <cell r="K517">
            <v>41320</v>
          </cell>
          <cell r="M517">
            <v>19.301770000000001</v>
          </cell>
          <cell r="R517">
            <v>41320</v>
          </cell>
          <cell r="T517">
            <v>2.71</v>
          </cell>
          <cell r="Y517">
            <v>41320</v>
          </cell>
          <cell r="AA517">
            <v>265.08999999999997</v>
          </cell>
          <cell r="AF517">
            <v>41320</v>
          </cell>
          <cell r="AH517">
            <v>62.112250000000003</v>
          </cell>
          <cell r="AM517">
            <v>41320</v>
          </cell>
          <cell r="AO517">
            <v>44.216569999999997</v>
          </cell>
          <cell r="AT517">
            <v>41320</v>
          </cell>
          <cell r="AV517">
            <v>34.178600000000003</v>
          </cell>
          <cell r="BA517">
            <v>41320</v>
          </cell>
          <cell r="BC517">
            <v>17.018660000000001</v>
          </cell>
          <cell r="BH517">
            <v>41320</v>
          </cell>
          <cell r="BJ517">
            <v>21.22043</v>
          </cell>
        </row>
        <row r="518">
          <cell r="D518">
            <v>41319</v>
          </cell>
          <cell r="F518">
            <v>185.93997999999999</v>
          </cell>
          <cell r="K518">
            <v>41319</v>
          </cell>
          <cell r="M518">
            <v>19.301770000000001</v>
          </cell>
          <cell r="R518">
            <v>41319</v>
          </cell>
          <cell r="T518">
            <v>2.75</v>
          </cell>
          <cell r="Y518">
            <v>41319</v>
          </cell>
          <cell r="AA518">
            <v>269.24</v>
          </cell>
          <cell r="AF518">
            <v>41319</v>
          </cell>
          <cell r="AH518">
            <v>62.980170000000001</v>
          </cell>
          <cell r="AM518">
            <v>41319</v>
          </cell>
          <cell r="AO518">
            <v>43.553789999999999</v>
          </cell>
          <cell r="AT518">
            <v>41319</v>
          </cell>
          <cell r="AV518">
            <v>33.64884</v>
          </cell>
          <cell r="BA518">
            <v>41319</v>
          </cell>
          <cell r="BC518">
            <v>17.028390000000002</v>
          </cell>
          <cell r="BH518">
            <v>41319</v>
          </cell>
          <cell r="BJ518">
            <v>21.32976</v>
          </cell>
        </row>
        <row r="519">
          <cell r="D519">
            <v>41318</v>
          </cell>
          <cell r="F519">
            <v>186.34976</v>
          </cell>
          <cell r="K519">
            <v>41318</v>
          </cell>
          <cell r="M519">
            <v>19.439710000000002</v>
          </cell>
          <cell r="R519">
            <v>41318</v>
          </cell>
          <cell r="T519">
            <v>2.75</v>
          </cell>
          <cell r="Y519">
            <v>41318</v>
          </cell>
          <cell r="AA519">
            <v>269.47000000000003</v>
          </cell>
          <cell r="AF519">
            <v>41318</v>
          </cell>
          <cell r="AH519">
            <v>63.036859999999997</v>
          </cell>
          <cell r="AM519">
            <v>41318</v>
          </cell>
          <cell r="AO519">
            <v>43.023569999999999</v>
          </cell>
          <cell r="AT519">
            <v>41318</v>
          </cell>
          <cell r="AV519">
            <v>33.986789999999999</v>
          </cell>
          <cell r="BA519">
            <v>41318</v>
          </cell>
          <cell r="BC519">
            <v>17.154810000000001</v>
          </cell>
          <cell r="BH519">
            <v>41318</v>
          </cell>
          <cell r="BJ519">
            <v>21.311540000000001</v>
          </cell>
        </row>
        <row r="520">
          <cell r="D520">
            <v>41317</v>
          </cell>
          <cell r="F520">
            <v>186.30319</v>
          </cell>
          <cell r="K520">
            <v>41317</v>
          </cell>
          <cell r="M520">
            <v>19.283380000000001</v>
          </cell>
          <cell r="R520">
            <v>41317</v>
          </cell>
          <cell r="T520">
            <v>2.77</v>
          </cell>
          <cell r="Y520">
            <v>41317</v>
          </cell>
          <cell r="AA520">
            <v>258.7</v>
          </cell>
          <cell r="AF520">
            <v>41317</v>
          </cell>
          <cell r="AH520">
            <v>63.15699</v>
          </cell>
          <cell r="AM520">
            <v>41317</v>
          </cell>
          <cell r="AO520">
            <v>43.118250000000003</v>
          </cell>
          <cell r="AT520">
            <v>41317</v>
          </cell>
          <cell r="AV520">
            <v>34.306469999999997</v>
          </cell>
          <cell r="BA520">
            <v>41317</v>
          </cell>
          <cell r="BC520">
            <v>17.193709999999999</v>
          </cell>
          <cell r="BH520">
            <v>41317</v>
          </cell>
          <cell r="BJ520">
            <v>20.573519999999998</v>
          </cell>
        </row>
        <row r="521">
          <cell r="D521">
            <v>41316</v>
          </cell>
          <cell r="F521">
            <v>186.41495</v>
          </cell>
          <cell r="K521">
            <v>41316</v>
          </cell>
          <cell r="M521">
            <v>19.559249999999999</v>
          </cell>
          <cell r="R521">
            <v>41316</v>
          </cell>
          <cell r="T521">
            <v>2.67</v>
          </cell>
          <cell r="Y521">
            <v>41316</v>
          </cell>
          <cell r="AA521">
            <v>257.20999999999998</v>
          </cell>
          <cell r="AF521">
            <v>41316</v>
          </cell>
          <cell r="AH521">
            <v>64.780799999999999</v>
          </cell>
          <cell r="AM521">
            <v>41316</v>
          </cell>
          <cell r="AO521">
            <v>42.815269999999998</v>
          </cell>
          <cell r="AT521">
            <v>41316</v>
          </cell>
          <cell r="AV521">
            <v>35.265520000000002</v>
          </cell>
          <cell r="BA521">
            <v>41316</v>
          </cell>
          <cell r="BC521">
            <v>17.261790000000001</v>
          </cell>
          <cell r="BH521">
            <v>41316</v>
          </cell>
          <cell r="BJ521">
            <v>20.455069999999999</v>
          </cell>
        </row>
        <row r="522">
          <cell r="D522">
            <v>41313</v>
          </cell>
          <cell r="F522">
            <v>187.83058</v>
          </cell>
          <cell r="K522">
            <v>41313</v>
          </cell>
          <cell r="M522">
            <v>19.458100000000002</v>
          </cell>
          <cell r="R522">
            <v>41313</v>
          </cell>
          <cell r="T522">
            <v>2.59</v>
          </cell>
          <cell r="Y522">
            <v>41313</v>
          </cell>
          <cell r="AA522">
            <v>261.95</v>
          </cell>
          <cell r="AF522">
            <v>41313</v>
          </cell>
          <cell r="AH522">
            <v>64.112650000000002</v>
          </cell>
          <cell r="AM522">
            <v>41313</v>
          </cell>
          <cell r="AO522">
            <v>42.7774</v>
          </cell>
          <cell r="AT522">
            <v>41313</v>
          </cell>
          <cell r="AV522">
            <v>35.411659999999998</v>
          </cell>
          <cell r="BA522">
            <v>41313</v>
          </cell>
          <cell r="BC522">
            <v>16.824169999999999</v>
          </cell>
          <cell r="BH522">
            <v>41313</v>
          </cell>
          <cell r="BJ522">
            <v>20.500630000000001</v>
          </cell>
        </row>
        <row r="523">
          <cell r="D523">
            <v>41312</v>
          </cell>
          <cell r="F523">
            <v>186.02379999999999</v>
          </cell>
          <cell r="K523">
            <v>41312</v>
          </cell>
          <cell r="M523">
            <v>19.398319999999998</v>
          </cell>
          <cell r="R523">
            <v>41312</v>
          </cell>
          <cell r="T523">
            <v>2.57</v>
          </cell>
          <cell r="Y523">
            <v>41312</v>
          </cell>
          <cell r="AA523">
            <v>260.23</v>
          </cell>
          <cell r="AF523">
            <v>41312</v>
          </cell>
          <cell r="AH523">
            <v>63.200180000000003</v>
          </cell>
          <cell r="AM523">
            <v>41312</v>
          </cell>
          <cell r="AO523">
            <v>42.408140000000003</v>
          </cell>
          <cell r="AT523">
            <v>41312</v>
          </cell>
          <cell r="AV523">
            <v>35.539529999999999</v>
          </cell>
          <cell r="BA523">
            <v>41312</v>
          </cell>
          <cell r="BC523">
            <v>16.54214</v>
          </cell>
          <cell r="BH523">
            <v>41312</v>
          </cell>
          <cell r="BJ523">
            <v>20.482399999999998</v>
          </cell>
        </row>
        <row r="524">
          <cell r="D524">
            <v>41311</v>
          </cell>
          <cell r="F524">
            <v>187.2159</v>
          </cell>
          <cell r="K524">
            <v>41311</v>
          </cell>
          <cell r="M524">
            <v>19.485679999999999</v>
          </cell>
          <cell r="R524">
            <v>41311</v>
          </cell>
          <cell r="T524">
            <v>2.6</v>
          </cell>
          <cell r="Y524">
            <v>41311</v>
          </cell>
          <cell r="AA524">
            <v>262.22000000000003</v>
          </cell>
          <cell r="AF524">
            <v>41311</v>
          </cell>
          <cell r="AH524">
            <v>61.375259999999997</v>
          </cell>
          <cell r="AM524">
            <v>41311</v>
          </cell>
          <cell r="AO524">
            <v>41.849510000000002</v>
          </cell>
          <cell r="AT524">
            <v>41311</v>
          </cell>
          <cell r="AV524">
            <v>34.991500000000002</v>
          </cell>
          <cell r="BA524">
            <v>41311</v>
          </cell>
          <cell r="BC524">
            <v>16.38654</v>
          </cell>
          <cell r="BH524">
            <v>41311</v>
          </cell>
          <cell r="BJ524">
            <v>20.445959999999999</v>
          </cell>
        </row>
        <row r="525">
          <cell r="D525">
            <v>41310</v>
          </cell>
          <cell r="F525">
            <v>188.07272</v>
          </cell>
          <cell r="K525">
            <v>41310</v>
          </cell>
          <cell r="M525">
            <v>19.384530000000002</v>
          </cell>
          <cell r="R525">
            <v>41310</v>
          </cell>
          <cell r="T525">
            <v>2.6</v>
          </cell>
          <cell r="Y525">
            <v>41310</v>
          </cell>
          <cell r="AA525">
            <v>266.89</v>
          </cell>
          <cell r="AF525">
            <v>41310</v>
          </cell>
          <cell r="AH525">
            <v>61.441549999999999</v>
          </cell>
          <cell r="AM525">
            <v>41310</v>
          </cell>
          <cell r="AO525">
            <v>42.303989999999999</v>
          </cell>
          <cell r="AT525">
            <v>41310</v>
          </cell>
          <cell r="AV525">
            <v>34.83623</v>
          </cell>
          <cell r="BA525">
            <v>41310</v>
          </cell>
          <cell r="BC525">
            <v>16.30874</v>
          </cell>
          <cell r="BH525">
            <v>41310</v>
          </cell>
          <cell r="BJ525">
            <v>20.53707</v>
          </cell>
        </row>
        <row r="526">
          <cell r="D526">
            <v>41309</v>
          </cell>
          <cell r="F526">
            <v>189.00014999999999</v>
          </cell>
          <cell r="K526">
            <v>41309</v>
          </cell>
          <cell r="M526">
            <v>19.145440000000001</v>
          </cell>
          <cell r="R526">
            <v>41309</v>
          </cell>
          <cell r="T526">
            <v>2.52</v>
          </cell>
          <cell r="Y526">
            <v>41309</v>
          </cell>
          <cell r="AA526">
            <v>259.98</v>
          </cell>
          <cell r="AF526">
            <v>41309</v>
          </cell>
          <cell r="AH526">
            <v>59.357729999999997</v>
          </cell>
          <cell r="AM526">
            <v>41309</v>
          </cell>
          <cell r="AO526">
            <v>41.338230000000003</v>
          </cell>
          <cell r="AT526">
            <v>41309</v>
          </cell>
          <cell r="AV526">
            <v>34.114660000000001</v>
          </cell>
          <cell r="BA526">
            <v>41309</v>
          </cell>
          <cell r="BC526">
            <v>16.17259</v>
          </cell>
          <cell r="BH526">
            <v>41309</v>
          </cell>
          <cell r="BJ526">
            <v>20.32751</v>
          </cell>
        </row>
        <row r="527">
          <cell r="D527">
            <v>41306</v>
          </cell>
          <cell r="F527">
            <v>190.28926999999999</v>
          </cell>
          <cell r="K527">
            <v>41306</v>
          </cell>
          <cell r="M527">
            <v>19.154640000000001</v>
          </cell>
          <cell r="R527">
            <v>41306</v>
          </cell>
          <cell r="T527">
            <v>2.6</v>
          </cell>
          <cell r="Y527">
            <v>41306</v>
          </cell>
          <cell r="AA527">
            <v>265</v>
          </cell>
          <cell r="AF527">
            <v>41306</v>
          </cell>
          <cell r="AH527">
            <v>60.874699999999997</v>
          </cell>
          <cell r="AM527">
            <v>41306</v>
          </cell>
          <cell r="AO527">
            <v>41.546529999999997</v>
          </cell>
          <cell r="AT527">
            <v>41306</v>
          </cell>
          <cell r="AV527">
            <v>34.288200000000003</v>
          </cell>
          <cell r="BA527">
            <v>41306</v>
          </cell>
          <cell r="BC527">
            <v>16.512969999999999</v>
          </cell>
          <cell r="BH527">
            <v>41306</v>
          </cell>
          <cell r="BJ527">
            <v>20.609960000000001</v>
          </cell>
        </row>
        <row r="528">
          <cell r="D528">
            <v>41305</v>
          </cell>
          <cell r="F528">
            <v>188.33240000000001</v>
          </cell>
          <cell r="K528">
            <v>41305</v>
          </cell>
          <cell r="M528">
            <v>18.91555</v>
          </cell>
          <cell r="R528">
            <v>41305</v>
          </cell>
          <cell r="T528">
            <v>2.6</v>
          </cell>
          <cell r="Y528">
            <v>41305</v>
          </cell>
          <cell r="AA528">
            <v>265.5</v>
          </cell>
          <cell r="AF528">
            <v>41305</v>
          </cell>
          <cell r="AH528">
            <v>61.12565</v>
          </cell>
          <cell r="AM528">
            <v>41305</v>
          </cell>
          <cell r="AO528">
            <v>41.480249999999998</v>
          </cell>
          <cell r="AT528">
            <v>41305</v>
          </cell>
          <cell r="AV528">
            <v>34.014189999999999</v>
          </cell>
          <cell r="BA528">
            <v>41305</v>
          </cell>
          <cell r="BC528">
            <v>16.162870000000002</v>
          </cell>
          <cell r="BH528">
            <v>41305</v>
          </cell>
          <cell r="BJ528">
            <v>20.300180000000001</v>
          </cell>
        </row>
        <row r="529">
          <cell r="D529">
            <v>41304</v>
          </cell>
          <cell r="F529">
            <v>188.74974</v>
          </cell>
          <cell r="K529">
            <v>41304</v>
          </cell>
          <cell r="M529">
            <v>18.92475</v>
          </cell>
          <cell r="R529">
            <v>41304</v>
          </cell>
          <cell r="T529">
            <v>2.65</v>
          </cell>
          <cell r="Y529">
            <v>41304</v>
          </cell>
          <cell r="AA529">
            <v>272.76400000000001</v>
          </cell>
          <cell r="AF529">
            <v>41304</v>
          </cell>
          <cell r="AH529">
            <v>61.305480000000003</v>
          </cell>
          <cell r="AM529">
            <v>41304</v>
          </cell>
          <cell r="AO529">
            <v>42.303989999999999</v>
          </cell>
          <cell r="AT529">
            <v>41304</v>
          </cell>
          <cell r="AV529">
            <v>34.251669999999997</v>
          </cell>
          <cell r="BA529">
            <v>41304</v>
          </cell>
          <cell r="BC529">
            <v>15.948919999999999</v>
          </cell>
          <cell r="BH529">
            <v>41304</v>
          </cell>
          <cell r="BJ529">
            <v>20.254619999999999</v>
          </cell>
        </row>
        <row r="530">
          <cell r="D530">
            <v>41303</v>
          </cell>
          <cell r="F530">
            <v>189.10216</v>
          </cell>
          <cell r="K530">
            <v>41303</v>
          </cell>
          <cell r="M530">
            <v>19.10866</v>
          </cell>
          <cell r="R530">
            <v>41303</v>
          </cell>
          <cell r="T530">
            <v>2.74</v>
          </cell>
          <cell r="Y530">
            <v>41303</v>
          </cell>
          <cell r="AA530">
            <v>260.35000000000002</v>
          </cell>
          <cell r="AF530">
            <v>41303</v>
          </cell>
          <cell r="AH530">
            <v>61.498719999999999</v>
          </cell>
          <cell r="AM530">
            <v>41303</v>
          </cell>
          <cell r="AO530">
            <v>42.588030000000003</v>
          </cell>
          <cell r="AT530">
            <v>41303</v>
          </cell>
          <cell r="AV530">
            <v>34.178600000000003</v>
          </cell>
          <cell r="BA530">
            <v>41303</v>
          </cell>
          <cell r="BC530">
            <v>16.269839999999999</v>
          </cell>
          <cell r="BH530">
            <v>41303</v>
          </cell>
          <cell r="BJ530">
            <v>20.500630000000001</v>
          </cell>
        </row>
        <row r="531">
          <cell r="D531">
            <v>41302</v>
          </cell>
          <cell r="F531">
            <v>190.05741</v>
          </cell>
          <cell r="K531">
            <v>41302</v>
          </cell>
          <cell r="M531">
            <v>19.366140000000001</v>
          </cell>
          <cell r="R531">
            <v>41302</v>
          </cell>
          <cell r="T531">
            <v>2.82</v>
          </cell>
          <cell r="Y531">
            <v>41302</v>
          </cell>
          <cell r="AA531">
            <v>276.04000000000002</v>
          </cell>
          <cell r="AF531">
            <v>41302</v>
          </cell>
          <cell r="AH531">
            <v>60.36609</v>
          </cell>
          <cell r="AM531">
            <v>41302</v>
          </cell>
          <cell r="AO531">
            <v>42.266120000000001</v>
          </cell>
          <cell r="AT531">
            <v>41302</v>
          </cell>
          <cell r="AV531">
            <v>33.804110000000001</v>
          </cell>
          <cell r="BA531">
            <v>41302</v>
          </cell>
          <cell r="BC531">
            <v>16.007269999999998</v>
          </cell>
          <cell r="BH531">
            <v>41302</v>
          </cell>
          <cell r="BJ531">
            <v>20.500630000000001</v>
          </cell>
        </row>
        <row r="532">
          <cell r="D532">
            <v>41299</v>
          </cell>
          <cell r="F532">
            <v>190.09451000000001</v>
          </cell>
          <cell r="K532">
            <v>41299</v>
          </cell>
          <cell r="M532">
            <v>19.448899999999998</v>
          </cell>
          <cell r="R532">
            <v>41299</v>
          </cell>
          <cell r="T532">
            <v>2.85</v>
          </cell>
          <cell r="Y532">
            <v>41299</v>
          </cell>
          <cell r="AA532">
            <v>283.99</v>
          </cell>
          <cell r="AF532">
            <v>41299</v>
          </cell>
          <cell r="AH532">
            <v>59.030830000000002</v>
          </cell>
          <cell r="AM532">
            <v>41299</v>
          </cell>
          <cell r="AO532">
            <v>42.51229</v>
          </cell>
          <cell r="AT532">
            <v>41299</v>
          </cell>
          <cell r="AV532">
            <v>33.840649999999997</v>
          </cell>
          <cell r="BA532">
            <v>41299</v>
          </cell>
          <cell r="BC532">
            <v>15.5502</v>
          </cell>
          <cell r="BH532">
            <v>41299</v>
          </cell>
          <cell r="BJ532">
            <v>20.309290000000001</v>
          </cell>
        </row>
        <row r="533">
          <cell r="D533">
            <v>41298</v>
          </cell>
          <cell r="F533">
            <v>189.58443</v>
          </cell>
          <cell r="K533">
            <v>41298</v>
          </cell>
          <cell r="M533">
            <v>19.329360000000001</v>
          </cell>
          <cell r="R533">
            <v>41298</v>
          </cell>
          <cell r="T533">
            <v>2.79</v>
          </cell>
          <cell r="Y533">
            <v>41298</v>
          </cell>
          <cell r="AA533">
            <v>273.62</v>
          </cell>
          <cell r="AF533">
            <v>41298</v>
          </cell>
          <cell r="AH533">
            <v>60.456009999999999</v>
          </cell>
          <cell r="AM533">
            <v>41298</v>
          </cell>
          <cell r="AO533">
            <v>42.351329999999997</v>
          </cell>
          <cell r="AT533">
            <v>41298</v>
          </cell>
          <cell r="AV533">
            <v>33.895449999999997</v>
          </cell>
          <cell r="BA533">
            <v>41298</v>
          </cell>
          <cell r="BC533">
            <v>15.4335</v>
          </cell>
          <cell r="BH533">
            <v>41298</v>
          </cell>
          <cell r="BJ533">
            <v>20.090610000000002</v>
          </cell>
        </row>
        <row r="534">
          <cell r="D534">
            <v>41297</v>
          </cell>
          <cell r="F534">
            <v>189.86265</v>
          </cell>
          <cell r="K534">
            <v>41297</v>
          </cell>
          <cell r="M534">
            <v>18.96153</v>
          </cell>
          <cell r="R534">
            <v>41297</v>
          </cell>
          <cell r="T534">
            <v>2.73</v>
          </cell>
          <cell r="Y534">
            <v>41297</v>
          </cell>
          <cell r="AA534">
            <v>268.11</v>
          </cell>
          <cell r="AF534">
            <v>41297</v>
          </cell>
          <cell r="AH534">
            <v>68.978219999999993</v>
          </cell>
          <cell r="AM534">
            <v>41297</v>
          </cell>
          <cell r="AO534">
            <v>42.663780000000003</v>
          </cell>
          <cell r="AT534">
            <v>41297</v>
          </cell>
          <cell r="AV534">
            <v>33.913719999999998</v>
          </cell>
          <cell r="BA534">
            <v>41297</v>
          </cell>
          <cell r="BC534">
            <v>15.170920000000001</v>
          </cell>
          <cell r="BH534">
            <v>41297</v>
          </cell>
          <cell r="BJ534">
            <v>19.990390000000001</v>
          </cell>
        </row>
        <row r="535">
          <cell r="D535">
            <v>41296</v>
          </cell>
          <cell r="F535">
            <v>181.84969000000001</v>
          </cell>
          <cell r="K535">
            <v>41296</v>
          </cell>
          <cell r="M535">
            <v>19.191420000000001</v>
          </cell>
          <cell r="R535">
            <v>41296</v>
          </cell>
          <cell r="T535">
            <v>2.4500000000000002</v>
          </cell>
          <cell r="Y535">
            <v>41296</v>
          </cell>
          <cell r="AA535">
            <v>270.19</v>
          </cell>
          <cell r="AF535">
            <v>41296</v>
          </cell>
          <cell r="AH535">
            <v>67.738910000000004</v>
          </cell>
          <cell r="AM535">
            <v>41296</v>
          </cell>
          <cell r="AO535">
            <v>42.199840000000002</v>
          </cell>
          <cell r="AT535">
            <v>41296</v>
          </cell>
          <cell r="AV535">
            <v>33.913719999999998</v>
          </cell>
          <cell r="BA535">
            <v>41296</v>
          </cell>
          <cell r="BC535">
            <v>15.200100000000001</v>
          </cell>
          <cell r="BH535">
            <v>41296</v>
          </cell>
          <cell r="BJ535">
            <v>20.054169999999999</v>
          </cell>
        </row>
        <row r="536">
          <cell r="D536">
            <v>41292</v>
          </cell>
          <cell r="F536">
            <v>180.35654</v>
          </cell>
          <cell r="K536">
            <v>41292</v>
          </cell>
          <cell r="M536">
            <v>19.324760000000001</v>
          </cell>
          <cell r="R536">
            <v>41292</v>
          </cell>
          <cell r="T536">
            <v>2.46</v>
          </cell>
          <cell r="Y536">
            <v>41292</v>
          </cell>
          <cell r="AA536">
            <v>272.12</v>
          </cell>
          <cell r="AF536">
            <v>41292</v>
          </cell>
          <cell r="AH536">
            <v>67.098789999999994</v>
          </cell>
          <cell r="AM536">
            <v>41292</v>
          </cell>
          <cell r="AO536">
            <v>42.266120000000001</v>
          </cell>
          <cell r="AT536">
            <v>41292</v>
          </cell>
          <cell r="AV536">
            <v>34.434339999999999</v>
          </cell>
          <cell r="BA536">
            <v>41292</v>
          </cell>
          <cell r="BC536">
            <v>15.122299999999999</v>
          </cell>
          <cell r="BH536">
            <v>41292</v>
          </cell>
          <cell r="BJ536">
            <v>20.081499999999998</v>
          </cell>
        </row>
        <row r="537">
          <cell r="D537">
            <v>41291</v>
          </cell>
          <cell r="F537">
            <v>179.59604999999999</v>
          </cell>
          <cell r="K537">
            <v>41291</v>
          </cell>
          <cell r="M537">
            <v>19.264990000000001</v>
          </cell>
          <cell r="R537">
            <v>41291</v>
          </cell>
          <cell r="T537">
            <v>2.74</v>
          </cell>
          <cell r="Y537">
            <v>41291</v>
          </cell>
          <cell r="AA537">
            <v>270.48</v>
          </cell>
          <cell r="AF537">
            <v>41291</v>
          </cell>
          <cell r="AH537">
            <v>67.458430000000007</v>
          </cell>
          <cell r="AM537">
            <v>41291</v>
          </cell>
          <cell r="AO537">
            <v>41.811639999999997</v>
          </cell>
          <cell r="AT537">
            <v>41291</v>
          </cell>
          <cell r="AV537">
            <v>34.260800000000003</v>
          </cell>
          <cell r="BA537">
            <v>41291</v>
          </cell>
          <cell r="BC537">
            <v>15.18065</v>
          </cell>
          <cell r="BH537">
            <v>41291</v>
          </cell>
          <cell r="BJ537">
            <v>19.407260000000001</v>
          </cell>
        </row>
        <row r="538">
          <cell r="D538">
            <v>41290</v>
          </cell>
          <cell r="F538">
            <v>178.61297999999999</v>
          </cell>
          <cell r="K538">
            <v>41290</v>
          </cell>
          <cell r="M538">
            <v>19.338550000000001</v>
          </cell>
          <cell r="R538">
            <v>41290</v>
          </cell>
          <cell r="T538">
            <v>2.72</v>
          </cell>
          <cell r="Y538">
            <v>41290</v>
          </cell>
          <cell r="AA538">
            <v>268.93</v>
          </cell>
          <cell r="AF538">
            <v>41290</v>
          </cell>
          <cell r="AH538">
            <v>67.916049999999998</v>
          </cell>
          <cell r="AM538">
            <v>41290</v>
          </cell>
          <cell r="AO538">
            <v>41.404510000000002</v>
          </cell>
          <cell r="AT538">
            <v>41290</v>
          </cell>
          <cell r="AV538">
            <v>34.087260000000001</v>
          </cell>
          <cell r="BA538">
            <v>41290</v>
          </cell>
          <cell r="BC538">
            <v>15.07367</v>
          </cell>
          <cell r="BH538">
            <v>41290</v>
          </cell>
          <cell r="BJ538">
            <v>19.243259999999999</v>
          </cell>
        </row>
        <row r="539">
          <cell r="D539">
            <v>41289</v>
          </cell>
          <cell r="F539">
            <v>178.52950999999999</v>
          </cell>
          <cell r="K539">
            <v>41289</v>
          </cell>
          <cell r="M539">
            <v>19.292570000000001</v>
          </cell>
          <cell r="R539">
            <v>41289</v>
          </cell>
          <cell r="T539">
            <v>2.68</v>
          </cell>
          <cell r="Y539">
            <v>41289</v>
          </cell>
          <cell r="AA539">
            <v>271.89999999999998</v>
          </cell>
          <cell r="AF539">
            <v>41289</v>
          </cell>
          <cell r="AH539">
            <v>65.209280000000007</v>
          </cell>
          <cell r="AM539">
            <v>41289</v>
          </cell>
          <cell r="AO539">
            <v>41.17727</v>
          </cell>
          <cell r="AT539">
            <v>41289</v>
          </cell>
          <cell r="AV539">
            <v>34.087260000000001</v>
          </cell>
          <cell r="BA539">
            <v>41289</v>
          </cell>
          <cell r="BC539">
            <v>15.015320000000001</v>
          </cell>
          <cell r="BH539">
            <v>41289</v>
          </cell>
          <cell r="BJ539">
            <v>19.31615</v>
          </cell>
        </row>
        <row r="540">
          <cell r="D540">
            <v>41288</v>
          </cell>
          <cell r="F540">
            <v>178.64080000000001</v>
          </cell>
          <cell r="K540">
            <v>41288</v>
          </cell>
          <cell r="M540">
            <v>19.283380000000001</v>
          </cell>
          <cell r="R540">
            <v>41288</v>
          </cell>
          <cell r="T540">
            <v>2.64</v>
          </cell>
          <cell r="Y540">
            <v>41288</v>
          </cell>
          <cell r="AA540">
            <v>272.73</v>
          </cell>
          <cell r="AF540">
            <v>41288</v>
          </cell>
          <cell r="AH540">
            <v>67.333629999999999</v>
          </cell>
          <cell r="AM540">
            <v>41288</v>
          </cell>
          <cell r="AO540">
            <v>40.893219999999999</v>
          </cell>
          <cell r="AT540">
            <v>41288</v>
          </cell>
          <cell r="AV540">
            <v>33.785850000000003</v>
          </cell>
          <cell r="BA540">
            <v>41288</v>
          </cell>
          <cell r="BC540">
            <v>15.083399999999999</v>
          </cell>
          <cell r="BH540">
            <v>41288</v>
          </cell>
          <cell r="BJ540">
            <v>19.243259999999999</v>
          </cell>
        </row>
        <row r="541">
          <cell r="D541">
            <v>41285</v>
          </cell>
          <cell r="F541">
            <v>180.33798999999999</v>
          </cell>
          <cell r="K541">
            <v>41285</v>
          </cell>
          <cell r="M541">
            <v>18.832789999999999</v>
          </cell>
          <cell r="R541">
            <v>41285</v>
          </cell>
          <cell r="T541">
            <v>2.67</v>
          </cell>
          <cell r="Y541">
            <v>41285</v>
          </cell>
          <cell r="AA541">
            <v>267.94</v>
          </cell>
          <cell r="AF541">
            <v>41285</v>
          </cell>
          <cell r="AH541">
            <v>69.822999999999993</v>
          </cell>
          <cell r="AM541">
            <v>41285</v>
          </cell>
          <cell r="AO541">
            <v>40.770139999999998</v>
          </cell>
          <cell r="AT541">
            <v>41285</v>
          </cell>
          <cell r="AV541">
            <v>33.712780000000002</v>
          </cell>
          <cell r="BA541">
            <v>41285</v>
          </cell>
          <cell r="BC541">
            <v>14.898630000000001</v>
          </cell>
          <cell r="BH541">
            <v>41285</v>
          </cell>
          <cell r="BJ541">
            <v>19.252369999999999</v>
          </cell>
        </row>
        <row r="542">
          <cell r="D542">
            <v>41284</v>
          </cell>
          <cell r="F542">
            <v>178.88193000000001</v>
          </cell>
          <cell r="K542">
            <v>41284</v>
          </cell>
          <cell r="M542">
            <v>18.796009999999999</v>
          </cell>
          <cell r="R542">
            <v>41284</v>
          </cell>
          <cell r="T542">
            <v>2.62</v>
          </cell>
          <cell r="Y542">
            <v>41284</v>
          </cell>
          <cell r="AA542">
            <v>265.33999999999997</v>
          </cell>
          <cell r="AF542">
            <v>41284</v>
          </cell>
          <cell r="AH542">
            <v>70.253770000000003</v>
          </cell>
          <cell r="AM542">
            <v>41284</v>
          </cell>
          <cell r="AO542">
            <v>40.703859999999999</v>
          </cell>
          <cell r="AT542">
            <v>41284</v>
          </cell>
          <cell r="AV542">
            <v>33.75844</v>
          </cell>
          <cell r="BA542">
            <v>41284</v>
          </cell>
          <cell r="BC542">
            <v>14.3443</v>
          </cell>
          <cell r="BH542">
            <v>41284</v>
          </cell>
          <cell r="BJ542">
            <v>19.288810000000002</v>
          </cell>
        </row>
        <row r="543">
          <cell r="D543">
            <v>41283</v>
          </cell>
          <cell r="F543">
            <v>178.36257000000001</v>
          </cell>
          <cell r="K543">
            <v>41283</v>
          </cell>
          <cell r="M543">
            <v>18.667269999999998</v>
          </cell>
          <cell r="R543">
            <v>41283</v>
          </cell>
          <cell r="T543">
            <v>2.63</v>
          </cell>
          <cell r="Y543">
            <v>41283</v>
          </cell>
          <cell r="AA543">
            <v>266.35000000000002</v>
          </cell>
          <cell r="AF543">
            <v>41283</v>
          </cell>
          <cell r="AH543">
            <v>69.393559999999994</v>
          </cell>
          <cell r="AM543">
            <v>41283</v>
          </cell>
          <cell r="AO543">
            <v>40.37247</v>
          </cell>
          <cell r="AT543">
            <v>41283</v>
          </cell>
          <cell r="AV543">
            <v>33.822380000000003</v>
          </cell>
          <cell r="BA543">
            <v>41283</v>
          </cell>
          <cell r="BC543">
            <v>14.071999999999999</v>
          </cell>
          <cell r="BH543">
            <v>41283</v>
          </cell>
          <cell r="BJ543">
            <v>19.088360000000002</v>
          </cell>
        </row>
        <row r="544">
          <cell r="D544">
            <v>41282</v>
          </cell>
          <cell r="F544">
            <v>178.87266</v>
          </cell>
          <cell r="K544">
            <v>41282</v>
          </cell>
          <cell r="M544">
            <v>18.676459999999999</v>
          </cell>
          <cell r="R544">
            <v>41282</v>
          </cell>
          <cell r="T544">
            <v>2.67</v>
          </cell>
          <cell r="Y544">
            <v>41282</v>
          </cell>
          <cell r="AA544">
            <v>266.38</v>
          </cell>
          <cell r="AF544">
            <v>41282</v>
          </cell>
          <cell r="AH544">
            <v>70.495329999999996</v>
          </cell>
          <cell r="AM544">
            <v>41282</v>
          </cell>
          <cell r="AO544">
            <v>40.173639999999999</v>
          </cell>
          <cell r="AT544">
            <v>41282</v>
          </cell>
          <cell r="AV544">
            <v>33.831510000000002</v>
          </cell>
          <cell r="BA544">
            <v>41282</v>
          </cell>
          <cell r="BC544">
            <v>13.78998</v>
          </cell>
          <cell r="BH544">
            <v>41282</v>
          </cell>
          <cell r="BJ544">
            <v>19.0428</v>
          </cell>
        </row>
        <row r="545">
          <cell r="D545">
            <v>41281</v>
          </cell>
          <cell r="F545">
            <v>179.12306000000001</v>
          </cell>
          <cell r="K545">
            <v>41281</v>
          </cell>
          <cell r="M545">
            <v>18.658349999999999</v>
          </cell>
          <cell r="R545">
            <v>41281</v>
          </cell>
          <cell r="T545">
            <v>2.67</v>
          </cell>
          <cell r="Y545">
            <v>41281</v>
          </cell>
          <cell r="AA545">
            <v>268.45920000000001</v>
          </cell>
          <cell r="AF545">
            <v>41281</v>
          </cell>
          <cell r="AH545">
            <v>70.306110000000004</v>
          </cell>
          <cell r="AM545">
            <v>41281</v>
          </cell>
          <cell r="AO545">
            <v>40.173639999999999</v>
          </cell>
          <cell r="AT545">
            <v>41281</v>
          </cell>
          <cell r="AV545">
            <v>34.068989999999999</v>
          </cell>
          <cell r="BA545">
            <v>41281</v>
          </cell>
          <cell r="BC545">
            <v>14.110900000000001</v>
          </cell>
          <cell r="BH545">
            <v>41281</v>
          </cell>
          <cell r="BJ545">
            <v>19.252369999999999</v>
          </cell>
        </row>
        <row r="546">
          <cell r="D546">
            <v>41278</v>
          </cell>
          <cell r="F546">
            <v>179.91137000000001</v>
          </cell>
          <cell r="K546">
            <v>41278</v>
          </cell>
          <cell r="M546">
            <v>18.834540000000001</v>
          </cell>
          <cell r="R546">
            <v>41278</v>
          </cell>
          <cell r="T546">
            <v>2.59</v>
          </cell>
          <cell r="Y546">
            <v>41278</v>
          </cell>
          <cell r="AA546">
            <v>259.14999999999998</v>
          </cell>
          <cell r="AF546">
            <v>41278</v>
          </cell>
          <cell r="AH546">
            <v>70.722120000000004</v>
          </cell>
          <cell r="AM546">
            <v>41278</v>
          </cell>
          <cell r="AO546">
            <v>40.19258</v>
          </cell>
          <cell r="AT546">
            <v>41278</v>
          </cell>
          <cell r="AV546">
            <v>34.39781</v>
          </cell>
          <cell r="BA546">
            <v>41278</v>
          </cell>
          <cell r="BC546">
            <v>14.110900000000001</v>
          </cell>
          <cell r="BH546">
            <v>41278</v>
          </cell>
          <cell r="BJ546">
            <v>19.31615</v>
          </cell>
        </row>
        <row r="547">
          <cell r="D547">
            <v>41277</v>
          </cell>
          <cell r="F547">
            <v>181.09848</v>
          </cell>
          <cell r="K547">
            <v>41277</v>
          </cell>
          <cell r="M547">
            <v>18.805199999999999</v>
          </cell>
          <cell r="R547">
            <v>41277</v>
          </cell>
          <cell r="T547">
            <v>2.4900000000000002</v>
          </cell>
          <cell r="Y547">
            <v>41277</v>
          </cell>
          <cell r="AA547">
            <v>258.48</v>
          </cell>
          <cell r="AF547">
            <v>41277</v>
          </cell>
          <cell r="AH547">
            <v>72.747950000000003</v>
          </cell>
          <cell r="AM547">
            <v>41277</v>
          </cell>
          <cell r="AO547">
            <v>39.56767</v>
          </cell>
          <cell r="AT547">
            <v>41277</v>
          </cell>
          <cell r="AV547">
            <v>34.34301</v>
          </cell>
          <cell r="BA547">
            <v>41277</v>
          </cell>
          <cell r="BC547">
            <v>14.00393</v>
          </cell>
          <cell r="BH547">
            <v>41277</v>
          </cell>
          <cell r="BJ547">
            <v>19.22503</v>
          </cell>
        </row>
        <row r="548">
          <cell r="D548">
            <v>41276</v>
          </cell>
          <cell r="F548">
            <v>182.1001</v>
          </cell>
          <cell r="K548">
            <v>41276</v>
          </cell>
          <cell r="M548">
            <v>18.704049999999999</v>
          </cell>
          <cell r="R548">
            <v>41276</v>
          </cell>
          <cell r="T548">
            <v>2.5299999999999998</v>
          </cell>
          <cell r="Y548">
            <v>41276</v>
          </cell>
          <cell r="AA548">
            <v>257.31</v>
          </cell>
          <cell r="AF548">
            <v>41276</v>
          </cell>
          <cell r="AH548">
            <v>73.678489999999996</v>
          </cell>
          <cell r="AM548">
            <v>41276</v>
          </cell>
          <cell r="AO548">
            <v>39.472990000000003</v>
          </cell>
          <cell r="AT548">
            <v>41276</v>
          </cell>
          <cell r="AV548">
            <v>34.34301</v>
          </cell>
          <cell r="BA548">
            <v>41276</v>
          </cell>
          <cell r="BC548">
            <v>13.955299999999999</v>
          </cell>
          <cell r="BH548">
            <v>41276</v>
          </cell>
          <cell r="BJ548">
            <v>19.443709999999999</v>
          </cell>
        </row>
        <row r="549">
          <cell r="D549">
            <v>41274</v>
          </cell>
          <cell r="F549">
            <v>177.64845</v>
          </cell>
          <cell r="K549">
            <v>41274</v>
          </cell>
          <cell r="M549">
            <v>18.068989999999999</v>
          </cell>
          <cell r="R549">
            <v>41274</v>
          </cell>
          <cell r="T549">
            <v>2.4</v>
          </cell>
          <cell r="Y549">
            <v>41274</v>
          </cell>
          <cell r="AA549">
            <v>250.87</v>
          </cell>
          <cell r="AF549">
            <v>41274</v>
          </cell>
          <cell r="AH549">
            <v>71.416309999999996</v>
          </cell>
          <cell r="AM549">
            <v>41274</v>
          </cell>
          <cell r="AO549">
            <v>38.990110000000001</v>
          </cell>
          <cell r="AT549">
            <v>41274</v>
          </cell>
          <cell r="AV549">
            <v>33.109949999999998</v>
          </cell>
          <cell r="BA549">
            <v>41274</v>
          </cell>
          <cell r="BC549">
            <v>13.51768</v>
          </cell>
          <cell r="BH549">
            <v>41274</v>
          </cell>
          <cell r="BJ549">
            <v>19.12481</v>
          </cell>
        </row>
        <row r="550">
          <cell r="D550">
            <v>41271</v>
          </cell>
          <cell r="F550">
            <v>176.05328</v>
          </cell>
          <cell r="K550">
            <v>41271</v>
          </cell>
          <cell r="M550">
            <v>17.885079999999999</v>
          </cell>
          <cell r="R550">
            <v>41271</v>
          </cell>
          <cell r="T550">
            <v>2.2799999999999998</v>
          </cell>
          <cell r="Y550">
            <v>41271</v>
          </cell>
          <cell r="AA550">
            <v>245.18</v>
          </cell>
          <cell r="AF550">
            <v>41271</v>
          </cell>
          <cell r="AH550">
            <v>68.385630000000006</v>
          </cell>
          <cell r="AM550">
            <v>41271</v>
          </cell>
          <cell r="AO550">
            <v>38.554569999999998</v>
          </cell>
          <cell r="AT550">
            <v>41271</v>
          </cell>
          <cell r="AV550">
            <v>32.854199999999999</v>
          </cell>
          <cell r="BA550">
            <v>41271</v>
          </cell>
          <cell r="BC550">
            <v>13.128679999999999</v>
          </cell>
          <cell r="BH550">
            <v>41271</v>
          </cell>
          <cell r="BJ550">
            <v>18.62368</v>
          </cell>
        </row>
        <row r="551">
          <cell r="D551">
            <v>41270</v>
          </cell>
          <cell r="F551">
            <v>178.72426999999999</v>
          </cell>
          <cell r="K551">
            <v>41270</v>
          </cell>
          <cell r="M551">
            <v>18.06955</v>
          </cell>
          <cell r="R551">
            <v>41270</v>
          </cell>
          <cell r="T551">
            <v>2.39</v>
          </cell>
          <cell r="Y551">
            <v>41270</v>
          </cell>
          <cell r="AA551">
            <v>248.31</v>
          </cell>
          <cell r="AF551">
            <v>41270</v>
          </cell>
          <cell r="AH551">
            <v>69.119799999999998</v>
          </cell>
          <cell r="AM551">
            <v>41270</v>
          </cell>
          <cell r="AO551">
            <v>38.890700000000002</v>
          </cell>
          <cell r="AT551">
            <v>41270</v>
          </cell>
          <cell r="AV551">
            <v>33.265219999999999</v>
          </cell>
          <cell r="BA551">
            <v>41270</v>
          </cell>
          <cell r="BC551">
            <v>13.07033</v>
          </cell>
          <cell r="BH551">
            <v>41270</v>
          </cell>
          <cell r="BJ551">
            <v>18.851469999999999</v>
          </cell>
        </row>
        <row r="552">
          <cell r="D552">
            <v>41269</v>
          </cell>
          <cell r="F552">
            <v>178.01942</v>
          </cell>
          <cell r="K552">
            <v>41269</v>
          </cell>
          <cell r="M552">
            <v>18.317830000000001</v>
          </cell>
          <cell r="R552">
            <v>41269</v>
          </cell>
          <cell r="T552">
            <v>2.4300000000000002</v>
          </cell>
          <cell r="Y552">
            <v>41269</v>
          </cell>
          <cell r="AA552">
            <v>248.63140000000001</v>
          </cell>
          <cell r="AF552">
            <v>41269</v>
          </cell>
          <cell r="AH552">
            <v>68.843289999999996</v>
          </cell>
          <cell r="AM552">
            <v>41269</v>
          </cell>
          <cell r="AO552">
            <v>39.182259999999999</v>
          </cell>
          <cell r="AT552">
            <v>41269</v>
          </cell>
          <cell r="AV552">
            <v>33.265219999999999</v>
          </cell>
          <cell r="BA552">
            <v>41269</v>
          </cell>
          <cell r="BC552">
            <v>13.29401</v>
          </cell>
          <cell r="BH552">
            <v>41269</v>
          </cell>
          <cell r="BJ552">
            <v>18.92436</v>
          </cell>
        </row>
        <row r="553">
          <cell r="D553">
            <v>41267</v>
          </cell>
          <cell r="F553">
            <v>178.43675999999999</v>
          </cell>
          <cell r="K553">
            <v>41267</v>
          </cell>
          <cell r="M553">
            <v>18.23507</v>
          </cell>
          <cell r="R553">
            <v>41267</v>
          </cell>
          <cell r="T553">
            <v>2.48</v>
          </cell>
          <cell r="Y553">
            <v>41267</v>
          </cell>
          <cell r="AA553">
            <v>258.62</v>
          </cell>
          <cell r="AF553">
            <v>41267</v>
          </cell>
          <cell r="AH553">
            <v>69.805279999999996</v>
          </cell>
          <cell r="AM553">
            <v>41267</v>
          </cell>
          <cell r="AO553">
            <v>39.285719999999998</v>
          </cell>
          <cell r="AT553">
            <v>41267</v>
          </cell>
          <cell r="AV553">
            <v>33.548369999999998</v>
          </cell>
          <cell r="BA553">
            <v>41267</v>
          </cell>
          <cell r="BC553">
            <v>13.643090000000001</v>
          </cell>
          <cell r="BH553">
            <v>41267</v>
          </cell>
          <cell r="BJ553">
            <v>18.969909999999999</v>
          </cell>
        </row>
        <row r="554">
          <cell r="D554">
            <v>41264</v>
          </cell>
          <cell r="F554">
            <v>179.38274000000001</v>
          </cell>
          <cell r="K554">
            <v>41264</v>
          </cell>
          <cell r="M554">
            <v>18.354610000000001</v>
          </cell>
          <cell r="R554">
            <v>41264</v>
          </cell>
          <cell r="T554">
            <v>2.59</v>
          </cell>
          <cell r="Y554">
            <v>41264</v>
          </cell>
          <cell r="AA554">
            <v>256.92</v>
          </cell>
          <cell r="AF554">
            <v>41264</v>
          </cell>
          <cell r="AH554">
            <v>69.692819999999998</v>
          </cell>
          <cell r="AM554">
            <v>41264</v>
          </cell>
          <cell r="AO554">
            <v>39.530250000000002</v>
          </cell>
          <cell r="AT554">
            <v>41264</v>
          </cell>
          <cell r="AV554">
            <v>33.694510000000001</v>
          </cell>
          <cell r="BA554">
            <v>41264</v>
          </cell>
          <cell r="BC554">
            <v>13.51703</v>
          </cell>
          <cell r="BH554">
            <v>41264</v>
          </cell>
          <cell r="BJ554">
            <v>19.02458</v>
          </cell>
        </row>
        <row r="555">
          <cell r="D555">
            <v>41263</v>
          </cell>
          <cell r="F555">
            <v>180.63476</v>
          </cell>
          <cell r="K555">
            <v>41263</v>
          </cell>
          <cell r="M555">
            <v>18.612089999999998</v>
          </cell>
          <cell r="R555">
            <v>41263</v>
          </cell>
          <cell r="T555">
            <v>2.4</v>
          </cell>
          <cell r="Y555">
            <v>41263</v>
          </cell>
          <cell r="AA555">
            <v>261.5</v>
          </cell>
          <cell r="AF555">
            <v>41263</v>
          </cell>
          <cell r="AH555">
            <v>70.014930000000007</v>
          </cell>
          <cell r="AM555">
            <v>41263</v>
          </cell>
          <cell r="AO555">
            <v>39.793599999999998</v>
          </cell>
          <cell r="AT555">
            <v>41263</v>
          </cell>
          <cell r="AV555">
            <v>33.840649999999997</v>
          </cell>
          <cell r="BA555">
            <v>41263</v>
          </cell>
          <cell r="BC555">
            <v>13.76914</v>
          </cell>
          <cell r="BH555">
            <v>41263</v>
          </cell>
          <cell r="BJ555">
            <v>19.179480000000002</v>
          </cell>
        </row>
        <row r="556">
          <cell r="D556">
            <v>41262</v>
          </cell>
          <cell r="F556">
            <v>180.92227</v>
          </cell>
          <cell r="K556">
            <v>41262</v>
          </cell>
          <cell r="M556">
            <v>18.639399999999998</v>
          </cell>
          <cell r="R556">
            <v>41262</v>
          </cell>
          <cell r="T556">
            <v>2.52</v>
          </cell>
          <cell r="Y556">
            <v>41262</v>
          </cell>
          <cell r="AA556">
            <v>257.99</v>
          </cell>
          <cell r="AF556">
            <v>41262</v>
          </cell>
          <cell r="AH556">
            <v>70.629519999999999</v>
          </cell>
          <cell r="AM556">
            <v>41262</v>
          </cell>
          <cell r="AO556">
            <v>39.51144</v>
          </cell>
          <cell r="AT556">
            <v>41262</v>
          </cell>
          <cell r="AV556">
            <v>33.59404</v>
          </cell>
          <cell r="BA556">
            <v>41262</v>
          </cell>
          <cell r="BC556">
            <v>13.720660000000001</v>
          </cell>
          <cell r="BH556">
            <v>41262</v>
          </cell>
          <cell r="BJ556">
            <v>18.969909999999999</v>
          </cell>
        </row>
        <row r="557">
          <cell r="D557">
            <v>41261</v>
          </cell>
          <cell r="F557">
            <v>181.488</v>
          </cell>
          <cell r="K557">
            <v>41261</v>
          </cell>
          <cell r="M557">
            <v>18.74212</v>
          </cell>
          <cell r="R557">
            <v>41261</v>
          </cell>
          <cell r="T557">
            <v>2.52</v>
          </cell>
          <cell r="Y557">
            <v>41261</v>
          </cell>
          <cell r="AA557">
            <v>260.39999999999998</v>
          </cell>
          <cell r="AF557">
            <v>41261</v>
          </cell>
          <cell r="AH557">
            <v>71.648079999999993</v>
          </cell>
          <cell r="AM557">
            <v>41261</v>
          </cell>
          <cell r="AO557">
            <v>40.113379999999999</v>
          </cell>
          <cell r="AT557">
            <v>41261</v>
          </cell>
          <cell r="AV557">
            <v>34.050730000000001</v>
          </cell>
          <cell r="BA557">
            <v>41261</v>
          </cell>
          <cell r="BC557">
            <v>13.63339</v>
          </cell>
          <cell r="BH557">
            <v>41261</v>
          </cell>
          <cell r="BJ557">
            <v>19.583880000000001</v>
          </cell>
        </row>
        <row r="558">
          <cell r="D558">
            <v>41260</v>
          </cell>
          <cell r="F558">
            <v>179.56822</v>
          </cell>
          <cell r="K558">
            <v>41260</v>
          </cell>
          <cell r="M558">
            <v>18.492550000000001</v>
          </cell>
          <cell r="R558">
            <v>41260</v>
          </cell>
          <cell r="T558">
            <v>2.46</v>
          </cell>
          <cell r="Y558">
            <v>41260</v>
          </cell>
          <cell r="AA558">
            <v>253.86</v>
          </cell>
          <cell r="AF558">
            <v>41260</v>
          </cell>
          <cell r="AH558">
            <v>69.625730000000004</v>
          </cell>
          <cell r="AM558">
            <v>41260</v>
          </cell>
          <cell r="AO558">
            <v>39.80301</v>
          </cell>
          <cell r="AT558">
            <v>41260</v>
          </cell>
          <cell r="AV558">
            <v>34.251669999999997</v>
          </cell>
          <cell r="BA558">
            <v>41260</v>
          </cell>
          <cell r="BC558">
            <v>13.43946</v>
          </cell>
          <cell r="BH558">
            <v>41260</v>
          </cell>
          <cell r="BJ558">
            <v>19.80058</v>
          </cell>
        </row>
        <row r="559">
          <cell r="D559">
            <v>41257</v>
          </cell>
          <cell r="F559">
            <v>177.84321</v>
          </cell>
          <cell r="K559">
            <v>41257</v>
          </cell>
          <cell r="M559">
            <v>18.26266</v>
          </cell>
          <cell r="R559">
            <v>41257</v>
          </cell>
          <cell r="T559">
            <v>2.3904000000000001</v>
          </cell>
          <cell r="Y559">
            <v>41257</v>
          </cell>
          <cell r="AA559">
            <v>249.19</v>
          </cell>
          <cell r="AF559">
            <v>41257</v>
          </cell>
          <cell r="AH559">
            <v>68.413120000000006</v>
          </cell>
          <cell r="AM559">
            <v>41257</v>
          </cell>
          <cell r="AO559">
            <v>39.80301</v>
          </cell>
          <cell r="AT559">
            <v>41257</v>
          </cell>
          <cell r="AV559">
            <v>34.39781</v>
          </cell>
          <cell r="BA559">
            <v>41257</v>
          </cell>
          <cell r="BC559">
            <v>13.06129</v>
          </cell>
          <cell r="BH559">
            <v>41257</v>
          </cell>
          <cell r="BJ559">
            <v>19.520679999999999</v>
          </cell>
        </row>
        <row r="560">
          <cell r="D560">
            <v>41256</v>
          </cell>
          <cell r="F560">
            <v>178.05652000000001</v>
          </cell>
          <cell r="K560">
            <v>41256</v>
          </cell>
          <cell r="M560">
            <v>18.15231</v>
          </cell>
          <cell r="R560">
            <v>41256</v>
          </cell>
          <cell r="T560">
            <v>2.41</v>
          </cell>
          <cell r="Y560">
            <v>41256</v>
          </cell>
          <cell r="AA560">
            <v>251.25</v>
          </cell>
          <cell r="AF560">
            <v>41256</v>
          </cell>
          <cell r="AH560">
            <v>71.083110000000005</v>
          </cell>
          <cell r="AM560">
            <v>41256</v>
          </cell>
          <cell r="AO560">
            <v>39.417389999999997</v>
          </cell>
          <cell r="AT560">
            <v>41256</v>
          </cell>
          <cell r="AV560">
            <v>34.34301</v>
          </cell>
          <cell r="BA560">
            <v>41256</v>
          </cell>
          <cell r="BC560">
            <v>12.886749999999999</v>
          </cell>
          <cell r="BH560">
            <v>41256</v>
          </cell>
          <cell r="BJ560">
            <v>19.520679999999999</v>
          </cell>
        </row>
        <row r="561">
          <cell r="D561">
            <v>41255</v>
          </cell>
          <cell r="F561">
            <v>178.94685000000001</v>
          </cell>
          <cell r="K561">
            <v>41255</v>
          </cell>
          <cell r="M561">
            <v>18.14311</v>
          </cell>
          <cell r="R561">
            <v>41255</v>
          </cell>
          <cell r="T561">
            <v>2.37</v>
          </cell>
          <cell r="Y561">
            <v>41255</v>
          </cell>
          <cell r="AA561">
            <v>251.76</v>
          </cell>
          <cell r="AF561">
            <v>41255</v>
          </cell>
          <cell r="AH561">
            <v>72.332490000000007</v>
          </cell>
          <cell r="AM561">
            <v>41255</v>
          </cell>
          <cell r="AO561">
            <v>39.38917</v>
          </cell>
          <cell r="AT561">
            <v>41255</v>
          </cell>
          <cell r="AV561">
            <v>34.379539999999999</v>
          </cell>
          <cell r="BA561">
            <v>41255</v>
          </cell>
          <cell r="BC561">
            <v>12.98372</v>
          </cell>
          <cell r="BH561">
            <v>41255</v>
          </cell>
          <cell r="BJ561">
            <v>19.665150000000001</v>
          </cell>
        </row>
        <row r="562">
          <cell r="D562">
            <v>41254</v>
          </cell>
          <cell r="F562">
            <v>180.10613000000001</v>
          </cell>
          <cell r="K562">
            <v>41254</v>
          </cell>
          <cell r="M562">
            <v>18.18909</v>
          </cell>
          <cell r="R562">
            <v>41254</v>
          </cell>
          <cell r="T562">
            <v>2.33</v>
          </cell>
          <cell r="Y562">
            <v>41254</v>
          </cell>
          <cell r="AA562">
            <v>250.69</v>
          </cell>
          <cell r="AF562">
            <v>41254</v>
          </cell>
          <cell r="AH562">
            <v>72.652950000000004</v>
          </cell>
          <cell r="AM562">
            <v>41254</v>
          </cell>
          <cell r="AO562">
            <v>39.502040000000001</v>
          </cell>
          <cell r="AT562">
            <v>41254</v>
          </cell>
          <cell r="AV562">
            <v>34.580480000000001</v>
          </cell>
          <cell r="BA562">
            <v>41254</v>
          </cell>
          <cell r="BC562">
            <v>13.11947</v>
          </cell>
          <cell r="BH562">
            <v>41254</v>
          </cell>
          <cell r="BJ562">
            <v>19.42136</v>
          </cell>
        </row>
        <row r="563">
          <cell r="D563">
            <v>41253</v>
          </cell>
          <cell r="F563">
            <v>178.64080000000001</v>
          </cell>
          <cell r="K563">
            <v>41253</v>
          </cell>
          <cell r="M563">
            <v>18.19829</v>
          </cell>
          <cell r="R563">
            <v>41253</v>
          </cell>
          <cell r="T563">
            <v>2.3199999999999998</v>
          </cell>
          <cell r="Y563">
            <v>41253</v>
          </cell>
          <cell r="AA563">
            <v>247.77</v>
          </cell>
          <cell r="AF563">
            <v>41253</v>
          </cell>
          <cell r="AH563">
            <v>71.100679999999997</v>
          </cell>
          <cell r="AM563">
            <v>41253</v>
          </cell>
          <cell r="AO563">
            <v>38.843670000000003</v>
          </cell>
          <cell r="AT563">
            <v>41253</v>
          </cell>
          <cell r="AV563">
            <v>34.379539999999999</v>
          </cell>
          <cell r="BA563">
            <v>41253</v>
          </cell>
          <cell r="BC563">
            <v>13.138859999999999</v>
          </cell>
          <cell r="BH563">
            <v>41253</v>
          </cell>
          <cell r="BJ563">
            <v>19.313020000000002</v>
          </cell>
        </row>
        <row r="564">
          <cell r="D564">
            <v>41250</v>
          </cell>
          <cell r="F564">
            <v>178.01942</v>
          </cell>
          <cell r="K564">
            <v>41250</v>
          </cell>
          <cell r="M564">
            <v>17.779879999999999</v>
          </cell>
          <cell r="R564">
            <v>41250</v>
          </cell>
          <cell r="T564">
            <v>2.36</v>
          </cell>
          <cell r="Y564">
            <v>41250</v>
          </cell>
          <cell r="AA564">
            <v>253.2681</v>
          </cell>
          <cell r="AF564">
            <v>41250</v>
          </cell>
          <cell r="AH564">
            <v>71.560850000000002</v>
          </cell>
          <cell r="AM564">
            <v>41250</v>
          </cell>
          <cell r="AO564">
            <v>38.467460000000003</v>
          </cell>
          <cell r="AT564">
            <v>41250</v>
          </cell>
          <cell r="AV564">
            <v>34.443480000000001</v>
          </cell>
          <cell r="BA564">
            <v>41250</v>
          </cell>
          <cell r="BC564">
            <v>13.167949999999999</v>
          </cell>
          <cell r="BH564">
            <v>41250</v>
          </cell>
          <cell r="BJ564">
            <v>19.37622</v>
          </cell>
        </row>
        <row r="565">
          <cell r="D565">
            <v>41249</v>
          </cell>
          <cell r="F565">
            <v>175.93270999999999</v>
          </cell>
          <cell r="K565">
            <v>41249</v>
          </cell>
          <cell r="M565">
            <v>17.913219999999999</v>
          </cell>
          <cell r="R565">
            <v>41249</v>
          </cell>
          <cell r="T565">
            <v>2.34</v>
          </cell>
          <cell r="Y565">
            <v>41249</v>
          </cell>
          <cell r="AA565">
            <v>253.37</v>
          </cell>
          <cell r="AF565">
            <v>41249</v>
          </cell>
          <cell r="AH565">
            <v>73.438879999999997</v>
          </cell>
          <cell r="AM565">
            <v>41249</v>
          </cell>
          <cell r="AO565">
            <v>38.034820000000003</v>
          </cell>
          <cell r="AT565">
            <v>41249</v>
          </cell>
          <cell r="AV565">
            <v>34.142060000000001</v>
          </cell>
          <cell r="BA565">
            <v>41249</v>
          </cell>
          <cell r="BC565">
            <v>12.944929999999999</v>
          </cell>
          <cell r="BH565">
            <v>41249</v>
          </cell>
          <cell r="BJ565">
            <v>19.29496</v>
          </cell>
        </row>
        <row r="566">
          <cell r="D566">
            <v>41248</v>
          </cell>
          <cell r="F566">
            <v>174.95892000000001</v>
          </cell>
          <cell r="K566">
            <v>41248</v>
          </cell>
          <cell r="M566">
            <v>17.664940000000001</v>
          </cell>
          <cell r="R566">
            <v>41248</v>
          </cell>
          <cell r="T566">
            <v>2.29</v>
          </cell>
          <cell r="Y566">
            <v>41248</v>
          </cell>
          <cell r="AA566">
            <v>253.96</v>
          </cell>
          <cell r="AF566">
            <v>41248</v>
          </cell>
          <cell r="AH566">
            <v>72.30462</v>
          </cell>
          <cell r="AM566">
            <v>41248</v>
          </cell>
          <cell r="AO566">
            <v>37.987789999999997</v>
          </cell>
          <cell r="AT566">
            <v>41248</v>
          </cell>
          <cell r="AV566">
            <v>34.078130000000002</v>
          </cell>
          <cell r="BA566">
            <v>41248</v>
          </cell>
          <cell r="BC566">
            <v>13.00311</v>
          </cell>
          <cell r="BH566">
            <v>41248</v>
          </cell>
          <cell r="BJ566">
            <v>19.16855</v>
          </cell>
        </row>
        <row r="567">
          <cell r="D567">
            <v>41247</v>
          </cell>
          <cell r="F567">
            <v>175.61739</v>
          </cell>
          <cell r="K567">
            <v>41247</v>
          </cell>
          <cell r="M567">
            <v>17.628150000000002</v>
          </cell>
          <cell r="R567">
            <v>41247</v>
          </cell>
          <cell r="T567">
            <v>2.2599999999999998</v>
          </cell>
          <cell r="Y567">
            <v>41247</v>
          </cell>
          <cell r="AA567">
            <v>252.4881</v>
          </cell>
          <cell r="AF567">
            <v>41247</v>
          </cell>
          <cell r="AH567">
            <v>77.277050000000003</v>
          </cell>
          <cell r="AM567">
            <v>41247</v>
          </cell>
          <cell r="AO567">
            <v>37.997199999999999</v>
          </cell>
          <cell r="AT567">
            <v>41247</v>
          </cell>
          <cell r="AV567">
            <v>33.931989999999999</v>
          </cell>
          <cell r="BA567">
            <v>41247</v>
          </cell>
          <cell r="BC567">
            <v>13.226129999999999</v>
          </cell>
          <cell r="BH567">
            <v>41247</v>
          </cell>
          <cell r="BJ567">
            <v>18.834479999999999</v>
          </cell>
        </row>
        <row r="568">
          <cell r="D568">
            <v>41246</v>
          </cell>
          <cell r="F568">
            <v>175.72868</v>
          </cell>
          <cell r="K568">
            <v>41246</v>
          </cell>
          <cell r="M568">
            <v>17.499600000000001</v>
          </cell>
          <cell r="R568">
            <v>41246</v>
          </cell>
          <cell r="T568">
            <v>2.36</v>
          </cell>
          <cell r="Y568">
            <v>41246</v>
          </cell>
          <cell r="AA568">
            <v>250.32910000000001</v>
          </cell>
          <cell r="AF568">
            <v>41246</v>
          </cell>
          <cell r="AH568">
            <v>78.665270000000007</v>
          </cell>
          <cell r="AM568">
            <v>41246</v>
          </cell>
          <cell r="AO568">
            <v>38.091250000000002</v>
          </cell>
          <cell r="AT568">
            <v>41246</v>
          </cell>
          <cell r="AV568">
            <v>34.142060000000001</v>
          </cell>
          <cell r="BA568">
            <v>41246</v>
          </cell>
          <cell r="BC568">
            <v>13.303699999999999</v>
          </cell>
          <cell r="BH568">
            <v>41246</v>
          </cell>
          <cell r="BJ568">
            <v>18.798359999999999</v>
          </cell>
        </row>
        <row r="569">
          <cell r="D569">
            <v>41243</v>
          </cell>
          <cell r="F569">
            <v>176.27585999999999</v>
          </cell>
          <cell r="K569">
            <v>41243</v>
          </cell>
          <cell r="M569">
            <v>17.389060000000001</v>
          </cell>
          <cell r="R569">
            <v>41243</v>
          </cell>
          <cell r="T569">
            <v>2.2000000000000002</v>
          </cell>
          <cell r="Y569">
            <v>41243</v>
          </cell>
          <cell r="AA569">
            <v>252.05</v>
          </cell>
          <cell r="AF569">
            <v>41243</v>
          </cell>
          <cell r="AH569">
            <v>78.543149999999997</v>
          </cell>
          <cell r="AM569">
            <v>41243</v>
          </cell>
          <cell r="AO569">
            <v>38.044220000000003</v>
          </cell>
          <cell r="AT569">
            <v>41243</v>
          </cell>
          <cell r="AV569">
            <v>34.635289999999998</v>
          </cell>
          <cell r="BA569">
            <v>41243</v>
          </cell>
          <cell r="BC569">
            <v>13.56551</v>
          </cell>
          <cell r="BH569">
            <v>41243</v>
          </cell>
          <cell r="BJ569">
            <v>19.07826</v>
          </cell>
        </row>
        <row r="570">
          <cell r="D570">
            <v>41242</v>
          </cell>
          <cell r="F570">
            <v>177.62989999999999</v>
          </cell>
          <cell r="K570">
            <v>41242</v>
          </cell>
          <cell r="M570">
            <v>17.481020000000001</v>
          </cell>
          <cell r="R570">
            <v>41242</v>
          </cell>
          <cell r="T570">
            <v>2.04</v>
          </cell>
          <cell r="Y570">
            <v>41242</v>
          </cell>
          <cell r="AA570">
            <v>251.27</v>
          </cell>
          <cell r="AF570">
            <v>41242</v>
          </cell>
          <cell r="AH570">
            <v>79.090680000000006</v>
          </cell>
          <cell r="AM570">
            <v>41242</v>
          </cell>
          <cell r="AO570">
            <v>37.903149999999997</v>
          </cell>
          <cell r="AT570">
            <v>41242</v>
          </cell>
          <cell r="AV570">
            <v>34.680959999999999</v>
          </cell>
          <cell r="BA570">
            <v>41242</v>
          </cell>
          <cell r="BC570">
            <v>13.50733</v>
          </cell>
          <cell r="BH570">
            <v>41242</v>
          </cell>
          <cell r="BJ570">
            <v>19.07826</v>
          </cell>
        </row>
        <row r="571">
          <cell r="D571">
            <v>41241</v>
          </cell>
          <cell r="F571">
            <v>178.04724999999999</v>
          </cell>
          <cell r="K571">
            <v>41241</v>
          </cell>
          <cell r="M571">
            <v>17.3155</v>
          </cell>
          <cell r="R571">
            <v>41241</v>
          </cell>
          <cell r="T571">
            <v>1.96</v>
          </cell>
          <cell r="Y571">
            <v>41241</v>
          </cell>
          <cell r="AA571">
            <v>247.11</v>
          </cell>
          <cell r="AF571">
            <v>41241</v>
          </cell>
          <cell r="AH571">
            <v>78.229129999999998</v>
          </cell>
          <cell r="AM571">
            <v>41241</v>
          </cell>
          <cell r="AO571">
            <v>37.508119999999998</v>
          </cell>
          <cell r="AT571">
            <v>41241</v>
          </cell>
          <cell r="AV571">
            <v>34.306469999999997</v>
          </cell>
          <cell r="BA571">
            <v>41241</v>
          </cell>
          <cell r="BC571">
            <v>13.23583</v>
          </cell>
          <cell r="BH571">
            <v>41241</v>
          </cell>
          <cell r="BJ571">
            <v>19.087289999999999</v>
          </cell>
        </row>
        <row r="572">
          <cell r="D572">
            <v>41240</v>
          </cell>
          <cell r="F572">
            <v>177.35167999999999</v>
          </cell>
          <cell r="K572">
            <v>41240</v>
          </cell>
          <cell r="M572">
            <v>17.43477</v>
          </cell>
          <cell r="R572">
            <v>41240</v>
          </cell>
          <cell r="T572">
            <v>1.88</v>
          </cell>
          <cell r="Y572">
            <v>41240</v>
          </cell>
          <cell r="AA572">
            <v>243.40170000000001</v>
          </cell>
          <cell r="AF572">
            <v>41240</v>
          </cell>
          <cell r="AH572">
            <v>78.476060000000004</v>
          </cell>
          <cell r="AM572">
            <v>41240</v>
          </cell>
          <cell r="AO572">
            <v>37.18835</v>
          </cell>
          <cell r="AT572">
            <v>41240</v>
          </cell>
          <cell r="AV572">
            <v>33.945689999999999</v>
          </cell>
          <cell r="BA572">
            <v>41240</v>
          </cell>
          <cell r="BC572">
            <v>13.00311</v>
          </cell>
          <cell r="BH572">
            <v>41240</v>
          </cell>
          <cell r="BJ572">
            <v>18.843509999999998</v>
          </cell>
        </row>
        <row r="573">
          <cell r="D573">
            <v>41239</v>
          </cell>
          <cell r="F573">
            <v>178.88193000000001</v>
          </cell>
          <cell r="K573">
            <v>41239</v>
          </cell>
          <cell r="M573">
            <v>17.393660000000001</v>
          </cell>
          <cell r="R573">
            <v>41239</v>
          </cell>
          <cell r="T573">
            <v>1.87</v>
          </cell>
          <cell r="Y573">
            <v>41239</v>
          </cell>
          <cell r="AA573">
            <v>243.62</v>
          </cell>
          <cell r="AF573">
            <v>41239</v>
          </cell>
          <cell r="AH573">
            <v>79.113489999999999</v>
          </cell>
          <cell r="AM573">
            <v>41239</v>
          </cell>
          <cell r="AO573">
            <v>37.338830000000002</v>
          </cell>
          <cell r="AT573">
            <v>41239</v>
          </cell>
          <cell r="AV573">
            <v>33.891260000000003</v>
          </cell>
          <cell r="BA573">
            <v>41239</v>
          </cell>
          <cell r="BC573">
            <v>13.18735</v>
          </cell>
          <cell r="BH573">
            <v>41239</v>
          </cell>
          <cell r="BJ573">
            <v>19.015059999999998</v>
          </cell>
        </row>
        <row r="574">
          <cell r="D574">
            <v>41236</v>
          </cell>
          <cell r="F574">
            <v>179.44766000000001</v>
          </cell>
          <cell r="K574">
            <v>41236</v>
          </cell>
          <cell r="M574">
            <v>17.197410000000001</v>
          </cell>
          <cell r="R574">
            <v>41236</v>
          </cell>
          <cell r="T574">
            <v>1.95</v>
          </cell>
          <cell r="Y574">
            <v>41236</v>
          </cell>
          <cell r="AA574">
            <v>239.88</v>
          </cell>
          <cell r="AF574">
            <v>41236</v>
          </cell>
          <cell r="AH574">
            <v>76.693910000000002</v>
          </cell>
          <cell r="AM574">
            <v>41236</v>
          </cell>
          <cell r="AO574">
            <v>37.611579999999996</v>
          </cell>
          <cell r="AT574">
            <v>41236</v>
          </cell>
          <cell r="AV574">
            <v>34.408340000000003</v>
          </cell>
          <cell r="BA574">
            <v>41236</v>
          </cell>
          <cell r="BC574">
            <v>13.303699999999999</v>
          </cell>
          <cell r="BH574">
            <v>41236</v>
          </cell>
          <cell r="BJ574">
            <v>18.997</v>
          </cell>
        </row>
        <row r="575">
          <cell r="D575">
            <v>41234</v>
          </cell>
          <cell r="F575">
            <v>176.47989999999999</v>
          </cell>
          <cell r="K575">
            <v>41234</v>
          </cell>
          <cell r="M575">
            <v>16.868790000000001</v>
          </cell>
          <cell r="R575">
            <v>41234</v>
          </cell>
          <cell r="T575">
            <v>1.87</v>
          </cell>
          <cell r="Y575">
            <v>41234</v>
          </cell>
          <cell r="AA575">
            <v>238.03</v>
          </cell>
          <cell r="AF575">
            <v>41234</v>
          </cell>
          <cell r="AH575">
            <v>75.378780000000006</v>
          </cell>
          <cell r="AM575">
            <v>41234</v>
          </cell>
          <cell r="AO575">
            <v>37.27299</v>
          </cell>
          <cell r="AT575">
            <v>41234</v>
          </cell>
          <cell r="AV575">
            <v>33.918469999999999</v>
          </cell>
          <cell r="BA575">
            <v>41234</v>
          </cell>
          <cell r="BC575">
            <v>13.14856</v>
          </cell>
          <cell r="BH575">
            <v>41234</v>
          </cell>
          <cell r="BJ575">
            <v>18.671959999999999</v>
          </cell>
        </row>
        <row r="576">
          <cell r="D576">
            <v>41233</v>
          </cell>
          <cell r="F576">
            <v>175.46899999999999</v>
          </cell>
          <cell r="K576">
            <v>41233</v>
          </cell>
          <cell r="M576">
            <v>16.741</v>
          </cell>
          <cell r="R576">
            <v>41233</v>
          </cell>
          <cell r="T576">
            <v>1.88</v>
          </cell>
          <cell r="Y576">
            <v>41233</v>
          </cell>
          <cell r="AA576">
            <v>233.78</v>
          </cell>
          <cell r="AF576">
            <v>41233</v>
          </cell>
          <cell r="AH576">
            <v>75.273219999999995</v>
          </cell>
          <cell r="AM576">
            <v>41233</v>
          </cell>
          <cell r="AO576">
            <v>36.972029999999997</v>
          </cell>
          <cell r="AT576">
            <v>41233</v>
          </cell>
          <cell r="AV576">
            <v>33.791469999999997</v>
          </cell>
          <cell r="BA576">
            <v>41233</v>
          </cell>
          <cell r="BC576">
            <v>13.07099</v>
          </cell>
          <cell r="BH576">
            <v>41233</v>
          </cell>
          <cell r="BJ576">
            <v>18.61778</v>
          </cell>
        </row>
        <row r="577">
          <cell r="D577">
            <v>41232</v>
          </cell>
          <cell r="F577">
            <v>176.53554</v>
          </cell>
          <cell r="K577">
            <v>41232</v>
          </cell>
          <cell r="M577">
            <v>16.705220000000001</v>
          </cell>
          <cell r="R577">
            <v>41232</v>
          </cell>
          <cell r="T577">
            <v>1.92</v>
          </cell>
          <cell r="Y577">
            <v>41232</v>
          </cell>
          <cell r="AA577">
            <v>229.71</v>
          </cell>
          <cell r="AF577">
            <v>41232</v>
          </cell>
          <cell r="AH577">
            <v>75.919589999999999</v>
          </cell>
          <cell r="AM577">
            <v>41232</v>
          </cell>
          <cell r="AO577">
            <v>37.27299</v>
          </cell>
          <cell r="AT577">
            <v>41232</v>
          </cell>
          <cell r="AV577">
            <v>33.782400000000003</v>
          </cell>
          <cell r="BA577">
            <v>41232</v>
          </cell>
          <cell r="BC577">
            <v>12.81888</v>
          </cell>
          <cell r="BH577">
            <v>41232</v>
          </cell>
          <cell r="BJ577">
            <v>18.6539</v>
          </cell>
        </row>
        <row r="578">
          <cell r="D578">
            <v>41229</v>
          </cell>
          <cell r="F578">
            <v>173.37302</v>
          </cell>
          <cell r="K578">
            <v>41229</v>
          </cell>
          <cell r="M578">
            <v>16.421520000000001</v>
          </cell>
          <cell r="R578">
            <v>41229</v>
          </cell>
          <cell r="T578">
            <v>1.86</v>
          </cell>
          <cell r="Y578">
            <v>41229</v>
          </cell>
          <cell r="AA578">
            <v>225.23</v>
          </cell>
          <cell r="AF578">
            <v>41229</v>
          </cell>
          <cell r="AH578">
            <v>70.813109999999995</v>
          </cell>
          <cell r="AM578">
            <v>41229</v>
          </cell>
          <cell r="AO578">
            <v>37.028460000000003</v>
          </cell>
          <cell r="AT578">
            <v>41229</v>
          </cell>
          <cell r="AV578">
            <v>33.165529999999997</v>
          </cell>
          <cell r="BA578">
            <v>41229</v>
          </cell>
          <cell r="BC578">
            <v>12.915839999999999</v>
          </cell>
          <cell r="BH578">
            <v>41229</v>
          </cell>
          <cell r="BJ578">
            <v>18.19342</v>
          </cell>
        </row>
        <row r="579">
          <cell r="D579">
            <v>41228</v>
          </cell>
          <cell r="F579">
            <v>172.36212</v>
          </cell>
          <cell r="K579">
            <v>41228</v>
          </cell>
          <cell r="M579">
            <v>16.37706</v>
          </cell>
          <cell r="R579">
            <v>41228</v>
          </cell>
          <cell r="T579">
            <v>1.87</v>
          </cell>
          <cell r="Y579">
            <v>41228</v>
          </cell>
          <cell r="AA579">
            <v>220.59899999999999</v>
          </cell>
          <cell r="AF579">
            <v>41228</v>
          </cell>
          <cell r="AH579">
            <v>70.536929999999998</v>
          </cell>
          <cell r="AM579">
            <v>41228</v>
          </cell>
          <cell r="AO579">
            <v>37.01905</v>
          </cell>
          <cell r="AT579">
            <v>41228</v>
          </cell>
          <cell r="AV579">
            <v>33.047600000000003</v>
          </cell>
          <cell r="BA579">
            <v>41228</v>
          </cell>
          <cell r="BC579">
            <v>12.964320000000001</v>
          </cell>
          <cell r="BH579">
            <v>41228</v>
          </cell>
          <cell r="BJ579">
            <v>18.112159999999999</v>
          </cell>
        </row>
        <row r="580">
          <cell r="D580">
            <v>41227</v>
          </cell>
          <cell r="F580">
            <v>172.04679999999999</v>
          </cell>
          <cell r="K580">
            <v>41227</v>
          </cell>
          <cell r="M580">
            <v>16.121020000000001</v>
          </cell>
          <cell r="R580">
            <v>41227</v>
          </cell>
          <cell r="T580">
            <v>1.93</v>
          </cell>
          <cell r="Y580">
            <v>41227</v>
          </cell>
          <cell r="AA580">
            <v>222.95</v>
          </cell>
          <cell r="AF580">
            <v>41227</v>
          </cell>
          <cell r="AH580">
            <v>72.047989999999999</v>
          </cell>
          <cell r="AM580">
            <v>41227</v>
          </cell>
          <cell r="AO580">
            <v>36.953220000000002</v>
          </cell>
          <cell r="AT580">
            <v>41227</v>
          </cell>
          <cell r="AV580">
            <v>32.666600000000003</v>
          </cell>
          <cell r="BA580">
            <v>41227</v>
          </cell>
          <cell r="BC580">
            <v>12.915839999999999</v>
          </cell>
          <cell r="BH580">
            <v>41227</v>
          </cell>
          <cell r="BJ580">
            <v>18.06701</v>
          </cell>
        </row>
        <row r="581">
          <cell r="D581">
            <v>41226</v>
          </cell>
          <cell r="F581">
            <v>174.65287000000001</v>
          </cell>
          <cell r="K581">
            <v>41226</v>
          </cell>
          <cell r="M581">
            <v>15.38091</v>
          </cell>
          <cell r="R581">
            <v>41226</v>
          </cell>
          <cell r="T581">
            <v>2.09</v>
          </cell>
          <cell r="Y581">
            <v>41226</v>
          </cell>
          <cell r="AA581">
            <v>226.6</v>
          </cell>
          <cell r="AF581">
            <v>41226</v>
          </cell>
          <cell r="AH581">
            <v>72.855590000000007</v>
          </cell>
          <cell r="AM581">
            <v>41226</v>
          </cell>
          <cell r="AO581">
            <v>37.44229</v>
          </cell>
          <cell r="AT581">
            <v>41226</v>
          </cell>
          <cell r="AV581">
            <v>32.802669999999999</v>
          </cell>
          <cell r="BA581">
            <v>41226</v>
          </cell>
          <cell r="BC581">
            <v>12.974019999999999</v>
          </cell>
          <cell r="BH581">
            <v>41226</v>
          </cell>
          <cell r="BJ581">
            <v>18.671959999999999</v>
          </cell>
        </row>
        <row r="582">
          <cell r="D582">
            <v>41225</v>
          </cell>
          <cell r="F582">
            <v>175.51536999999999</v>
          </cell>
          <cell r="K582">
            <v>41225</v>
          </cell>
          <cell r="M582">
            <v>15.38547</v>
          </cell>
          <cell r="R582">
            <v>41225</v>
          </cell>
          <cell r="T582">
            <v>1.99</v>
          </cell>
          <cell r="Y582">
            <v>41225</v>
          </cell>
          <cell r="AA582">
            <v>226.47</v>
          </cell>
          <cell r="AF582">
            <v>41225</v>
          </cell>
          <cell r="AH582">
            <v>72.846469999999997</v>
          </cell>
          <cell r="AM582">
            <v>41225</v>
          </cell>
          <cell r="AO582">
            <v>37.526940000000003</v>
          </cell>
          <cell r="AT582">
            <v>41225</v>
          </cell>
          <cell r="AV582">
            <v>32.7301</v>
          </cell>
          <cell r="BA582">
            <v>41225</v>
          </cell>
          <cell r="BC582">
            <v>13.051589999999999</v>
          </cell>
          <cell r="BH582">
            <v>41225</v>
          </cell>
          <cell r="BJ582">
            <v>18.86157</v>
          </cell>
        </row>
        <row r="583">
          <cell r="D583">
            <v>41222</v>
          </cell>
          <cell r="F583">
            <v>175.87707</v>
          </cell>
          <cell r="K583">
            <v>41222</v>
          </cell>
          <cell r="M583">
            <v>15.35352</v>
          </cell>
          <cell r="R583">
            <v>41222</v>
          </cell>
          <cell r="T583">
            <v>2.0299999999999998</v>
          </cell>
          <cell r="Y583">
            <v>41222</v>
          </cell>
          <cell r="AA583">
            <v>226.31</v>
          </cell>
          <cell r="AF583">
            <v>41222</v>
          </cell>
          <cell r="AH583">
            <v>73.414119999999997</v>
          </cell>
          <cell r="AM583">
            <v>41222</v>
          </cell>
          <cell r="AO583">
            <v>37.620989999999999</v>
          </cell>
          <cell r="AT583">
            <v>41222</v>
          </cell>
          <cell r="AV583">
            <v>32.9206</v>
          </cell>
          <cell r="BA583">
            <v>41222</v>
          </cell>
          <cell r="BC583">
            <v>12.944929999999999</v>
          </cell>
          <cell r="BH583">
            <v>41222</v>
          </cell>
          <cell r="BJ583">
            <v>18.96088</v>
          </cell>
        </row>
        <row r="584">
          <cell r="D584">
            <v>41221</v>
          </cell>
          <cell r="F584">
            <v>176.30368999999999</v>
          </cell>
          <cell r="K584">
            <v>41221</v>
          </cell>
          <cell r="M584">
            <v>15.36265</v>
          </cell>
          <cell r="R584">
            <v>41221</v>
          </cell>
          <cell r="T584">
            <v>1.98</v>
          </cell>
          <cell r="Y584">
            <v>41221</v>
          </cell>
          <cell r="AA584">
            <v>227.35</v>
          </cell>
          <cell r="AF584">
            <v>41221</v>
          </cell>
          <cell r="AH584">
            <v>72.164739999999995</v>
          </cell>
          <cell r="AM584">
            <v>41221</v>
          </cell>
          <cell r="AO584">
            <v>37.677419999999998</v>
          </cell>
          <cell r="AT584">
            <v>41221</v>
          </cell>
          <cell r="AV584">
            <v>32.984099999999998</v>
          </cell>
          <cell r="BA584">
            <v>41221</v>
          </cell>
          <cell r="BC584">
            <v>12.87706</v>
          </cell>
          <cell r="BH584">
            <v>41221</v>
          </cell>
          <cell r="BJ584">
            <v>18.86157</v>
          </cell>
        </row>
        <row r="585">
          <cell r="D585">
            <v>41220</v>
          </cell>
          <cell r="F585">
            <v>177.28675999999999</v>
          </cell>
          <cell r="K585">
            <v>41220</v>
          </cell>
          <cell r="M585">
            <v>15.709519999999999</v>
          </cell>
          <cell r="R585">
            <v>41220</v>
          </cell>
          <cell r="T585">
            <v>2.0099999999999998</v>
          </cell>
          <cell r="Y585">
            <v>41220</v>
          </cell>
          <cell r="AA585">
            <v>232.0608</v>
          </cell>
          <cell r="AF585">
            <v>41220</v>
          </cell>
          <cell r="AH585">
            <v>74.882499999999993</v>
          </cell>
          <cell r="AM585">
            <v>41220</v>
          </cell>
          <cell r="AO585">
            <v>38.288760000000003</v>
          </cell>
          <cell r="AT585">
            <v>41220</v>
          </cell>
          <cell r="AV585">
            <v>33.310679999999998</v>
          </cell>
          <cell r="BA585">
            <v>41220</v>
          </cell>
          <cell r="BC585">
            <v>12.84797</v>
          </cell>
          <cell r="BH585">
            <v>41220</v>
          </cell>
          <cell r="BJ585">
            <v>19.07826</v>
          </cell>
        </row>
        <row r="586">
          <cell r="D586">
            <v>41219</v>
          </cell>
          <cell r="F586">
            <v>180.12468000000001</v>
          </cell>
          <cell r="K586">
            <v>41219</v>
          </cell>
          <cell r="M586">
            <v>15.95598</v>
          </cell>
          <cell r="R586">
            <v>41219</v>
          </cell>
          <cell r="T586">
            <v>2.0699999999999998</v>
          </cell>
          <cell r="Y586">
            <v>41219</v>
          </cell>
          <cell r="AA586">
            <v>237.56</v>
          </cell>
          <cell r="AF586">
            <v>41219</v>
          </cell>
          <cell r="AH586">
            <v>77.861360000000005</v>
          </cell>
          <cell r="AM586">
            <v>41219</v>
          </cell>
          <cell r="AO586">
            <v>38.091250000000002</v>
          </cell>
          <cell r="AT586">
            <v>41219</v>
          </cell>
          <cell r="AV586">
            <v>33.945689999999999</v>
          </cell>
          <cell r="BA586">
            <v>41219</v>
          </cell>
          <cell r="BC586">
            <v>13.48794</v>
          </cell>
          <cell r="BH586">
            <v>41219</v>
          </cell>
          <cell r="BJ586">
            <v>19.493600000000001</v>
          </cell>
        </row>
        <row r="587">
          <cell r="D587">
            <v>41218</v>
          </cell>
          <cell r="F587">
            <v>179.26593</v>
          </cell>
          <cell r="K587">
            <v>41218</v>
          </cell>
          <cell r="M587">
            <v>15.882960000000001</v>
          </cell>
          <cell r="R587">
            <v>41218</v>
          </cell>
          <cell r="T587">
            <v>2.11</v>
          </cell>
          <cell r="Y587">
            <v>41218</v>
          </cell>
          <cell r="AA587">
            <v>234.33</v>
          </cell>
          <cell r="AF587">
            <v>41218</v>
          </cell>
          <cell r="AH587">
            <v>78.098029999999994</v>
          </cell>
          <cell r="AM587">
            <v>41218</v>
          </cell>
          <cell r="AO587">
            <v>38.07244</v>
          </cell>
          <cell r="AT587">
            <v>41218</v>
          </cell>
          <cell r="AV587">
            <v>33.35604</v>
          </cell>
          <cell r="BA587">
            <v>41218</v>
          </cell>
          <cell r="BC587">
            <v>13.14856</v>
          </cell>
          <cell r="BH587">
            <v>41218</v>
          </cell>
          <cell r="BJ587">
            <v>19.33107</v>
          </cell>
        </row>
        <row r="588">
          <cell r="D588">
            <v>41215</v>
          </cell>
          <cell r="F588">
            <v>178.61033</v>
          </cell>
          <cell r="K588">
            <v>41215</v>
          </cell>
          <cell r="M588">
            <v>15.83732</v>
          </cell>
          <cell r="R588">
            <v>41215</v>
          </cell>
          <cell r="T588">
            <v>2.1</v>
          </cell>
          <cell r="Y588">
            <v>41215</v>
          </cell>
          <cell r="AA588">
            <v>232.42240000000001</v>
          </cell>
          <cell r="AF588">
            <v>41215</v>
          </cell>
          <cell r="AH588">
            <v>77.053229999999999</v>
          </cell>
          <cell r="AM588">
            <v>41215</v>
          </cell>
          <cell r="AO588">
            <v>38.655569999999997</v>
          </cell>
          <cell r="AT588">
            <v>41215</v>
          </cell>
          <cell r="AV588">
            <v>33.637250000000002</v>
          </cell>
          <cell r="BA588">
            <v>41215</v>
          </cell>
          <cell r="BC588">
            <v>13.109769999999999</v>
          </cell>
          <cell r="BH588">
            <v>41215</v>
          </cell>
          <cell r="BJ588">
            <v>19.240780000000001</v>
          </cell>
        </row>
        <row r="589">
          <cell r="D589">
            <v>41214</v>
          </cell>
          <cell r="F589">
            <v>182.04532</v>
          </cell>
          <cell r="K589">
            <v>41214</v>
          </cell>
          <cell r="M589">
            <v>15.9788</v>
          </cell>
          <cell r="R589">
            <v>41214</v>
          </cell>
          <cell r="T589">
            <v>2.14</v>
          </cell>
          <cell r="Y589">
            <v>41214</v>
          </cell>
          <cell r="AA589">
            <v>232.14</v>
          </cell>
          <cell r="AF589">
            <v>41214</v>
          </cell>
          <cell r="AH589">
            <v>79.69023</v>
          </cell>
          <cell r="AM589">
            <v>41214</v>
          </cell>
          <cell r="AO589">
            <v>38.843670000000003</v>
          </cell>
          <cell r="AT589">
            <v>41214</v>
          </cell>
          <cell r="AV589">
            <v>33.864040000000003</v>
          </cell>
          <cell r="BA589">
            <v>41214</v>
          </cell>
          <cell r="BC589">
            <v>13.749750000000001</v>
          </cell>
          <cell r="BH589">
            <v>41214</v>
          </cell>
          <cell r="BJ589">
            <v>19.267869999999998</v>
          </cell>
        </row>
        <row r="590">
          <cell r="D590">
            <v>41213</v>
          </cell>
          <cell r="F590">
            <v>179.62604999999999</v>
          </cell>
          <cell r="K590">
            <v>41213</v>
          </cell>
          <cell r="M590">
            <v>15.65019</v>
          </cell>
          <cell r="R590">
            <v>41213</v>
          </cell>
          <cell r="T590">
            <v>2.0499999999999998</v>
          </cell>
          <cell r="Y590">
            <v>41213</v>
          </cell>
          <cell r="AA590">
            <v>232.8931</v>
          </cell>
          <cell r="AF590">
            <v>41213</v>
          </cell>
          <cell r="AH590">
            <v>79.527270000000001</v>
          </cell>
          <cell r="AM590">
            <v>41213</v>
          </cell>
          <cell r="AO590">
            <v>38.683779999999999</v>
          </cell>
          <cell r="AT590">
            <v>41213</v>
          </cell>
          <cell r="AV590">
            <v>33.727969999999999</v>
          </cell>
          <cell r="BA590">
            <v>41213</v>
          </cell>
          <cell r="BC590">
            <v>12.9938</v>
          </cell>
          <cell r="BH590">
            <v>41213</v>
          </cell>
          <cell r="BJ590">
            <v>19.015059999999998</v>
          </cell>
        </row>
        <row r="591">
          <cell r="D591">
            <v>41208</v>
          </cell>
          <cell r="F591">
            <v>178.46259000000001</v>
          </cell>
          <cell r="K591">
            <v>41208</v>
          </cell>
          <cell r="M591">
            <v>15.782550000000001</v>
          </cell>
          <cell r="R591">
            <v>41208</v>
          </cell>
          <cell r="T591">
            <v>2.0699999999999998</v>
          </cell>
          <cell r="Y591">
            <v>41208</v>
          </cell>
          <cell r="AA591">
            <v>238.24</v>
          </cell>
          <cell r="AF591">
            <v>41208</v>
          </cell>
          <cell r="AH591">
            <v>80.686800000000005</v>
          </cell>
          <cell r="AM591">
            <v>41208</v>
          </cell>
          <cell r="AO591">
            <v>38.025410000000001</v>
          </cell>
          <cell r="AT591">
            <v>41208</v>
          </cell>
          <cell r="AV591">
            <v>33.600969999999997</v>
          </cell>
          <cell r="BA591">
            <v>41208</v>
          </cell>
          <cell r="BC591">
            <v>12.654030000000001</v>
          </cell>
          <cell r="BH591">
            <v>41208</v>
          </cell>
          <cell r="BJ591">
            <v>19.060199999999998</v>
          </cell>
        </row>
        <row r="592">
          <cell r="D592">
            <v>41207</v>
          </cell>
          <cell r="F592">
            <v>176.92053000000001</v>
          </cell>
          <cell r="K592">
            <v>41207</v>
          </cell>
          <cell r="M592">
            <v>15.700390000000001</v>
          </cell>
          <cell r="R592">
            <v>41207</v>
          </cell>
          <cell r="T592">
            <v>2.12</v>
          </cell>
          <cell r="Y592">
            <v>41207</v>
          </cell>
          <cell r="AA592">
            <v>222.92</v>
          </cell>
          <cell r="AF592">
            <v>41207</v>
          </cell>
          <cell r="AH592">
            <v>81.426609999999997</v>
          </cell>
          <cell r="AM592">
            <v>41207</v>
          </cell>
          <cell r="AO592">
            <v>38.45805</v>
          </cell>
          <cell r="AT592">
            <v>41207</v>
          </cell>
          <cell r="AV592">
            <v>33.646329999999999</v>
          </cell>
          <cell r="BA592">
            <v>41207</v>
          </cell>
          <cell r="BC592">
            <v>12.072240000000001</v>
          </cell>
          <cell r="BH592">
            <v>41207</v>
          </cell>
          <cell r="BJ592">
            <v>19.195640000000001</v>
          </cell>
        </row>
        <row r="593">
          <cell r="D593">
            <v>41206</v>
          </cell>
          <cell r="F593">
            <v>176.10795999999999</v>
          </cell>
          <cell r="K593">
            <v>41206</v>
          </cell>
          <cell r="M593">
            <v>15.864699999999999</v>
          </cell>
          <cell r="R593">
            <v>41206</v>
          </cell>
          <cell r="T593">
            <v>2.08</v>
          </cell>
          <cell r="Y593">
            <v>41206</v>
          </cell>
          <cell r="AA593">
            <v>228.49</v>
          </cell>
          <cell r="AF593">
            <v>41206</v>
          </cell>
          <cell r="AH593">
            <v>82.400729999999996</v>
          </cell>
          <cell r="AM593">
            <v>41206</v>
          </cell>
          <cell r="AO593">
            <v>38.260539999999999</v>
          </cell>
          <cell r="AT593">
            <v>41206</v>
          </cell>
          <cell r="AV593">
            <v>33.455820000000003</v>
          </cell>
          <cell r="BA593">
            <v>41206</v>
          </cell>
          <cell r="BC593">
            <v>12.25647</v>
          </cell>
          <cell r="BH593">
            <v>41206</v>
          </cell>
          <cell r="BJ593">
            <v>19.195640000000001</v>
          </cell>
        </row>
        <row r="594">
          <cell r="D594">
            <v>41205</v>
          </cell>
          <cell r="F594">
            <v>176.59735000000001</v>
          </cell>
          <cell r="K594">
            <v>41205</v>
          </cell>
          <cell r="M594">
            <v>16.439769999999999</v>
          </cell>
          <cell r="R594">
            <v>41205</v>
          </cell>
          <cell r="T594">
            <v>2.14</v>
          </cell>
          <cell r="Y594">
            <v>41205</v>
          </cell>
          <cell r="AA594">
            <v>234.31</v>
          </cell>
          <cell r="AF594">
            <v>41205</v>
          </cell>
          <cell r="AH594">
            <v>81.936570000000003</v>
          </cell>
          <cell r="AM594">
            <v>41205</v>
          </cell>
          <cell r="AO594">
            <v>38.316980000000001</v>
          </cell>
          <cell r="AT594">
            <v>41205</v>
          </cell>
          <cell r="AV594">
            <v>33.210889999999999</v>
          </cell>
          <cell r="BA594">
            <v>41205</v>
          </cell>
          <cell r="BC594">
            <v>12.353440000000001</v>
          </cell>
          <cell r="BH594">
            <v>41205</v>
          </cell>
          <cell r="BJ594">
            <v>19.213699999999999</v>
          </cell>
        </row>
        <row r="595">
          <cell r="D595">
            <v>41204</v>
          </cell>
          <cell r="F595">
            <v>179.50601</v>
          </cell>
          <cell r="K595">
            <v>41204</v>
          </cell>
          <cell r="M595">
            <v>16.60408</v>
          </cell>
          <cell r="R595">
            <v>41204</v>
          </cell>
          <cell r="T595">
            <v>2.1</v>
          </cell>
          <cell r="Y595">
            <v>41204</v>
          </cell>
          <cell r="AA595">
            <v>233.78</v>
          </cell>
          <cell r="AF595">
            <v>41204</v>
          </cell>
          <cell r="AH595">
            <v>84.698430000000002</v>
          </cell>
          <cell r="AM595">
            <v>41204</v>
          </cell>
          <cell r="AO595">
            <v>39.097610000000003</v>
          </cell>
          <cell r="AT595">
            <v>41204</v>
          </cell>
          <cell r="AV595">
            <v>33.773330000000001</v>
          </cell>
          <cell r="BA595">
            <v>41204</v>
          </cell>
          <cell r="BC595">
            <v>12.935230000000001</v>
          </cell>
          <cell r="BH595">
            <v>41204</v>
          </cell>
          <cell r="BJ595">
            <v>19.59291</v>
          </cell>
        </row>
        <row r="596">
          <cell r="D596">
            <v>41201</v>
          </cell>
          <cell r="F596">
            <v>178.54569000000001</v>
          </cell>
          <cell r="K596">
            <v>41201</v>
          </cell>
          <cell r="M596">
            <v>16.46725</v>
          </cell>
          <cell r="R596">
            <v>41201</v>
          </cell>
          <cell r="T596">
            <v>2.1800000000000002</v>
          </cell>
          <cell r="Y596">
            <v>41201</v>
          </cell>
          <cell r="AA596">
            <v>240</v>
          </cell>
          <cell r="AF596">
            <v>41201</v>
          </cell>
          <cell r="AH596">
            <v>81.46696</v>
          </cell>
          <cell r="AM596">
            <v>41201</v>
          </cell>
          <cell r="AO596">
            <v>38.806049999999999</v>
          </cell>
          <cell r="AT596">
            <v>41201</v>
          </cell>
          <cell r="AV596">
            <v>33.92754</v>
          </cell>
          <cell r="BA596">
            <v>41201</v>
          </cell>
          <cell r="BC596">
            <v>12.993410000000001</v>
          </cell>
          <cell r="BH596">
            <v>41201</v>
          </cell>
          <cell r="BJ596">
            <v>19.89087</v>
          </cell>
        </row>
        <row r="597">
          <cell r="D597">
            <v>41200</v>
          </cell>
          <cell r="F597">
            <v>180.02311</v>
          </cell>
          <cell r="K597">
            <v>41200</v>
          </cell>
          <cell r="M597">
            <v>16.982900000000001</v>
          </cell>
          <cell r="R597">
            <v>41200</v>
          </cell>
          <cell r="T597">
            <v>2.62</v>
          </cell>
          <cell r="Y597">
            <v>41200</v>
          </cell>
          <cell r="AA597">
            <v>244.85</v>
          </cell>
          <cell r="AF597">
            <v>41200</v>
          </cell>
          <cell r="AH597">
            <v>84.512749999999997</v>
          </cell>
          <cell r="AM597">
            <v>41200</v>
          </cell>
          <cell r="AO597">
            <v>39.2575</v>
          </cell>
          <cell r="AT597">
            <v>41200</v>
          </cell>
          <cell r="AV597">
            <v>34.326689999999999</v>
          </cell>
          <cell r="BA597">
            <v>41200</v>
          </cell>
          <cell r="BC597">
            <v>13.6043</v>
          </cell>
          <cell r="BH597">
            <v>41200</v>
          </cell>
          <cell r="BJ597">
            <v>20.595130000000001</v>
          </cell>
        </row>
        <row r="598">
          <cell r="D598">
            <v>41199</v>
          </cell>
          <cell r="F598">
            <v>185.2587</v>
          </cell>
          <cell r="K598">
            <v>41199</v>
          </cell>
          <cell r="M598">
            <v>17.074179999999998</v>
          </cell>
          <cell r="R598">
            <v>41199</v>
          </cell>
          <cell r="T598">
            <v>2.77</v>
          </cell>
          <cell r="Y598">
            <v>41199</v>
          </cell>
          <cell r="AA598">
            <v>247.49</v>
          </cell>
          <cell r="AF598">
            <v>41199</v>
          </cell>
          <cell r="AH598">
            <v>86.112269999999995</v>
          </cell>
          <cell r="AM598">
            <v>41199</v>
          </cell>
          <cell r="AO598">
            <v>39.154040000000002</v>
          </cell>
          <cell r="AT598">
            <v>41199</v>
          </cell>
          <cell r="AV598">
            <v>34.235979999999998</v>
          </cell>
          <cell r="BA598">
            <v>41199</v>
          </cell>
          <cell r="BC598">
            <v>13.73035</v>
          </cell>
          <cell r="BH598">
            <v>41199</v>
          </cell>
          <cell r="BJ598">
            <v>20.685420000000001</v>
          </cell>
        </row>
        <row r="599">
          <cell r="D599">
            <v>41198</v>
          </cell>
          <cell r="F599">
            <v>194.83420000000001</v>
          </cell>
          <cell r="K599">
            <v>41198</v>
          </cell>
          <cell r="M599">
            <v>17.208909999999999</v>
          </cell>
          <cell r="R599">
            <v>41198</v>
          </cell>
          <cell r="T599">
            <v>2.68</v>
          </cell>
          <cell r="Y599">
            <v>41198</v>
          </cell>
          <cell r="AA599">
            <v>243.94</v>
          </cell>
          <cell r="AF599">
            <v>41198</v>
          </cell>
          <cell r="AH599">
            <v>86.804109999999994</v>
          </cell>
          <cell r="AM599">
            <v>41198</v>
          </cell>
          <cell r="AO599">
            <v>39.549059999999997</v>
          </cell>
          <cell r="AT599">
            <v>41198</v>
          </cell>
          <cell r="AV599">
            <v>34.381120000000003</v>
          </cell>
          <cell r="BA599">
            <v>41198</v>
          </cell>
          <cell r="BC599">
            <v>13.6043</v>
          </cell>
          <cell r="BH599">
            <v>41198</v>
          </cell>
          <cell r="BJ599">
            <v>20.44164</v>
          </cell>
        </row>
        <row r="600">
          <cell r="D600">
            <v>41197</v>
          </cell>
          <cell r="F600">
            <v>192.92278999999999</v>
          </cell>
          <cell r="K600">
            <v>41197</v>
          </cell>
          <cell r="M600">
            <v>16.932690000000001</v>
          </cell>
          <cell r="R600">
            <v>41197</v>
          </cell>
          <cell r="T600">
            <v>2.75</v>
          </cell>
          <cell r="Y600">
            <v>41197</v>
          </cell>
          <cell r="AA600">
            <v>244.18</v>
          </cell>
          <cell r="AF600">
            <v>41197</v>
          </cell>
          <cell r="AH600">
            <v>84.795950000000005</v>
          </cell>
          <cell r="AM600">
            <v>41197</v>
          </cell>
          <cell r="AO600">
            <v>39.13523</v>
          </cell>
          <cell r="AT600">
            <v>41197</v>
          </cell>
          <cell r="AV600">
            <v>34.589770000000001</v>
          </cell>
          <cell r="BA600">
            <v>41197</v>
          </cell>
          <cell r="BC600">
            <v>13.5946</v>
          </cell>
          <cell r="BH600">
            <v>41197</v>
          </cell>
          <cell r="BJ600">
            <v>20.44164</v>
          </cell>
        </row>
        <row r="601">
          <cell r="D601">
            <v>41194</v>
          </cell>
          <cell r="F601">
            <v>191.87936999999999</v>
          </cell>
          <cell r="K601">
            <v>41194</v>
          </cell>
          <cell r="M601">
            <v>16.800329999999999</v>
          </cell>
          <cell r="R601">
            <v>41194</v>
          </cell>
          <cell r="T601">
            <v>2.74</v>
          </cell>
          <cell r="Y601">
            <v>41194</v>
          </cell>
          <cell r="AA601">
            <v>242.36</v>
          </cell>
          <cell r="AF601">
            <v>41194</v>
          </cell>
          <cell r="AH601">
            <v>84.121870000000001</v>
          </cell>
          <cell r="AM601">
            <v>41194</v>
          </cell>
          <cell r="AO601">
            <v>38.45805</v>
          </cell>
          <cell r="AT601">
            <v>41194</v>
          </cell>
          <cell r="AV601">
            <v>34.680480000000003</v>
          </cell>
          <cell r="BA601">
            <v>41194</v>
          </cell>
          <cell r="BC601">
            <v>13.74005</v>
          </cell>
          <cell r="BH601">
            <v>41194</v>
          </cell>
          <cell r="BJ601">
            <v>20.297180000000001</v>
          </cell>
        </row>
        <row r="602">
          <cell r="D602">
            <v>41193</v>
          </cell>
          <cell r="F602">
            <v>189.99565999999999</v>
          </cell>
          <cell r="K602">
            <v>41193</v>
          </cell>
          <cell r="M602">
            <v>16.66798</v>
          </cell>
          <cell r="R602">
            <v>41193</v>
          </cell>
          <cell r="T602">
            <v>3.2</v>
          </cell>
          <cell r="Y602">
            <v>41193</v>
          </cell>
          <cell r="AA602">
            <v>244.22</v>
          </cell>
          <cell r="AF602">
            <v>41193</v>
          </cell>
          <cell r="AH602">
            <v>83.906260000000003</v>
          </cell>
          <cell r="AM602">
            <v>41193</v>
          </cell>
          <cell r="AO602">
            <v>38.476869999999998</v>
          </cell>
          <cell r="AT602">
            <v>41193</v>
          </cell>
          <cell r="AV602">
            <v>34.571620000000003</v>
          </cell>
          <cell r="BA602">
            <v>41193</v>
          </cell>
          <cell r="BC602">
            <v>14.57396</v>
          </cell>
          <cell r="BH602">
            <v>41193</v>
          </cell>
          <cell r="BJ602">
            <v>20.324259999999999</v>
          </cell>
        </row>
        <row r="603">
          <cell r="D603">
            <v>41192</v>
          </cell>
          <cell r="F603">
            <v>190.05107000000001</v>
          </cell>
          <cell r="K603">
            <v>41192</v>
          </cell>
          <cell r="M603">
            <v>16.713619999999999</v>
          </cell>
          <cell r="R603">
            <v>41192</v>
          </cell>
          <cell r="T603">
            <v>3.15</v>
          </cell>
          <cell r="Y603">
            <v>41192</v>
          </cell>
          <cell r="AA603">
            <v>244.99</v>
          </cell>
          <cell r="AF603">
            <v>41192</v>
          </cell>
          <cell r="AH603">
            <v>85.617519999999999</v>
          </cell>
          <cell r="AM603">
            <v>41192</v>
          </cell>
          <cell r="AO603">
            <v>38.37341</v>
          </cell>
          <cell r="AT603">
            <v>41192</v>
          </cell>
          <cell r="AV603">
            <v>34.55348</v>
          </cell>
          <cell r="BA603">
            <v>41192</v>
          </cell>
          <cell r="BC603">
            <v>14.147309999999999</v>
          </cell>
          <cell r="BH603">
            <v>41192</v>
          </cell>
          <cell r="BJ603">
            <v>20.252030000000001</v>
          </cell>
        </row>
        <row r="604">
          <cell r="D604">
            <v>41191</v>
          </cell>
          <cell r="F604">
            <v>192.05481</v>
          </cell>
          <cell r="K604">
            <v>41191</v>
          </cell>
          <cell r="M604">
            <v>17.160900000000002</v>
          </cell>
          <cell r="R604">
            <v>41191</v>
          </cell>
          <cell r="T604">
            <v>3.25</v>
          </cell>
          <cell r="Y604">
            <v>41191</v>
          </cell>
          <cell r="AA604">
            <v>250.96</v>
          </cell>
          <cell r="AF604">
            <v>41191</v>
          </cell>
          <cell r="AH604">
            <v>84.941559999999996</v>
          </cell>
          <cell r="AM604">
            <v>41191</v>
          </cell>
          <cell r="AO604">
            <v>38.617939999999997</v>
          </cell>
          <cell r="AT604">
            <v>41191</v>
          </cell>
          <cell r="AV604">
            <v>34.979840000000003</v>
          </cell>
          <cell r="BA604">
            <v>41191</v>
          </cell>
          <cell r="BC604">
            <v>13.66248</v>
          </cell>
          <cell r="BH604">
            <v>41191</v>
          </cell>
          <cell r="BJ604">
            <v>20.423580000000001</v>
          </cell>
        </row>
        <row r="605">
          <cell r="D605">
            <v>41190</v>
          </cell>
          <cell r="F605">
            <v>193.74460999999999</v>
          </cell>
          <cell r="K605">
            <v>41190</v>
          </cell>
          <cell r="M605">
            <v>17.252179999999999</v>
          </cell>
          <cell r="R605">
            <v>41190</v>
          </cell>
          <cell r="T605">
            <v>3.19</v>
          </cell>
          <cell r="Y605">
            <v>41190</v>
          </cell>
          <cell r="AA605">
            <v>259.06</v>
          </cell>
          <cell r="AF605">
            <v>41190</v>
          </cell>
          <cell r="AH605">
            <v>85.251490000000004</v>
          </cell>
          <cell r="AM605">
            <v>41190</v>
          </cell>
          <cell r="AO605">
            <v>38.420430000000003</v>
          </cell>
          <cell r="AT605">
            <v>41190</v>
          </cell>
          <cell r="AV605">
            <v>34.997990000000001</v>
          </cell>
          <cell r="BA605">
            <v>41190</v>
          </cell>
          <cell r="BC605">
            <v>14.21518</v>
          </cell>
          <cell r="BH605">
            <v>41190</v>
          </cell>
          <cell r="BJ605">
            <v>20.69445</v>
          </cell>
        </row>
        <row r="606">
          <cell r="D606">
            <v>41187</v>
          </cell>
          <cell r="F606">
            <v>194.45561000000001</v>
          </cell>
          <cell r="K606">
            <v>41187</v>
          </cell>
          <cell r="M606">
            <v>17.21566</v>
          </cell>
          <cell r="R606">
            <v>41187</v>
          </cell>
          <cell r="T606">
            <v>3.22</v>
          </cell>
          <cell r="Y606">
            <v>41187</v>
          </cell>
          <cell r="AA606">
            <v>258.51</v>
          </cell>
          <cell r="AF606">
            <v>41187</v>
          </cell>
          <cell r="AH606">
            <v>87.177819999999997</v>
          </cell>
          <cell r="AM606">
            <v>41187</v>
          </cell>
          <cell r="AO606">
            <v>38.110059999999997</v>
          </cell>
          <cell r="AT606">
            <v>41187</v>
          </cell>
          <cell r="AV606">
            <v>34.997990000000001</v>
          </cell>
          <cell r="BA606">
            <v>41187</v>
          </cell>
          <cell r="BC606">
            <v>14.370329999999999</v>
          </cell>
          <cell r="BH606">
            <v>41187</v>
          </cell>
          <cell r="BJ606">
            <v>20.875029999999999</v>
          </cell>
        </row>
        <row r="607">
          <cell r="D607">
            <v>41186</v>
          </cell>
          <cell r="F607">
            <v>194.27094</v>
          </cell>
          <cell r="K607">
            <v>41186</v>
          </cell>
          <cell r="M607">
            <v>17.247610000000002</v>
          </cell>
          <cell r="R607">
            <v>41186</v>
          </cell>
          <cell r="T607">
            <v>3.22</v>
          </cell>
          <cell r="Y607">
            <v>41186</v>
          </cell>
          <cell r="AA607">
            <v>260.47000000000003</v>
          </cell>
          <cell r="AF607">
            <v>41186</v>
          </cell>
          <cell r="AH607">
            <v>89.076089999999994</v>
          </cell>
          <cell r="AM607">
            <v>41186</v>
          </cell>
          <cell r="AO607">
            <v>38.232329999999997</v>
          </cell>
          <cell r="AT607">
            <v>41186</v>
          </cell>
          <cell r="AV607">
            <v>34.7712</v>
          </cell>
          <cell r="BA607">
            <v>41186</v>
          </cell>
          <cell r="BC607">
            <v>14.4382</v>
          </cell>
          <cell r="BH607">
            <v>41186</v>
          </cell>
          <cell r="BJ607">
            <v>20.721540000000001</v>
          </cell>
        </row>
        <row r="608">
          <cell r="D608">
            <v>41185</v>
          </cell>
          <cell r="F608">
            <v>194.38174000000001</v>
          </cell>
          <cell r="K608">
            <v>41185</v>
          </cell>
          <cell r="M608">
            <v>17.27956</v>
          </cell>
          <cell r="R608">
            <v>41185</v>
          </cell>
          <cell r="T608">
            <v>3.12</v>
          </cell>
          <cell r="Y608">
            <v>41185</v>
          </cell>
          <cell r="AA608">
            <v>255.92</v>
          </cell>
          <cell r="AF608">
            <v>41185</v>
          </cell>
          <cell r="AH608">
            <v>89.697280000000006</v>
          </cell>
          <cell r="AM608">
            <v>41185</v>
          </cell>
          <cell r="AO608">
            <v>37.470500000000001</v>
          </cell>
          <cell r="AT608">
            <v>41185</v>
          </cell>
          <cell r="AV608">
            <v>34.689549999999997</v>
          </cell>
          <cell r="BA608">
            <v>41185</v>
          </cell>
          <cell r="BC608">
            <v>14.428509999999999</v>
          </cell>
          <cell r="BH608">
            <v>41185</v>
          </cell>
          <cell r="BJ608">
            <v>20.685420000000001</v>
          </cell>
        </row>
        <row r="609">
          <cell r="D609">
            <v>41184</v>
          </cell>
          <cell r="F609">
            <v>193.76307</v>
          </cell>
          <cell r="K609">
            <v>41184</v>
          </cell>
          <cell r="M609">
            <v>17.224789999999999</v>
          </cell>
          <cell r="R609">
            <v>41184</v>
          </cell>
          <cell r="T609">
            <v>3.27</v>
          </cell>
          <cell r="Y609">
            <v>41184</v>
          </cell>
          <cell r="AA609">
            <v>250.6</v>
          </cell>
          <cell r="AF609">
            <v>41184</v>
          </cell>
          <cell r="AH609">
            <v>88.342699999999994</v>
          </cell>
          <cell r="AM609">
            <v>41184</v>
          </cell>
          <cell r="AO609">
            <v>37.282400000000003</v>
          </cell>
          <cell r="AT609">
            <v>41184</v>
          </cell>
          <cell r="AV609">
            <v>34.780270000000002</v>
          </cell>
          <cell r="BA609">
            <v>41184</v>
          </cell>
          <cell r="BC609">
            <v>14.593349999999999</v>
          </cell>
          <cell r="BH609">
            <v>41184</v>
          </cell>
          <cell r="BJ609">
            <v>20.577069999999999</v>
          </cell>
        </row>
        <row r="610">
          <cell r="D610">
            <v>41183</v>
          </cell>
          <cell r="F610">
            <v>194.34481</v>
          </cell>
          <cell r="K610">
            <v>41183</v>
          </cell>
          <cell r="M610">
            <v>17.252179999999999</v>
          </cell>
          <cell r="R610">
            <v>41183</v>
          </cell>
          <cell r="T610">
            <v>3.28</v>
          </cell>
          <cell r="Y610">
            <v>41183</v>
          </cell>
          <cell r="AA610">
            <v>252.01</v>
          </cell>
          <cell r="AF610">
            <v>41183</v>
          </cell>
          <cell r="AH610">
            <v>88.086209999999994</v>
          </cell>
          <cell r="AM610">
            <v>41183</v>
          </cell>
          <cell r="AO610">
            <v>37.150730000000003</v>
          </cell>
          <cell r="AT610">
            <v>41183</v>
          </cell>
          <cell r="AV610">
            <v>34.816549999999999</v>
          </cell>
          <cell r="BA610">
            <v>41183</v>
          </cell>
          <cell r="BC610">
            <v>14.79698</v>
          </cell>
          <cell r="BH610">
            <v>41183</v>
          </cell>
          <cell r="BJ610">
            <v>20.595130000000001</v>
          </cell>
        </row>
        <row r="611">
          <cell r="D611">
            <v>41180</v>
          </cell>
          <cell r="F611">
            <v>191.55618000000001</v>
          </cell>
          <cell r="K611">
            <v>41180</v>
          </cell>
          <cell r="M611">
            <v>17.302009999999999</v>
          </cell>
          <cell r="R611">
            <v>41180</v>
          </cell>
          <cell r="T611">
            <v>3.37</v>
          </cell>
          <cell r="Y611">
            <v>41180</v>
          </cell>
          <cell r="AA611">
            <v>254.32</v>
          </cell>
          <cell r="AF611">
            <v>41180</v>
          </cell>
          <cell r="AH611">
            <v>89.116839999999996</v>
          </cell>
          <cell r="AM611">
            <v>41180</v>
          </cell>
          <cell r="AO611">
            <v>36.652250000000002</v>
          </cell>
          <cell r="AT611">
            <v>41180</v>
          </cell>
          <cell r="AV611">
            <v>34.408340000000003</v>
          </cell>
          <cell r="BA611">
            <v>41180</v>
          </cell>
          <cell r="BC611">
            <v>14.564260000000001</v>
          </cell>
          <cell r="BH611">
            <v>41180</v>
          </cell>
          <cell r="BJ611">
            <v>20.504840000000002</v>
          </cell>
        </row>
        <row r="612">
          <cell r="D612">
            <v>41179</v>
          </cell>
          <cell r="F612">
            <v>190.13417000000001</v>
          </cell>
          <cell r="K612">
            <v>41179</v>
          </cell>
          <cell r="M612">
            <v>17.030180000000001</v>
          </cell>
          <cell r="R612">
            <v>41179</v>
          </cell>
          <cell r="T612">
            <v>3.43</v>
          </cell>
          <cell r="Y612">
            <v>41179</v>
          </cell>
          <cell r="AA612">
            <v>256.58999999999997</v>
          </cell>
          <cell r="AF612">
            <v>41179</v>
          </cell>
          <cell r="AH612">
            <v>91.015780000000007</v>
          </cell>
          <cell r="AM612">
            <v>41179</v>
          </cell>
          <cell r="AO612">
            <v>37.27299</v>
          </cell>
          <cell r="AT612">
            <v>41179</v>
          </cell>
          <cell r="AV612">
            <v>34.753050000000002</v>
          </cell>
          <cell r="BA612">
            <v>41179</v>
          </cell>
          <cell r="BC612">
            <v>14.457599999999999</v>
          </cell>
          <cell r="BH612">
            <v>41179</v>
          </cell>
          <cell r="BJ612">
            <v>20.5229</v>
          </cell>
        </row>
        <row r="613">
          <cell r="D613">
            <v>41178</v>
          </cell>
          <cell r="F613">
            <v>188.37051</v>
          </cell>
          <cell r="K613">
            <v>41178</v>
          </cell>
          <cell r="M613">
            <v>16.830839999999998</v>
          </cell>
          <cell r="R613">
            <v>41178</v>
          </cell>
          <cell r="T613">
            <v>3.32</v>
          </cell>
          <cell r="Y613">
            <v>41178</v>
          </cell>
          <cell r="AA613">
            <v>249.67</v>
          </cell>
          <cell r="AF613">
            <v>41178</v>
          </cell>
          <cell r="AH613">
            <v>88.859679999999997</v>
          </cell>
          <cell r="AM613">
            <v>41178</v>
          </cell>
          <cell r="AO613">
            <v>36.626379999999997</v>
          </cell>
          <cell r="AT613">
            <v>41178</v>
          </cell>
          <cell r="AV613">
            <v>34.25412</v>
          </cell>
          <cell r="BA613">
            <v>41178</v>
          </cell>
          <cell r="BC613">
            <v>15.22363</v>
          </cell>
          <cell r="BH613">
            <v>41178</v>
          </cell>
          <cell r="BJ613">
            <v>19.954070000000002</v>
          </cell>
        </row>
        <row r="614">
          <cell r="D614">
            <v>41177</v>
          </cell>
          <cell r="F614">
            <v>189.27542</v>
          </cell>
          <cell r="K614">
            <v>41177</v>
          </cell>
          <cell r="M614">
            <v>16.912389999999998</v>
          </cell>
          <cell r="R614">
            <v>41177</v>
          </cell>
          <cell r="T614">
            <v>3.28</v>
          </cell>
          <cell r="Y614">
            <v>41177</v>
          </cell>
          <cell r="AA614">
            <v>252.46</v>
          </cell>
          <cell r="AF614">
            <v>41177</v>
          </cell>
          <cell r="AH614">
            <v>89.976470000000006</v>
          </cell>
          <cell r="AM614">
            <v>41177</v>
          </cell>
          <cell r="AO614">
            <v>36.504860000000001</v>
          </cell>
          <cell r="AT614">
            <v>41177</v>
          </cell>
          <cell r="AV614">
            <v>34.181550000000001</v>
          </cell>
          <cell r="BA614">
            <v>41177</v>
          </cell>
          <cell r="BC614">
            <v>15.33999</v>
          </cell>
          <cell r="BH614">
            <v>41177</v>
          </cell>
          <cell r="BJ614">
            <v>20.14368</v>
          </cell>
        </row>
        <row r="615">
          <cell r="D615">
            <v>41176</v>
          </cell>
          <cell r="F615">
            <v>189.56166999999999</v>
          </cell>
          <cell r="K615">
            <v>41176</v>
          </cell>
          <cell r="M615">
            <v>17.039239999999999</v>
          </cell>
          <cell r="R615">
            <v>41176</v>
          </cell>
          <cell r="T615">
            <v>3.46</v>
          </cell>
          <cell r="Y615">
            <v>41176</v>
          </cell>
          <cell r="AA615">
            <v>254.80500000000001</v>
          </cell>
          <cell r="AF615">
            <v>41176</v>
          </cell>
          <cell r="AH615">
            <v>92.280860000000004</v>
          </cell>
          <cell r="AM615">
            <v>41176</v>
          </cell>
          <cell r="AO615">
            <v>36.364629999999998</v>
          </cell>
          <cell r="AT615">
            <v>41176</v>
          </cell>
          <cell r="AV615">
            <v>34.580689999999997</v>
          </cell>
          <cell r="BA615">
            <v>41176</v>
          </cell>
          <cell r="BC615">
            <v>15.7172</v>
          </cell>
          <cell r="BH615">
            <v>41176</v>
          </cell>
          <cell r="BJ615">
            <v>20.188829999999999</v>
          </cell>
        </row>
        <row r="616">
          <cell r="D616">
            <v>41173</v>
          </cell>
          <cell r="F616">
            <v>190.19881000000001</v>
          </cell>
          <cell r="K616">
            <v>41173</v>
          </cell>
          <cell r="M616">
            <v>17.125319999999999</v>
          </cell>
          <cell r="R616">
            <v>41173</v>
          </cell>
          <cell r="T616">
            <v>3.6</v>
          </cell>
          <cell r="Y616">
            <v>41173</v>
          </cell>
          <cell r="AA616">
            <v>257.47000000000003</v>
          </cell>
          <cell r="AF616">
            <v>41173</v>
          </cell>
          <cell r="AH616">
            <v>93.523889999999994</v>
          </cell>
          <cell r="AM616">
            <v>41173</v>
          </cell>
          <cell r="AO616">
            <v>36.093530000000001</v>
          </cell>
          <cell r="AT616">
            <v>41173</v>
          </cell>
          <cell r="AV616">
            <v>34.499049999999997</v>
          </cell>
          <cell r="BA616">
            <v>41173</v>
          </cell>
          <cell r="BC616">
            <v>15.63982</v>
          </cell>
          <cell r="BH616">
            <v>41173</v>
          </cell>
          <cell r="BJ616">
            <v>20.342320000000001</v>
          </cell>
        </row>
        <row r="617">
          <cell r="D617">
            <v>41172</v>
          </cell>
          <cell r="F617">
            <v>190.38348999999999</v>
          </cell>
          <cell r="K617">
            <v>41172</v>
          </cell>
          <cell r="M617">
            <v>17.3156</v>
          </cell>
          <cell r="R617">
            <v>41172</v>
          </cell>
          <cell r="T617">
            <v>3.59</v>
          </cell>
          <cell r="Y617">
            <v>41172</v>
          </cell>
          <cell r="AA617">
            <v>260.81</v>
          </cell>
          <cell r="AF617">
            <v>41172</v>
          </cell>
          <cell r="AH617">
            <v>93.337530000000001</v>
          </cell>
          <cell r="AM617">
            <v>41172</v>
          </cell>
          <cell r="AO617">
            <v>36.037439999999997</v>
          </cell>
          <cell r="AT617">
            <v>41172</v>
          </cell>
          <cell r="AV617">
            <v>35.052410000000002</v>
          </cell>
          <cell r="BA617">
            <v>41172</v>
          </cell>
          <cell r="BC617">
            <v>15.67029</v>
          </cell>
          <cell r="BH617">
            <v>41172</v>
          </cell>
          <cell r="BJ617">
            <v>20.252030000000001</v>
          </cell>
        </row>
        <row r="618">
          <cell r="D618">
            <v>41171</v>
          </cell>
          <cell r="F618">
            <v>190.61433</v>
          </cell>
          <cell r="K618">
            <v>41171</v>
          </cell>
          <cell r="M618">
            <v>17.324660000000002</v>
          </cell>
          <cell r="R618">
            <v>41171</v>
          </cell>
          <cell r="T618">
            <v>3.66</v>
          </cell>
          <cell r="Y618">
            <v>41171</v>
          </cell>
          <cell r="AA618">
            <v>261.68</v>
          </cell>
          <cell r="AF618">
            <v>41171</v>
          </cell>
          <cell r="AH618">
            <v>93.791730000000001</v>
          </cell>
          <cell r="AM618">
            <v>41171</v>
          </cell>
          <cell r="AO618">
            <v>35.785040000000002</v>
          </cell>
          <cell r="AT618">
            <v>41171</v>
          </cell>
          <cell r="AV618">
            <v>34.943559999999998</v>
          </cell>
          <cell r="BA618">
            <v>41171</v>
          </cell>
          <cell r="BC618">
            <v>15.697850000000001</v>
          </cell>
          <cell r="BH618">
            <v>41171</v>
          </cell>
          <cell r="BJ618">
            <v>20.09854</v>
          </cell>
        </row>
        <row r="619">
          <cell r="D619">
            <v>41170</v>
          </cell>
          <cell r="F619">
            <v>191.20529999999999</v>
          </cell>
          <cell r="K619">
            <v>41170</v>
          </cell>
          <cell r="M619">
            <v>17.256710000000002</v>
          </cell>
          <cell r="R619">
            <v>41170</v>
          </cell>
          <cell r="T619">
            <v>3.62</v>
          </cell>
          <cell r="Y619">
            <v>41170</v>
          </cell>
          <cell r="AA619">
            <v>258.75</v>
          </cell>
          <cell r="AF619">
            <v>41170</v>
          </cell>
          <cell r="AH619">
            <v>93.766350000000003</v>
          </cell>
          <cell r="AM619">
            <v>41170</v>
          </cell>
          <cell r="AO619">
            <v>36.08419</v>
          </cell>
          <cell r="AT619">
            <v>41170</v>
          </cell>
          <cell r="AV619">
            <v>35.034269999999999</v>
          </cell>
          <cell r="BA619">
            <v>41170</v>
          </cell>
          <cell r="BC619">
            <v>15.79458</v>
          </cell>
          <cell r="BH619">
            <v>41170</v>
          </cell>
          <cell r="BJ619">
            <v>19.928290000000001</v>
          </cell>
        </row>
        <row r="620">
          <cell r="D620">
            <v>41169</v>
          </cell>
          <cell r="F620">
            <v>191.27916999999999</v>
          </cell>
          <cell r="K620">
            <v>41169</v>
          </cell>
          <cell r="M620">
            <v>17.360910000000001</v>
          </cell>
          <cell r="R620">
            <v>41169</v>
          </cell>
          <cell r="T620">
            <v>4.01</v>
          </cell>
          <cell r="Y620">
            <v>41169</v>
          </cell>
          <cell r="AA620">
            <v>258</v>
          </cell>
          <cell r="AF620">
            <v>41169</v>
          </cell>
          <cell r="AH620">
            <v>93.481939999999994</v>
          </cell>
          <cell r="AM620">
            <v>41169</v>
          </cell>
          <cell r="AO620">
            <v>35.738300000000002</v>
          </cell>
          <cell r="AT620">
            <v>41169</v>
          </cell>
          <cell r="AV620">
            <v>34.789340000000003</v>
          </cell>
          <cell r="BA620">
            <v>41169</v>
          </cell>
          <cell r="BC620">
            <v>16.046050000000001</v>
          </cell>
          <cell r="BH620">
            <v>41169</v>
          </cell>
          <cell r="BJ620">
            <v>19.758040000000001</v>
          </cell>
        </row>
        <row r="621">
          <cell r="D621">
            <v>41166</v>
          </cell>
          <cell r="F621">
            <v>190.96521999999999</v>
          </cell>
          <cell r="K621">
            <v>41166</v>
          </cell>
          <cell r="M621">
            <v>17.65992</v>
          </cell>
          <cell r="R621">
            <v>41166</v>
          </cell>
          <cell r="T621">
            <v>3.9</v>
          </cell>
          <cell r="Y621">
            <v>41166</v>
          </cell>
          <cell r="AA621">
            <v>261.27</v>
          </cell>
          <cell r="AF621">
            <v>41166</v>
          </cell>
          <cell r="AH621">
            <v>92.346310000000003</v>
          </cell>
          <cell r="AM621">
            <v>41166</v>
          </cell>
          <cell r="AO621">
            <v>35.86918</v>
          </cell>
          <cell r="AT621">
            <v>41166</v>
          </cell>
          <cell r="AV621">
            <v>34.580689999999997</v>
          </cell>
          <cell r="BA621">
            <v>41166</v>
          </cell>
          <cell r="BC621">
            <v>15.959</v>
          </cell>
          <cell r="BH621">
            <v>41166</v>
          </cell>
          <cell r="BJ621">
            <v>19.811800000000002</v>
          </cell>
        </row>
        <row r="622">
          <cell r="D622">
            <v>41165</v>
          </cell>
          <cell r="F622">
            <v>190.5497</v>
          </cell>
          <cell r="K622">
            <v>41165</v>
          </cell>
          <cell r="M622">
            <v>17.54213</v>
          </cell>
          <cell r="R622">
            <v>41165</v>
          </cell>
          <cell r="T622">
            <v>3.92</v>
          </cell>
          <cell r="Y622">
            <v>41165</v>
          </cell>
          <cell r="AA622">
            <v>260.24</v>
          </cell>
          <cell r="AF622">
            <v>41165</v>
          </cell>
          <cell r="AH622">
            <v>91.237539999999996</v>
          </cell>
          <cell r="AM622">
            <v>41165</v>
          </cell>
          <cell r="AO622">
            <v>35.326979999999999</v>
          </cell>
          <cell r="AT622">
            <v>41165</v>
          </cell>
          <cell r="AV622">
            <v>34.789340000000003</v>
          </cell>
          <cell r="BA622">
            <v>41165</v>
          </cell>
          <cell r="BC622">
            <v>15.58179</v>
          </cell>
          <cell r="BH622">
            <v>41165</v>
          </cell>
          <cell r="BJ622">
            <v>19.73115</v>
          </cell>
        </row>
        <row r="623">
          <cell r="D623">
            <v>41164</v>
          </cell>
          <cell r="F623">
            <v>188.15813</v>
          </cell>
          <cell r="K623">
            <v>41164</v>
          </cell>
          <cell r="M623">
            <v>17.288419999999999</v>
          </cell>
          <cell r="R623">
            <v>41164</v>
          </cell>
          <cell r="T623">
            <v>3.89</v>
          </cell>
          <cell r="Y623">
            <v>41164</v>
          </cell>
          <cell r="AA623">
            <v>255.63</v>
          </cell>
          <cell r="AF623">
            <v>41164</v>
          </cell>
          <cell r="AH623">
            <v>89.475520000000003</v>
          </cell>
          <cell r="AM623">
            <v>41164</v>
          </cell>
          <cell r="AO623">
            <v>35.289589999999997</v>
          </cell>
          <cell r="AT623">
            <v>41164</v>
          </cell>
          <cell r="AV623">
            <v>34.06362</v>
          </cell>
          <cell r="BA623">
            <v>41164</v>
          </cell>
          <cell r="BC623">
            <v>15.56244</v>
          </cell>
          <cell r="BH623">
            <v>41164</v>
          </cell>
          <cell r="BJ623">
            <v>19.61467</v>
          </cell>
        </row>
        <row r="624">
          <cell r="D624">
            <v>41163</v>
          </cell>
          <cell r="F624">
            <v>187.69644</v>
          </cell>
          <cell r="K624">
            <v>41163</v>
          </cell>
          <cell r="M624">
            <v>17.252179999999999</v>
          </cell>
          <cell r="R624">
            <v>41163</v>
          </cell>
          <cell r="T624">
            <v>3.75</v>
          </cell>
          <cell r="Y624">
            <v>41163</v>
          </cell>
          <cell r="AA624">
            <v>255.67</v>
          </cell>
          <cell r="AF624">
            <v>41163</v>
          </cell>
          <cell r="AH624">
            <v>88.246520000000004</v>
          </cell>
          <cell r="AM624">
            <v>41163</v>
          </cell>
          <cell r="AO624">
            <v>35.62612</v>
          </cell>
          <cell r="AT624">
            <v>41163</v>
          </cell>
          <cell r="AV624">
            <v>34.031869999999998</v>
          </cell>
          <cell r="BA624">
            <v>41163</v>
          </cell>
          <cell r="BC624">
            <v>15.765560000000001</v>
          </cell>
          <cell r="BH624">
            <v>41163</v>
          </cell>
          <cell r="BJ624">
            <v>19.345849999999999</v>
          </cell>
        </row>
        <row r="625">
          <cell r="D625">
            <v>41162</v>
          </cell>
          <cell r="F625">
            <v>185.55418</v>
          </cell>
          <cell r="K625">
            <v>41162</v>
          </cell>
          <cell r="M625">
            <v>17.351849999999999</v>
          </cell>
          <cell r="R625">
            <v>41162</v>
          </cell>
          <cell r="T625">
            <v>3.47</v>
          </cell>
          <cell r="Y625">
            <v>41162</v>
          </cell>
          <cell r="AA625">
            <v>257.08999999999997</v>
          </cell>
          <cell r="AF625">
            <v>41162</v>
          </cell>
          <cell r="AH625">
            <v>88.533730000000006</v>
          </cell>
          <cell r="AM625">
            <v>41162</v>
          </cell>
          <cell r="AO625">
            <v>35.756999999999998</v>
          </cell>
          <cell r="AT625">
            <v>41162</v>
          </cell>
          <cell r="AV625">
            <v>33.932749999999999</v>
          </cell>
          <cell r="BA625">
            <v>41162</v>
          </cell>
          <cell r="BC625">
            <v>15.84294</v>
          </cell>
          <cell r="BH625">
            <v>41162</v>
          </cell>
          <cell r="BJ625">
            <v>19.24728</v>
          </cell>
        </row>
        <row r="626">
          <cell r="D626">
            <v>41159</v>
          </cell>
          <cell r="F626">
            <v>184.21528000000001</v>
          </cell>
          <cell r="K626">
            <v>41159</v>
          </cell>
          <cell r="M626">
            <v>17.72335</v>
          </cell>
          <cell r="R626">
            <v>41159</v>
          </cell>
          <cell r="T626">
            <v>3.45</v>
          </cell>
          <cell r="Y626">
            <v>41159</v>
          </cell>
          <cell r="AA626">
            <v>259.14</v>
          </cell>
          <cell r="AF626">
            <v>41159</v>
          </cell>
          <cell r="AH626">
            <v>90.898229999999998</v>
          </cell>
          <cell r="AM626">
            <v>41159</v>
          </cell>
          <cell r="AO626">
            <v>35.813090000000003</v>
          </cell>
          <cell r="AT626">
            <v>41159</v>
          </cell>
          <cell r="AV626">
            <v>34.149000000000001</v>
          </cell>
          <cell r="BA626">
            <v>41159</v>
          </cell>
          <cell r="BC626">
            <v>16.22982</v>
          </cell>
          <cell r="BH626">
            <v>41159</v>
          </cell>
          <cell r="BJ626">
            <v>19.345849999999999</v>
          </cell>
        </row>
        <row r="627">
          <cell r="D627">
            <v>41158</v>
          </cell>
          <cell r="F627">
            <v>183.84592000000001</v>
          </cell>
          <cell r="K627">
            <v>41158</v>
          </cell>
          <cell r="M627">
            <v>17.872859999999999</v>
          </cell>
          <cell r="R627">
            <v>41158</v>
          </cell>
          <cell r="T627">
            <v>3.66</v>
          </cell>
          <cell r="Y627">
            <v>41158</v>
          </cell>
          <cell r="AA627">
            <v>251.38</v>
          </cell>
          <cell r="AF627">
            <v>41158</v>
          </cell>
          <cell r="AH627">
            <v>90.341170000000005</v>
          </cell>
          <cell r="AM627">
            <v>41158</v>
          </cell>
          <cell r="AO627">
            <v>36.635730000000002</v>
          </cell>
          <cell r="AT627">
            <v>41158</v>
          </cell>
          <cell r="AV627">
            <v>34.37426</v>
          </cell>
          <cell r="BA627">
            <v>41158</v>
          </cell>
          <cell r="BC627">
            <v>15.99769</v>
          </cell>
          <cell r="BH627">
            <v>41158</v>
          </cell>
          <cell r="BJ627">
            <v>19.094950000000001</v>
          </cell>
        </row>
        <row r="628">
          <cell r="D628">
            <v>41157</v>
          </cell>
          <cell r="F628">
            <v>180.09698</v>
          </cell>
          <cell r="K628">
            <v>41157</v>
          </cell>
          <cell r="M628">
            <v>17.125319999999999</v>
          </cell>
          <cell r="R628">
            <v>41157</v>
          </cell>
          <cell r="T628">
            <v>3.51</v>
          </cell>
          <cell r="Y628">
            <v>41157</v>
          </cell>
          <cell r="AA628">
            <v>246.22</v>
          </cell>
          <cell r="AF628">
            <v>41157</v>
          </cell>
          <cell r="AH628">
            <v>89.534300000000002</v>
          </cell>
          <cell r="AM628">
            <v>41157</v>
          </cell>
          <cell r="AO628">
            <v>36.439419999999998</v>
          </cell>
          <cell r="AT628">
            <v>41157</v>
          </cell>
          <cell r="AV628">
            <v>33.797600000000003</v>
          </cell>
          <cell r="BA628">
            <v>41157</v>
          </cell>
          <cell r="BC628">
            <v>15.765560000000001</v>
          </cell>
          <cell r="BH628">
            <v>41157</v>
          </cell>
          <cell r="BJ628">
            <v>18.50356</v>
          </cell>
        </row>
        <row r="629">
          <cell r="D629">
            <v>41156</v>
          </cell>
          <cell r="F629">
            <v>179.63529</v>
          </cell>
          <cell r="K629">
            <v>41156</v>
          </cell>
          <cell r="M629">
            <v>17.211400000000001</v>
          </cell>
          <cell r="R629">
            <v>41156</v>
          </cell>
          <cell r="T629">
            <v>3.64</v>
          </cell>
          <cell r="Y629">
            <v>41156</v>
          </cell>
          <cell r="AA629">
            <v>247.88</v>
          </cell>
          <cell r="AF629">
            <v>41156</v>
          </cell>
          <cell r="AH629">
            <v>90.167500000000004</v>
          </cell>
          <cell r="AM629">
            <v>41156</v>
          </cell>
          <cell r="AO629">
            <v>37.103140000000003</v>
          </cell>
          <cell r="AT629">
            <v>41156</v>
          </cell>
          <cell r="AV629">
            <v>33.590359999999997</v>
          </cell>
          <cell r="BA629">
            <v>41156</v>
          </cell>
          <cell r="BC629">
            <v>15.755890000000001</v>
          </cell>
          <cell r="BH629">
            <v>41156</v>
          </cell>
          <cell r="BJ629">
            <v>18.37811</v>
          </cell>
        </row>
        <row r="630">
          <cell r="D630">
            <v>41152</v>
          </cell>
          <cell r="F630">
            <v>179.92153999999999</v>
          </cell>
          <cell r="K630">
            <v>41152</v>
          </cell>
          <cell r="M630">
            <v>17.288419999999999</v>
          </cell>
          <cell r="R630">
            <v>41152</v>
          </cell>
          <cell r="T630">
            <v>3.72</v>
          </cell>
          <cell r="Y630">
            <v>41152</v>
          </cell>
          <cell r="AA630">
            <v>248.27</v>
          </cell>
          <cell r="AF630">
            <v>41152</v>
          </cell>
          <cell r="AH630">
            <v>88.867699999999999</v>
          </cell>
          <cell r="AM630">
            <v>41152</v>
          </cell>
          <cell r="AO630">
            <v>36.972270000000002</v>
          </cell>
          <cell r="AT630">
            <v>41152</v>
          </cell>
          <cell r="AV630">
            <v>33.69849</v>
          </cell>
          <cell r="BA630">
            <v>41152</v>
          </cell>
          <cell r="BC630">
            <v>15.63015</v>
          </cell>
          <cell r="BH630">
            <v>41152</v>
          </cell>
          <cell r="BJ630">
            <v>18.557320000000001</v>
          </cell>
        </row>
        <row r="631">
          <cell r="D631">
            <v>41151</v>
          </cell>
          <cell r="F631">
            <v>178.55493000000001</v>
          </cell>
          <cell r="K631">
            <v>41151</v>
          </cell>
          <cell r="M631">
            <v>17.125319999999999</v>
          </cell>
          <cell r="R631">
            <v>41151</v>
          </cell>
          <cell r="T631">
            <v>3.7</v>
          </cell>
          <cell r="Y631">
            <v>41151</v>
          </cell>
          <cell r="AA631">
            <v>246.22</v>
          </cell>
          <cell r="AF631">
            <v>41151</v>
          </cell>
          <cell r="AH631">
            <v>88.684420000000003</v>
          </cell>
          <cell r="AM631">
            <v>41151</v>
          </cell>
          <cell r="AO631">
            <v>36.990960000000001</v>
          </cell>
          <cell r="AT631">
            <v>41151</v>
          </cell>
          <cell r="AV631">
            <v>33.464219999999997</v>
          </cell>
          <cell r="BA631">
            <v>41151</v>
          </cell>
          <cell r="BC631">
            <v>15.65917</v>
          </cell>
          <cell r="BH631">
            <v>41151</v>
          </cell>
          <cell r="BJ631">
            <v>18.494599999999998</v>
          </cell>
        </row>
        <row r="632">
          <cell r="D632">
            <v>41150</v>
          </cell>
          <cell r="F632">
            <v>180.13390999999999</v>
          </cell>
          <cell r="K632">
            <v>41150</v>
          </cell>
          <cell r="M632">
            <v>17.39715</v>
          </cell>
          <cell r="R632">
            <v>41150</v>
          </cell>
          <cell r="T632">
            <v>3.77</v>
          </cell>
          <cell r="Y632">
            <v>41150</v>
          </cell>
          <cell r="AA632">
            <v>247.12</v>
          </cell>
          <cell r="AF632">
            <v>41150</v>
          </cell>
          <cell r="AH632">
            <v>89.966589999999997</v>
          </cell>
          <cell r="AM632">
            <v>41150</v>
          </cell>
          <cell r="AO632">
            <v>37.42098</v>
          </cell>
          <cell r="AT632">
            <v>41150</v>
          </cell>
          <cell r="AV632">
            <v>33.752549999999999</v>
          </cell>
          <cell r="BA632">
            <v>41150</v>
          </cell>
          <cell r="BC632">
            <v>16.036380000000001</v>
          </cell>
          <cell r="BH632">
            <v>41150</v>
          </cell>
          <cell r="BJ632">
            <v>18.655889999999999</v>
          </cell>
        </row>
        <row r="633">
          <cell r="D633">
            <v>41149</v>
          </cell>
          <cell r="F633">
            <v>179.94</v>
          </cell>
          <cell r="K633">
            <v>41149</v>
          </cell>
          <cell r="M633">
            <v>17.41527</v>
          </cell>
          <cell r="R633">
            <v>41149</v>
          </cell>
          <cell r="T633">
            <v>3.79</v>
          </cell>
          <cell r="Y633">
            <v>41149</v>
          </cell>
          <cell r="AA633">
            <v>246.11</v>
          </cell>
          <cell r="AF633">
            <v>41149</v>
          </cell>
          <cell r="AH633">
            <v>90.14479</v>
          </cell>
          <cell r="AM633">
            <v>41149</v>
          </cell>
          <cell r="AO633">
            <v>37.009659999999997</v>
          </cell>
          <cell r="AT633">
            <v>41149</v>
          </cell>
          <cell r="AV633">
            <v>34.239100000000001</v>
          </cell>
          <cell r="BA633">
            <v>41149</v>
          </cell>
          <cell r="BC633">
            <v>15.755890000000001</v>
          </cell>
          <cell r="BH633">
            <v>41149</v>
          </cell>
          <cell r="BJ633">
            <v>18.646930000000001</v>
          </cell>
        </row>
        <row r="634">
          <cell r="D634">
            <v>41148</v>
          </cell>
          <cell r="F634">
            <v>180.69718</v>
          </cell>
          <cell r="K634">
            <v>41148</v>
          </cell>
          <cell r="M634">
            <v>17.54213</v>
          </cell>
          <cell r="R634">
            <v>41148</v>
          </cell>
          <cell r="T634">
            <v>3.85</v>
          </cell>
          <cell r="Y634">
            <v>41148</v>
          </cell>
          <cell r="AA634">
            <v>243.92</v>
          </cell>
          <cell r="AF634">
            <v>41148</v>
          </cell>
          <cell r="AH634">
            <v>90.262349999999998</v>
          </cell>
          <cell r="AM634">
            <v>41148</v>
          </cell>
          <cell r="AO634">
            <v>37.196629999999999</v>
          </cell>
          <cell r="AT634">
            <v>41148</v>
          </cell>
          <cell r="AV634">
            <v>34.39228</v>
          </cell>
          <cell r="BA634">
            <v>41148</v>
          </cell>
          <cell r="BC634">
            <v>15.63982</v>
          </cell>
          <cell r="BH634">
            <v>41148</v>
          </cell>
          <cell r="BJ634">
            <v>18.682770000000001</v>
          </cell>
        </row>
        <row r="635">
          <cell r="D635">
            <v>41145</v>
          </cell>
          <cell r="F635">
            <v>182.61781999999999</v>
          </cell>
          <cell r="K635">
            <v>41145</v>
          </cell>
          <cell r="M635">
            <v>17.39715</v>
          </cell>
          <cell r="R635">
            <v>41145</v>
          </cell>
          <cell r="T635">
            <v>3.94</v>
          </cell>
          <cell r="Y635">
            <v>41145</v>
          </cell>
          <cell r="AA635">
            <v>245.74</v>
          </cell>
          <cell r="AF635">
            <v>41145</v>
          </cell>
          <cell r="AH635">
            <v>88.598119999999994</v>
          </cell>
          <cell r="AM635">
            <v>41145</v>
          </cell>
          <cell r="AO635">
            <v>37.131189999999997</v>
          </cell>
          <cell r="AT635">
            <v>41145</v>
          </cell>
          <cell r="AV635">
            <v>34.662590000000002</v>
          </cell>
          <cell r="BA635">
            <v>41145</v>
          </cell>
          <cell r="BC635">
            <v>16.09441</v>
          </cell>
          <cell r="BH635">
            <v>41145</v>
          </cell>
          <cell r="BJ635">
            <v>18.637969999999999</v>
          </cell>
        </row>
        <row r="636">
          <cell r="D636">
            <v>41144</v>
          </cell>
          <cell r="F636">
            <v>180.70641000000001</v>
          </cell>
          <cell r="K636">
            <v>41144</v>
          </cell>
          <cell r="M636">
            <v>17.3292</v>
          </cell>
          <cell r="R636">
            <v>41144</v>
          </cell>
          <cell r="T636">
            <v>3.9</v>
          </cell>
          <cell r="Y636">
            <v>41144</v>
          </cell>
          <cell r="AA636">
            <v>241.19800000000001</v>
          </cell>
          <cell r="AF636">
            <v>41144</v>
          </cell>
          <cell r="AH636">
            <v>88.519030000000001</v>
          </cell>
          <cell r="AM636">
            <v>41144</v>
          </cell>
          <cell r="AO636">
            <v>36.972270000000002</v>
          </cell>
          <cell r="AT636">
            <v>41144</v>
          </cell>
          <cell r="AV636">
            <v>34.33822</v>
          </cell>
          <cell r="BA636">
            <v>41144</v>
          </cell>
          <cell r="BC636">
            <v>16.08474</v>
          </cell>
          <cell r="BH636">
            <v>41144</v>
          </cell>
          <cell r="BJ636">
            <v>18.494599999999998</v>
          </cell>
        </row>
        <row r="637">
          <cell r="D637">
            <v>41143</v>
          </cell>
          <cell r="F637">
            <v>182.13766000000001</v>
          </cell>
          <cell r="K637">
            <v>41143</v>
          </cell>
          <cell r="M637">
            <v>17.414370000000002</v>
          </cell>
          <cell r="R637">
            <v>41143</v>
          </cell>
          <cell r="T637">
            <v>4.01</v>
          </cell>
          <cell r="Y637">
            <v>41143</v>
          </cell>
          <cell r="AA637">
            <v>243.1</v>
          </cell>
          <cell r="AF637">
            <v>41143</v>
          </cell>
          <cell r="AH637">
            <v>89.352620000000002</v>
          </cell>
          <cell r="AM637">
            <v>41143</v>
          </cell>
          <cell r="AO637">
            <v>37.037709999999997</v>
          </cell>
          <cell r="AT637">
            <v>41143</v>
          </cell>
          <cell r="AV637">
            <v>34.932899999999997</v>
          </cell>
          <cell r="BA637">
            <v>41143</v>
          </cell>
          <cell r="BC637">
            <v>16.142769999999999</v>
          </cell>
          <cell r="BH637">
            <v>41143</v>
          </cell>
          <cell r="BJ637">
            <v>18.620049999999999</v>
          </cell>
        </row>
        <row r="638">
          <cell r="D638">
            <v>41142</v>
          </cell>
          <cell r="F638">
            <v>183.43039999999999</v>
          </cell>
          <cell r="K638">
            <v>41142</v>
          </cell>
          <cell r="M638">
            <v>17.360910000000001</v>
          </cell>
          <cell r="R638">
            <v>41142</v>
          </cell>
          <cell r="T638">
            <v>4.07</v>
          </cell>
          <cell r="Y638">
            <v>41142</v>
          </cell>
          <cell r="AA638">
            <v>239.45</v>
          </cell>
          <cell r="AF638">
            <v>41142</v>
          </cell>
          <cell r="AH638">
            <v>87.641630000000006</v>
          </cell>
          <cell r="AM638">
            <v>41142</v>
          </cell>
          <cell r="AO638">
            <v>37.262059999999998</v>
          </cell>
          <cell r="AT638">
            <v>41142</v>
          </cell>
          <cell r="AV638">
            <v>35.374400000000001</v>
          </cell>
          <cell r="BA638">
            <v>41142</v>
          </cell>
          <cell r="BC638">
            <v>16.171790000000001</v>
          </cell>
          <cell r="BH638">
            <v>41142</v>
          </cell>
          <cell r="BJ638">
            <v>18.682770000000001</v>
          </cell>
        </row>
        <row r="639">
          <cell r="D639">
            <v>41141</v>
          </cell>
          <cell r="F639">
            <v>185.13865999999999</v>
          </cell>
          <cell r="K639">
            <v>41141</v>
          </cell>
          <cell r="M639">
            <v>17.161570000000001</v>
          </cell>
          <cell r="R639">
            <v>41141</v>
          </cell>
          <cell r="T639">
            <v>4.09</v>
          </cell>
          <cell r="Y639">
            <v>41141</v>
          </cell>
          <cell r="AA639">
            <v>240.35</v>
          </cell>
          <cell r="AF639">
            <v>41141</v>
          </cell>
          <cell r="AH639">
            <v>88.855670000000003</v>
          </cell>
          <cell r="AM639">
            <v>41141</v>
          </cell>
          <cell r="AO639">
            <v>37.44903</v>
          </cell>
          <cell r="AT639">
            <v>41141</v>
          </cell>
          <cell r="AV639">
            <v>35.56362</v>
          </cell>
          <cell r="BA639">
            <v>41141</v>
          </cell>
          <cell r="BC639">
            <v>16.39425</v>
          </cell>
          <cell r="BH639">
            <v>41141</v>
          </cell>
          <cell r="BJ639">
            <v>18.754449999999999</v>
          </cell>
        </row>
        <row r="640">
          <cell r="D640">
            <v>41138</v>
          </cell>
          <cell r="F640">
            <v>185.80350000000001</v>
          </cell>
          <cell r="K640">
            <v>41138</v>
          </cell>
          <cell r="M640">
            <v>17.270299999999999</v>
          </cell>
          <cell r="R640">
            <v>41138</v>
          </cell>
          <cell r="T640">
            <v>4.0999999999999996</v>
          </cell>
          <cell r="Y640">
            <v>41138</v>
          </cell>
          <cell r="AA640">
            <v>241.17</v>
          </cell>
          <cell r="AF640">
            <v>41138</v>
          </cell>
          <cell r="AH640">
            <v>86.579340000000002</v>
          </cell>
          <cell r="AM640">
            <v>41138</v>
          </cell>
          <cell r="AO640">
            <v>37.112490000000001</v>
          </cell>
          <cell r="AT640">
            <v>41138</v>
          </cell>
          <cell r="AV640">
            <v>35.61768</v>
          </cell>
          <cell r="BA640">
            <v>41138</v>
          </cell>
          <cell r="BC640">
            <v>16.51999</v>
          </cell>
          <cell r="BH640">
            <v>41138</v>
          </cell>
          <cell r="BJ640">
            <v>18.81718</v>
          </cell>
        </row>
        <row r="641">
          <cell r="D641">
            <v>41137</v>
          </cell>
          <cell r="F641">
            <v>185.45260999999999</v>
          </cell>
          <cell r="K641">
            <v>41137</v>
          </cell>
          <cell r="M641">
            <v>17.23405</v>
          </cell>
          <cell r="R641">
            <v>41137</v>
          </cell>
          <cell r="T641">
            <v>4.17</v>
          </cell>
          <cell r="Y641">
            <v>41137</v>
          </cell>
          <cell r="AA641">
            <v>241.55</v>
          </cell>
          <cell r="AF641">
            <v>41137</v>
          </cell>
          <cell r="AH641">
            <v>85.007019999999997</v>
          </cell>
          <cell r="AM641">
            <v>41137</v>
          </cell>
          <cell r="AO641">
            <v>37.271410000000003</v>
          </cell>
          <cell r="AT641">
            <v>41137</v>
          </cell>
          <cell r="AV641">
            <v>35.6357</v>
          </cell>
          <cell r="BA641">
            <v>41137</v>
          </cell>
          <cell r="BC641">
            <v>15.620480000000001</v>
          </cell>
          <cell r="BH641">
            <v>41137</v>
          </cell>
          <cell r="BJ641">
            <v>18.861979999999999</v>
          </cell>
        </row>
        <row r="642">
          <cell r="D642">
            <v>41136</v>
          </cell>
          <cell r="F642">
            <v>183.19954999999999</v>
          </cell>
          <cell r="K642">
            <v>41136</v>
          </cell>
          <cell r="M642">
            <v>15.72086</v>
          </cell>
          <cell r="R642">
            <v>41136</v>
          </cell>
          <cell r="T642">
            <v>4.1900000000000004</v>
          </cell>
          <cell r="Y642">
            <v>41136</v>
          </cell>
          <cell r="AA642">
            <v>237.42</v>
          </cell>
          <cell r="AF642">
            <v>41136</v>
          </cell>
          <cell r="AH642">
            <v>84.270949999999999</v>
          </cell>
          <cell r="AM642">
            <v>41136</v>
          </cell>
          <cell r="AO642">
            <v>37.215319999999998</v>
          </cell>
          <cell r="AT642">
            <v>41136</v>
          </cell>
          <cell r="AV642">
            <v>35.455489999999998</v>
          </cell>
          <cell r="BA642">
            <v>41136</v>
          </cell>
          <cell r="BC642">
            <v>15.543100000000001</v>
          </cell>
          <cell r="BH642">
            <v>41136</v>
          </cell>
          <cell r="BJ642">
            <v>18.78134</v>
          </cell>
        </row>
        <row r="643">
          <cell r="D643">
            <v>41135</v>
          </cell>
          <cell r="F643">
            <v>183.09798000000001</v>
          </cell>
          <cell r="K643">
            <v>41135</v>
          </cell>
          <cell r="M643">
            <v>15.55777</v>
          </cell>
          <cell r="R643">
            <v>41135</v>
          </cell>
          <cell r="T643">
            <v>4.12</v>
          </cell>
          <cell r="Y643">
            <v>41135</v>
          </cell>
          <cell r="AA643">
            <v>233.19</v>
          </cell>
          <cell r="AF643">
            <v>41135</v>
          </cell>
          <cell r="AH643">
            <v>84.385840000000002</v>
          </cell>
          <cell r="AM643">
            <v>41135</v>
          </cell>
          <cell r="AO643">
            <v>37.177930000000003</v>
          </cell>
          <cell r="AT643">
            <v>41135</v>
          </cell>
          <cell r="AV643">
            <v>35.482520000000001</v>
          </cell>
          <cell r="BA643">
            <v>41135</v>
          </cell>
          <cell r="BC643">
            <v>15.26261</v>
          </cell>
          <cell r="BH643">
            <v>41135</v>
          </cell>
          <cell r="BJ643">
            <v>18.76341</v>
          </cell>
        </row>
        <row r="644">
          <cell r="D644">
            <v>41134</v>
          </cell>
          <cell r="F644">
            <v>183.76282</v>
          </cell>
          <cell r="K644">
            <v>41134</v>
          </cell>
          <cell r="M644">
            <v>15.7118</v>
          </cell>
          <cell r="R644">
            <v>41134</v>
          </cell>
          <cell r="T644">
            <v>4.26</v>
          </cell>
          <cell r="Y644">
            <v>41134</v>
          </cell>
          <cell r="AA644">
            <v>232.44</v>
          </cell>
          <cell r="AF644">
            <v>41134</v>
          </cell>
          <cell r="AH644">
            <v>84.160079999999994</v>
          </cell>
          <cell r="AM644">
            <v>41134</v>
          </cell>
          <cell r="AO644">
            <v>37.37424</v>
          </cell>
          <cell r="AT644">
            <v>41134</v>
          </cell>
          <cell r="AV644">
            <v>35.410440000000001</v>
          </cell>
          <cell r="BA644">
            <v>41134</v>
          </cell>
          <cell r="BC644">
            <v>15.1272</v>
          </cell>
          <cell r="BH644">
            <v>41134</v>
          </cell>
          <cell r="BJ644">
            <v>18.808219999999999</v>
          </cell>
        </row>
        <row r="645">
          <cell r="D645">
            <v>41131</v>
          </cell>
          <cell r="F645">
            <v>184.02135999999999</v>
          </cell>
          <cell r="K645">
            <v>41131</v>
          </cell>
          <cell r="M645">
            <v>15.89302</v>
          </cell>
          <cell r="R645">
            <v>41131</v>
          </cell>
          <cell r="T645">
            <v>4.34</v>
          </cell>
          <cell r="Y645">
            <v>41131</v>
          </cell>
          <cell r="AA645">
            <v>232.75</v>
          </cell>
          <cell r="AF645">
            <v>41131</v>
          </cell>
          <cell r="AH645">
            <v>83.051299999999998</v>
          </cell>
          <cell r="AM645">
            <v>41131</v>
          </cell>
          <cell r="AO645">
            <v>37.645339999999997</v>
          </cell>
          <cell r="AT645">
            <v>41131</v>
          </cell>
          <cell r="AV645">
            <v>35.496040000000001</v>
          </cell>
          <cell r="BA645">
            <v>41131</v>
          </cell>
          <cell r="BC645">
            <v>15.80425</v>
          </cell>
          <cell r="BH645">
            <v>41131</v>
          </cell>
          <cell r="BJ645">
            <v>18.906780000000001</v>
          </cell>
        </row>
        <row r="646">
          <cell r="D646">
            <v>41130</v>
          </cell>
          <cell r="F646">
            <v>183.21802</v>
          </cell>
          <cell r="K646">
            <v>41130</v>
          </cell>
          <cell r="M646">
            <v>16.038</v>
          </cell>
          <cell r="R646">
            <v>41130</v>
          </cell>
          <cell r="T646">
            <v>4.37</v>
          </cell>
          <cell r="Y646">
            <v>41130</v>
          </cell>
          <cell r="AA646">
            <v>234.06</v>
          </cell>
          <cell r="AF646">
            <v>41130</v>
          </cell>
          <cell r="AH646">
            <v>82.921719999999993</v>
          </cell>
          <cell r="AM646">
            <v>41130</v>
          </cell>
          <cell r="AO646">
            <v>37.579900000000002</v>
          </cell>
          <cell r="AT646">
            <v>41130</v>
          </cell>
          <cell r="AV646">
            <v>35.698770000000003</v>
          </cell>
          <cell r="BA646">
            <v>41130</v>
          </cell>
          <cell r="BC646">
            <v>15.252940000000001</v>
          </cell>
          <cell r="BH646">
            <v>41130</v>
          </cell>
          <cell r="BJ646">
            <v>18.870940000000001</v>
          </cell>
        </row>
        <row r="647">
          <cell r="D647">
            <v>41129</v>
          </cell>
          <cell r="F647">
            <v>183.78128000000001</v>
          </cell>
          <cell r="K647">
            <v>41129</v>
          </cell>
          <cell r="M647">
            <v>15.54871</v>
          </cell>
          <cell r="R647">
            <v>41129</v>
          </cell>
          <cell r="T647">
            <v>4.4000000000000004</v>
          </cell>
          <cell r="Y647">
            <v>41129</v>
          </cell>
          <cell r="AA647">
            <v>234.38</v>
          </cell>
          <cell r="AF647">
            <v>41129</v>
          </cell>
          <cell r="AH647">
            <v>82.451490000000007</v>
          </cell>
          <cell r="AM647">
            <v>41129</v>
          </cell>
          <cell r="AO647">
            <v>37.159230000000001</v>
          </cell>
          <cell r="AT647">
            <v>41129</v>
          </cell>
          <cell r="AV647">
            <v>35.842930000000003</v>
          </cell>
          <cell r="BA647">
            <v>41129</v>
          </cell>
          <cell r="BC647">
            <v>15.330310000000001</v>
          </cell>
          <cell r="BH647">
            <v>41129</v>
          </cell>
          <cell r="BJ647">
            <v>18.826139999999999</v>
          </cell>
        </row>
        <row r="648">
          <cell r="D648">
            <v>41128</v>
          </cell>
          <cell r="F648">
            <v>183.82745</v>
          </cell>
          <cell r="K648">
            <v>41128</v>
          </cell>
          <cell r="M648">
            <v>15.53058</v>
          </cell>
          <cell r="R648">
            <v>41128</v>
          </cell>
          <cell r="T648">
            <v>4.0199999999999996</v>
          </cell>
          <cell r="Y648">
            <v>41128</v>
          </cell>
          <cell r="AA648">
            <v>236.56</v>
          </cell>
          <cell r="AF648">
            <v>41128</v>
          </cell>
          <cell r="AH648">
            <v>82.59169</v>
          </cell>
          <cell r="AM648">
            <v>41128</v>
          </cell>
          <cell r="AO648">
            <v>37.075099999999999</v>
          </cell>
          <cell r="AT648">
            <v>41128</v>
          </cell>
          <cell r="AV648">
            <v>35.937539999999998</v>
          </cell>
          <cell r="BA648">
            <v>41128</v>
          </cell>
          <cell r="BC648">
            <v>15.301299999999999</v>
          </cell>
          <cell r="BH648">
            <v>41128</v>
          </cell>
          <cell r="BJ648">
            <v>18.924700000000001</v>
          </cell>
        </row>
        <row r="649">
          <cell r="D649">
            <v>41127</v>
          </cell>
          <cell r="F649">
            <v>182.75169</v>
          </cell>
          <cell r="K649">
            <v>41127</v>
          </cell>
          <cell r="M649">
            <v>15.12284</v>
          </cell>
          <cell r="R649">
            <v>41127</v>
          </cell>
          <cell r="T649">
            <v>4.01</v>
          </cell>
          <cell r="Y649">
            <v>41127</v>
          </cell>
          <cell r="AA649">
            <v>233.99</v>
          </cell>
          <cell r="AF649">
            <v>41127</v>
          </cell>
          <cell r="AH649">
            <v>82.809309999999996</v>
          </cell>
          <cell r="AM649">
            <v>41127</v>
          </cell>
          <cell r="AO649">
            <v>36.57029</v>
          </cell>
          <cell r="AT649">
            <v>41127</v>
          </cell>
          <cell r="AV649">
            <v>36.32949</v>
          </cell>
          <cell r="BA649">
            <v>41127</v>
          </cell>
          <cell r="BC649">
            <v>15.310969999999999</v>
          </cell>
          <cell r="BH649">
            <v>41127</v>
          </cell>
          <cell r="BJ649">
            <v>18.790299999999998</v>
          </cell>
        </row>
        <row r="650">
          <cell r="D650">
            <v>41124</v>
          </cell>
          <cell r="F650">
            <v>182.53102000000001</v>
          </cell>
          <cell r="K650">
            <v>41124</v>
          </cell>
          <cell r="M650">
            <v>14.81476</v>
          </cell>
          <cell r="R650">
            <v>41124</v>
          </cell>
          <cell r="T650">
            <v>4.09</v>
          </cell>
          <cell r="Y650">
            <v>41124</v>
          </cell>
          <cell r="AA650">
            <v>234.97</v>
          </cell>
          <cell r="AF650">
            <v>41124</v>
          </cell>
          <cell r="AH650">
            <v>81.898150000000001</v>
          </cell>
          <cell r="AM650">
            <v>41124</v>
          </cell>
          <cell r="AO650">
            <v>36.682470000000002</v>
          </cell>
          <cell r="AT650">
            <v>41124</v>
          </cell>
          <cell r="AV650">
            <v>36.415089999999999</v>
          </cell>
          <cell r="BA650">
            <v>41124</v>
          </cell>
          <cell r="BC650">
            <v>15.06917</v>
          </cell>
          <cell r="BH650">
            <v>41124</v>
          </cell>
          <cell r="BJ650">
            <v>18.78134</v>
          </cell>
        </row>
        <row r="651">
          <cell r="D651">
            <v>41123</v>
          </cell>
          <cell r="F651">
            <v>178.78881999999999</v>
          </cell>
          <cell r="K651">
            <v>41123</v>
          </cell>
          <cell r="M651">
            <v>14.262040000000001</v>
          </cell>
          <cell r="R651">
            <v>41123</v>
          </cell>
          <cell r="T651">
            <v>3.97</v>
          </cell>
          <cell r="Y651">
            <v>41123</v>
          </cell>
          <cell r="AA651">
            <v>230.81</v>
          </cell>
          <cell r="AF651">
            <v>41123</v>
          </cell>
          <cell r="AH651">
            <v>80.84599</v>
          </cell>
          <cell r="AM651">
            <v>41123</v>
          </cell>
          <cell r="AO651">
            <v>38.224930000000001</v>
          </cell>
          <cell r="AT651">
            <v>41123</v>
          </cell>
          <cell r="AV651">
            <v>35.928530000000002</v>
          </cell>
          <cell r="BA651">
            <v>41123</v>
          </cell>
          <cell r="BC651">
            <v>14.798349999999999</v>
          </cell>
          <cell r="BH651">
            <v>41123</v>
          </cell>
          <cell r="BJ651">
            <v>18.387070000000001</v>
          </cell>
        </row>
        <row r="652">
          <cell r="D652">
            <v>41122</v>
          </cell>
          <cell r="F652">
            <v>179.46001999999999</v>
          </cell>
          <cell r="K652">
            <v>41122</v>
          </cell>
          <cell r="M652">
            <v>14.479509999999999</v>
          </cell>
          <cell r="R652">
            <v>41122</v>
          </cell>
          <cell r="T652">
            <v>4.05</v>
          </cell>
          <cell r="Y652">
            <v>41122</v>
          </cell>
          <cell r="AA652">
            <v>232.09</v>
          </cell>
          <cell r="AF652">
            <v>41122</v>
          </cell>
          <cell r="AH652">
            <v>80.715630000000004</v>
          </cell>
          <cell r="AM652">
            <v>41122</v>
          </cell>
          <cell r="AO652">
            <v>39.758040000000001</v>
          </cell>
          <cell r="AT652">
            <v>41122</v>
          </cell>
          <cell r="AV652">
            <v>36.496180000000003</v>
          </cell>
          <cell r="BA652">
            <v>41122</v>
          </cell>
          <cell r="BC652">
            <v>15.20458</v>
          </cell>
          <cell r="BH652">
            <v>41122</v>
          </cell>
          <cell r="BJ652">
            <v>18.575240000000001</v>
          </cell>
        </row>
        <row r="653">
          <cell r="D653">
            <v>41121</v>
          </cell>
          <cell r="F653">
            <v>180.19559000000001</v>
          </cell>
          <cell r="K653">
            <v>41121</v>
          </cell>
          <cell r="M653">
            <v>14.45232</v>
          </cell>
          <cell r="R653">
            <v>41121</v>
          </cell>
          <cell r="T653">
            <v>4.0599999999999996</v>
          </cell>
          <cell r="Y653">
            <v>41121</v>
          </cell>
          <cell r="AA653">
            <v>233.3</v>
          </cell>
          <cell r="AF653">
            <v>41121</v>
          </cell>
          <cell r="AH653">
            <v>81.241050000000001</v>
          </cell>
          <cell r="AM653">
            <v>41121</v>
          </cell>
          <cell r="AO653">
            <v>40.28154</v>
          </cell>
          <cell r="AT653">
            <v>41121</v>
          </cell>
          <cell r="AV653">
            <v>36.40157</v>
          </cell>
          <cell r="BA653">
            <v>41121</v>
          </cell>
          <cell r="BC653">
            <v>16.162120000000002</v>
          </cell>
          <cell r="BH653">
            <v>41121</v>
          </cell>
          <cell r="BJ653">
            <v>18.593160000000001</v>
          </cell>
        </row>
        <row r="654">
          <cell r="D654">
            <v>41120</v>
          </cell>
          <cell r="F654">
            <v>180.83921000000001</v>
          </cell>
          <cell r="K654">
            <v>41120</v>
          </cell>
          <cell r="M654">
            <v>14.37983</v>
          </cell>
          <cell r="R654">
            <v>41120</v>
          </cell>
          <cell r="T654">
            <v>4.0999999999999996</v>
          </cell>
          <cell r="Y654">
            <v>41120</v>
          </cell>
          <cell r="AA654">
            <v>236.09</v>
          </cell>
          <cell r="AF654">
            <v>41120</v>
          </cell>
          <cell r="AH654">
            <v>79.148700000000005</v>
          </cell>
          <cell r="AM654">
            <v>41120</v>
          </cell>
          <cell r="AO654">
            <v>40.487200000000001</v>
          </cell>
          <cell r="AT654">
            <v>41120</v>
          </cell>
          <cell r="AV654">
            <v>36.545740000000002</v>
          </cell>
          <cell r="BA654">
            <v>41120</v>
          </cell>
          <cell r="BC654">
            <v>16.578019999999999</v>
          </cell>
          <cell r="BH654">
            <v>41120</v>
          </cell>
          <cell r="BJ654">
            <v>18.637969999999999</v>
          </cell>
        </row>
        <row r="655">
          <cell r="D655">
            <v>41117</v>
          </cell>
          <cell r="F655">
            <v>180.57257000000001</v>
          </cell>
          <cell r="K655">
            <v>41117</v>
          </cell>
          <cell r="M655">
            <v>14.21674</v>
          </cell>
          <cell r="R655">
            <v>41117</v>
          </cell>
          <cell r="T655">
            <v>4.09</v>
          </cell>
          <cell r="Y655">
            <v>41117</v>
          </cell>
          <cell r="AA655">
            <v>237.32</v>
          </cell>
          <cell r="AF655">
            <v>41117</v>
          </cell>
          <cell r="AH655">
            <v>77.835830000000001</v>
          </cell>
          <cell r="AM655">
            <v>41117</v>
          </cell>
          <cell r="AO655">
            <v>39.58043</v>
          </cell>
          <cell r="AT655">
            <v>41117</v>
          </cell>
          <cell r="AV655">
            <v>36.045670000000001</v>
          </cell>
          <cell r="BA655">
            <v>41117</v>
          </cell>
          <cell r="BC655">
            <v>16.887530000000002</v>
          </cell>
          <cell r="BH655">
            <v>41117</v>
          </cell>
          <cell r="BJ655">
            <v>18.74549</v>
          </cell>
        </row>
        <row r="656">
          <cell r="D656">
            <v>41116</v>
          </cell>
          <cell r="F656">
            <v>178.32909000000001</v>
          </cell>
          <cell r="K656">
            <v>41116</v>
          </cell>
          <cell r="M656">
            <v>13.935840000000001</v>
          </cell>
          <cell r="R656">
            <v>41116</v>
          </cell>
          <cell r="T656">
            <v>4.04</v>
          </cell>
          <cell r="Y656">
            <v>41116</v>
          </cell>
          <cell r="AA656">
            <v>220.01</v>
          </cell>
          <cell r="AF656">
            <v>41116</v>
          </cell>
          <cell r="AH656">
            <v>76.468419999999995</v>
          </cell>
          <cell r="AM656">
            <v>41116</v>
          </cell>
          <cell r="AO656">
            <v>39.328020000000002</v>
          </cell>
          <cell r="AT656">
            <v>41116</v>
          </cell>
          <cell r="AV656">
            <v>35.523069999999997</v>
          </cell>
          <cell r="BA656">
            <v>41116</v>
          </cell>
          <cell r="BC656">
            <v>15.85261</v>
          </cell>
          <cell r="BH656">
            <v>41116</v>
          </cell>
          <cell r="BJ656">
            <v>18.422910000000002</v>
          </cell>
        </row>
        <row r="657">
          <cell r="D657">
            <v>41115</v>
          </cell>
          <cell r="F657">
            <v>175.69023999999999</v>
          </cell>
          <cell r="K657">
            <v>41115</v>
          </cell>
          <cell r="M657">
            <v>13.97209</v>
          </cell>
          <cell r="R657">
            <v>41115</v>
          </cell>
          <cell r="T657">
            <v>4.01</v>
          </cell>
          <cell r="Y657">
            <v>41115</v>
          </cell>
          <cell r="AA657">
            <v>217.05</v>
          </cell>
          <cell r="AF657">
            <v>41115</v>
          </cell>
          <cell r="AH657">
            <v>76.48039</v>
          </cell>
          <cell r="AM657">
            <v>41115</v>
          </cell>
          <cell r="AO657">
            <v>39.38411</v>
          </cell>
          <cell r="AT657">
            <v>41115</v>
          </cell>
          <cell r="AV657">
            <v>34.698630000000001</v>
          </cell>
          <cell r="BA657">
            <v>41115</v>
          </cell>
          <cell r="BC657">
            <v>15.51408</v>
          </cell>
          <cell r="BH657">
            <v>41115</v>
          </cell>
          <cell r="BJ657">
            <v>17.921119999999998</v>
          </cell>
        </row>
        <row r="658">
          <cell r="D658">
            <v>41114</v>
          </cell>
          <cell r="F658">
            <v>175.00984</v>
          </cell>
          <cell r="K658">
            <v>41114</v>
          </cell>
          <cell r="M658">
            <v>13.70026</v>
          </cell>
          <cell r="R658">
            <v>41114</v>
          </cell>
          <cell r="T658">
            <v>4.0599999999999996</v>
          </cell>
          <cell r="Y658">
            <v>41114</v>
          </cell>
          <cell r="AA658">
            <v>223.04</v>
          </cell>
          <cell r="AF658">
            <v>41114</v>
          </cell>
          <cell r="AH658">
            <v>79.932169999999999</v>
          </cell>
          <cell r="AM658">
            <v>41114</v>
          </cell>
          <cell r="AO658">
            <v>39.41216</v>
          </cell>
          <cell r="AT658">
            <v>41114</v>
          </cell>
          <cell r="AV658">
            <v>34.536439999999999</v>
          </cell>
          <cell r="BA658">
            <v>41114</v>
          </cell>
          <cell r="BC658">
            <v>15.23359</v>
          </cell>
          <cell r="BH658">
            <v>41114</v>
          </cell>
          <cell r="BJ658">
            <v>17.89424</v>
          </cell>
        </row>
        <row r="659">
          <cell r="D659">
            <v>41113</v>
          </cell>
          <cell r="F659">
            <v>175.46037999999999</v>
          </cell>
          <cell r="K659">
            <v>41113</v>
          </cell>
          <cell r="M659">
            <v>14.56105</v>
          </cell>
          <cell r="R659">
            <v>41113</v>
          </cell>
          <cell r="T659">
            <v>4.1500000000000004</v>
          </cell>
          <cell r="Y659">
            <v>41113</v>
          </cell>
          <cell r="AA659">
            <v>226.01</v>
          </cell>
          <cell r="AF659">
            <v>41113</v>
          </cell>
          <cell r="AH659">
            <v>80.319239999999994</v>
          </cell>
          <cell r="AM659">
            <v>41113</v>
          </cell>
          <cell r="AO659">
            <v>39.711300000000001</v>
          </cell>
          <cell r="AT659">
            <v>41113</v>
          </cell>
          <cell r="AV659">
            <v>34.635559999999998</v>
          </cell>
          <cell r="BA659">
            <v>41113</v>
          </cell>
          <cell r="BC659">
            <v>15.765560000000001</v>
          </cell>
          <cell r="BH659">
            <v>41113</v>
          </cell>
          <cell r="BJ659">
            <v>18.00177</v>
          </cell>
        </row>
        <row r="660">
          <cell r="D660">
            <v>41110</v>
          </cell>
          <cell r="F660">
            <v>176.94990000000001</v>
          </cell>
          <cell r="K660">
            <v>41110</v>
          </cell>
          <cell r="M660">
            <v>14.82382</v>
          </cell>
          <cell r="R660">
            <v>41110</v>
          </cell>
          <cell r="T660">
            <v>4.22</v>
          </cell>
          <cell r="Y660">
            <v>41110</v>
          </cell>
          <cell r="AA660">
            <v>228.29</v>
          </cell>
          <cell r="AF660">
            <v>41110</v>
          </cell>
          <cell r="AH660">
            <v>80.38176</v>
          </cell>
          <cell r="AM660">
            <v>41110</v>
          </cell>
          <cell r="AO660">
            <v>40.290889999999997</v>
          </cell>
          <cell r="AT660">
            <v>41110</v>
          </cell>
          <cell r="AV660">
            <v>34.703130000000002</v>
          </cell>
          <cell r="BA660">
            <v>41110</v>
          </cell>
          <cell r="BC660">
            <v>16.326540000000001</v>
          </cell>
          <cell r="BH660">
            <v>41110</v>
          </cell>
          <cell r="BJ660">
            <v>17.80463</v>
          </cell>
        </row>
        <row r="661">
          <cell r="D661">
            <v>41109</v>
          </cell>
          <cell r="F661">
            <v>179.60713999999999</v>
          </cell>
          <cell r="K661">
            <v>41109</v>
          </cell>
          <cell r="M661">
            <v>15.109249999999999</v>
          </cell>
          <cell r="R661">
            <v>41109</v>
          </cell>
          <cell r="T661">
            <v>4.8600000000000003</v>
          </cell>
          <cell r="Y661">
            <v>41109</v>
          </cell>
          <cell r="AA661">
            <v>226.17</v>
          </cell>
          <cell r="AF661">
            <v>41109</v>
          </cell>
          <cell r="AH661">
            <v>81.714579999999998</v>
          </cell>
          <cell r="AM661">
            <v>41109</v>
          </cell>
          <cell r="AO661">
            <v>40.664819999999999</v>
          </cell>
          <cell r="AT661">
            <v>41109</v>
          </cell>
          <cell r="AV661">
            <v>34.937399999999997</v>
          </cell>
          <cell r="BA661">
            <v>41109</v>
          </cell>
          <cell r="BC661">
            <v>16.403919999999999</v>
          </cell>
          <cell r="BH661">
            <v>41109</v>
          </cell>
          <cell r="BJ661">
            <v>17.741910000000001</v>
          </cell>
        </row>
        <row r="662">
          <cell r="D662">
            <v>41108</v>
          </cell>
          <cell r="F662">
            <v>173.08816999999999</v>
          </cell>
          <cell r="K662">
            <v>41108</v>
          </cell>
          <cell r="M662">
            <v>15.1319</v>
          </cell>
          <cell r="R662">
            <v>41108</v>
          </cell>
          <cell r="T662">
            <v>4.8899999999999997</v>
          </cell>
          <cell r="Y662">
            <v>41108</v>
          </cell>
          <cell r="AA662">
            <v>217.47</v>
          </cell>
          <cell r="AF662">
            <v>41108</v>
          </cell>
          <cell r="AH662">
            <v>80.642470000000003</v>
          </cell>
          <cell r="AM662">
            <v>41108</v>
          </cell>
          <cell r="AO662">
            <v>40.253500000000003</v>
          </cell>
          <cell r="AT662">
            <v>41108</v>
          </cell>
          <cell r="AV662">
            <v>34.887839999999997</v>
          </cell>
          <cell r="BA662">
            <v>41108</v>
          </cell>
          <cell r="BC662">
            <v>16.67474</v>
          </cell>
          <cell r="BH662">
            <v>41108</v>
          </cell>
          <cell r="BJ662">
            <v>17.777750000000001</v>
          </cell>
        </row>
        <row r="663">
          <cell r="D663">
            <v>41107</v>
          </cell>
          <cell r="F663">
            <v>168.85865999999999</v>
          </cell>
          <cell r="K663">
            <v>41107</v>
          </cell>
          <cell r="M663">
            <v>14.70603</v>
          </cell>
          <cell r="R663">
            <v>41107</v>
          </cell>
          <cell r="T663">
            <v>4.87</v>
          </cell>
          <cell r="Y663">
            <v>41107</v>
          </cell>
          <cell r="AA663">
            <v>216.93</v>
          </cell>
          <cell r="AF663">
            <v>41107</v>
          </cell>
          <cell r="AH663">
            <v>80.732919999999993</v>
          </cell>
          <cell r="AM663">
            <v>41107</v>
          </cell>
          <cell r="AO663">
            <v>39.954349999999998</v>
          </cell>
          <cell r="AT663">
            <v>41107</v>
          </cell>
          <cell r="AV663">
            <v>35.00047</v>
          </cell>
          <cell r="BA663">
            <v>41107</v>
          </cell>
          <cell r="BC663">
            <v>16.781130000000001</v>
          </cell>
          <cell r="BH663">
            <v>41107</v>
          </cell>
          <cell r="BJ663">
            <v>17.67023</v>
          </cell>
        </row>
        <row r="664">
          <cell r="D664">
            <v>41106</v>
          </cell>
          <cell r="F664">
            <v>169.90683999999999</v>
          </cell>
          <cell r="K664">
            <v>41106</v>
          </cell>
          <cell r="M664">
            <v>14.669790000000001</v>
          </cell>
          <cell r="R664">
            <v>41106</v>
          </cell>
          <cell r="T664">
            <v>4.83</v>
          </cell>
          <cell r="Y664">
            <v>41106</v>
          </cell>
          <cell r="AA664">
            <v>216.01</v>
          </cell>
          <cell r="AF664">
            <v>41106</v>
          </cell>
          <cell r="AH664">
            <v>80.728930000000005</v>
          </cell>
          <cell r="AM664">
            <v>41106</v>
          </cell>
          <cell r="AO664">
            <v>39.533679999999997</v>
          </cell>
          <cell r="AT664">
            <v>41106</v>
          </cell>
          <cell r="AV664">
            <v>34.455350000000003</v>
          </cell>
          <cell r="BA664">
            <v>41106</v>
          </cell>
          <cell r="BC664">
            <v>16.732769999999999</v>
          </cell>
          <cell r="BH664">
            <v>41106</v>
          </cell>
          <cell r="BJ664">
            <v>17.553740000000001</v>
          </cell>
        </row>
        <row r="665">
          <cell r="D665">
            <v>41103</v>
          </cell>
          <cell r="F665">
            <v>171.02858000000001</v>
          </cell>
          <cell r="K665">
            <v>41103</v>
          </cell>
          <cell r="M665">
            <v>14.77852</v>
          </cell>
          <cell r="R665">
            <v>41103</v>
          </cell>
          <cell r="T665">
            <v>4.9000000000000004</v>
          </cell>
          <cell r="Y665">
            <v>41103</v>
          </cell>
          <cell r="AA665">
            <v>218.39</v>
          </cell>
          <cell r="AF665">
            <v>41103</v>
          </cell>
          <cell r="AH665">
            <v>80.470879999999994</v>
          </cell>
          <cell r="AM665">
            <v>41103</v>
          </cell>
          <cell r="AO665">
            <v>39.739350000000002</v>
          </cell>
          <cell r="AT665">
            <v>41103</v>
          </cell>
          <cell r="AV665">
            <v>34.815759999999997</v>
          </cell>
          <cell r="BA665">
            <v>41103</v>
          </cell>
          <cell r="BC665">
            <v>17.351790000000001</v>
          </cell>
          <cell r="BH665">
            <v>41103</v>
          </cell>
          <cell r="BJ665">
            <v>17.715029999999999</v>
          </cell>
        </row>
        <row r="666">
          <cell r="D666">
            <v>41102</v>
          </cell>
          <cell r="F666">
            <v>168.34376</v>
          </cell>
          <cell r="K666">
            <v>41102</v>
          </cell>
          <cell r="M666">
            <v>14.479509999999999</v>
          </cell>
          <cell r="R666">
            <v>41102</v>
          </cell>
          <cell r="T666">
            <v>4.88</v>
          </cell>
          <cell r="Y666">
            <v>41102</v>
          </cell>
          <cell r="AA666">
            <v>215.36</v>
          </cell>
          <cell r="AF666">
            <v>41102</v>
          </cell>
          <cell r="AH666">
            <v>79.663470000000004</v>
          </cell>
          <cell r="AM666">
            <v>41102</v>
          </cell>
          <cell r="AO666">
            <v>39.271929999999998</v>
          </cell>
          <cell r="AT666">
            <v>41102</v>
          </cell>
          <cell r="AV666">
            <v>34.527430000000003</v>
          </cell>
          <cell r="BA666">
            <v>41102</v>
          </cell>
          <cell r="BC666">
            <v>16.713429999999999</v>
          </cell>
          <cell r="BH666">
            <v>41102</v>
          </cell>
          <cell r="BJ666">
            <v>17.419329999999999</v>
          </cell>
        </row>
        <row r="667">
          <cell r="D667">
            <v>41101</v>
          </cell>
          <cell r="F667">
            <v>170.32979</v>
          </cell>
          <cell r="K667">
            <v>41101</v>
          </cell>
          <cell r="M667">
            <v>14.841950000000001</v>
          </cell>
          <cell r="R667">
            <v>41101</v>
          </cell>
          <cell r="T667">
            <v>4.8899999999999997</v>
          </cell>
          <cell r="Y667">
            <v>41101</v>
          </cell>
          <cell r="AA667">
            <v>218.37</v>
          </cell>
          <cell r="AF667">
            <v>41101</v>
          </cell>
          <cell r="AH667">
            <v>80.399050000000003</v>
          </cell>
          <cell r="AM667">
            <v>41101</v>
          </cell>
          <cell r="AO667">
            <v>39.58043</v>
          </cell>
          <cell r="AT667">
            <v>41101</v>
          </cell>
          <cell r="AV667">
            <v>34.896850000000001</v>
          </cell>
          <cell r="BA667">
            <v>41101</v>
          </cell>
          <cell r="BC667">
            <v>16.69408</v>
          </cell>
          <cell r="BH667">
            <v>41101</v>
          </cell>
          <cell r="BJ667">
            <v>17.63438</v>
          </cell>
        </row>
        <row r="668">
          <cell r="D668">
            <v>41100</v>
          </cell>
          <cell r="F668">
            <v>171.25845000000001</v>
          </cell>
          <cell r="K668">
            <v>41100</v>
          </cell>
          <cell r="M668">
            <v>14.86913</v>
          </cell>
          <cell r="R668">
            <v>41100</v>
          </cell>
          <cell r="T668">
            <v>4.99</v>
          </cell>
          <cell r="Y668">
            <v>41100</v>
          </cell>
          <cell r="AA668">
            <v>219.5</v>
          </cell>
          <cell r="AF668">
            <v>41100</v>
          </cell>
          <cell r="AH668">
            <v>80.901849999999996</v>
          </cell>
          <cell r="AM668">
            <v>41100</v>
          </cell>
          <cell r="AO668">
            <v>39.898269999999997</v>
          </cell>
          <cell r="AT668">
            <v>41100</v>
          </cell>
          <cell r="AV668">
            <v>35.131120000000003</v>
          </cell>
          <cell r="BA668">
            <v>41100</v>
          </cell>
          <cell r="BC668">
            <v>16.80048</v>
          </cell>
          <cell r="BH668">
            <v>41100</v>
          </cell>
          <cell r="BJ668">
            <v>17.58062</v>
          </cell>
        </row>
        <row r="669">
          <cell r="D669">
            <v>41099</v>
          </cell>
          <cell r="F669">
            <v>174.3938</v>
          </cell>
          <cell r="K669">
            <v>41099</v>
          </cell>
          <cell r="M669">
            <v>15.086589999999999</v>
          </cell>
          <cell r="R669">
            <v>41099</v>
          </cell>
          <cell r="T669">
            <v>5.62</v>
          </cell>
          <cell r="Y669">
            <v>41099</v>
          </cell>
          <cell r="AA669">
            <v>225.05</v>
          </cell>
          <cell r="AF669">
            <v>41099</v>
          </cell>
          <cell r="AH669">
            <v>81.657390000000007</v>
          </cell>
          <cell r="AM669">
            <v>41099</v>
          </cell>
          <cell r="AO669">
            <v>39.804780000000001</v>
          </cell>
          <cell r="AT669">
            <v>41099</v>
          </cell>
          <cell r="AV669">
            <v>35.131120000000003</v>
          </cell>
          <cell r="BA669">
            <v>41099</v>
          </cell>
          <cell r="BC669">
            <v>17.322769999999998</v>
          </cell>
          <cell r="BH669">
            <v>41099</v>
          </cell>
          <cell r="BJ669">
            <v>17.956959999999999</v>
          </cell>
        </row>
        <row r="670">
          <cell r="D670">
            <v>41096</v>
          </cell>
          <cell r="F670">
            <v>175.99366000000001</v>
          </cell>
          <cell r="K670">
            <v>41096</v>
          </cell>
          <cell r="M670">
            <v>15.19533</v>
          </cell>
          <cell r="R670">
            <v>41096</v>
          </cell>
          <cell r="T670">
            <v>5.75</v>
          </cell>
          <cell r="Y670">
            <v>41096</v>
          </cell>
          <cell r="AA670">
            <v>225.05</v>
          </cell>
          <cell r="AF670">
            <v>41096</v>
          </cell>
          <cell r="AH670">
            <v>80.591930000000005</v>
          </cell>
          <cell r="AM670">
            <v>41096</v>
          </cell>
          <cell r="AO670">
            <v>39.047580000000004</v>
          </cell>
          <cell r="AT670">
            <v>41096</v>
          </cell>
          <cell r="AV670">
            <v>35.207709999999999</v>
          </cell>
          <cell r="BA670">
            <v>41096</v>
          </cell>
          <cell r="BC670">
            <v>17.719329999999999</v>
          </cell>
          <cell r="BH670">
            <v>41096</v>
          </cell>
          <cell r="BJ670">
            <v>17.921119999999998</v>
          </cell>
        </row>
        <row r="671">
          <cell r="D671">
            <v>41095</v>
          </cell>
          <cell r="F671">
            <v>179.56116</v>
          </cell>
          <cell r="K671">
            <v>41095</v>
          </cell>
          <cell r="M671">
            <v>15.349360000000001</v>
          </cell>
          <cell r="R671">
            <v>41095</v>
          </cell>
          <cell r="T671">
            <v>5.88</v>
          </cell>
          <cell r="Y671">
            <v>41095</v>
          </cell>
          <cell r="AA671">
            <v>227.06</v>
          </cell>
          <cell r="AF671">
            <v>41095</v>
          </cell>
          <cell r="AH671">
            <v>81.131969999999995</v>
          </cell>
          <cell r="AM671">
            <v>41095</v>
          </cell>
          <cell r="AO671">
            <v>39.795430000000003</v>
          </cell>
          <cell r="AT671">
            <v>41095</v>
          </cell>
          <cell r="AV671">
            <v>35.342860000000002</v>
          </cell>
          <cell r="BA671">
            <v>41095</v>
          </cell>
          <cell r="BC671">
            <v>17.767690000000002</v>
          </cell>
          <cell r="BH671">
            <v>41095</v>
          </cell>
          <cell r="BJ671">
            <v>18.216819999999998</v>
          </cell>
        </row>
        <row r="672">
          <cell r="D672">
            <v>41093</v>
          </cell>
          <cell r="F672">
            <v>180.14962</v>
          </cell>
          <cell r="K672">
            <v>41093</v>
          </cell>
          <cell r="M672">
            <v>15.53964</v>
          </cell>
          <cell r="R672">
            <v>41093</v>
          </cell>
          <cell r="T672">
            <v>6.03</v>
          </cell>
          <cell r="Y672">
            <v>41093</v>
          </cell>
          <cell r="AA672">
            <v>229.53</v>
          </cell>
          <cell r="AF672">
            <v>41093</v>
          </cell>
          <cell r="AH672">
            <v>79.731309999999993</v>
          </cell>
          <cell r="AM672">
            <v>41093</v>
          </cell>
          <cell r="AO672">
            <v>40.094580000000001</v>
          </cell>
          <cell r="AT672">
            <v>41093</v>
          </cell>
          <cell r="AV672">
            <v>35.662730000000003</v>
          </cell>
          <cell r="BA672">
            <v>41093</v>
          </cell>
          <cell r="BC672">
            <v>17.69031</v>
          </cell>
          <cell r="BH672">
            <v>41093</v>
          </cell>
          <cell r="BJ672">
            <v>18.306429999999999</v>
          </cell>
        </row>
        <row r="673">
          <cell r="D673">
            <v>41092</v>
          </cell>
          <cell r="F673">
            <v>180.05767</v>
          </cell>
          <cell r="K673">
            <v>41092</v>
          </cell>
          <cell r="M673">
            <v>15.47622</v>
          </cell>
          <cell r="R673">
            <v>41092</v>
          </cell>
          <cell r="T673">
            <v>5.75</v>
          </cell>
          <cell r="Y673">
            <v>41092</v>
          </cell>
          <cell r="AA673">
            <v>229.32</v>
          </cell>
          <cell r="AF673">
            <v>41092</v>
          </cell>
          <cell r="AH673">
            <v>78.814830000000001</v>
          </cell>
          <cell r="AM673">
            <v>41092</v>
          </cell>
          <cell r="AO673">
            <v>39.636510000000001</v>
          </cell>
          <cell r="AT673">
            <v>41092</v>
          </cell>
          <cell r="AV673">
            <v>35.554609999999997</v>
          </cell>
          <cell r="BA673">
            <v>41092</v>
          </cell>
          <cell r="BC673">
            <v>17.187360000000002</v>
          </cell>
          <cell r="BH673">
            <v>41092</v>
          </cell>
          <cell r="BJ673">
            <v>18.360189999999999</v>
          </cell>
        </row>
        <row r="674">
          <cell r="D674">
            <v>41089</v>
          </cell>
          <cell r="F674">
            <v>179.82781</v>
          </cell>
          <cell r="K674">
            <v>41089</v>
          </cell>
          <cell r="M674">
            <v>15.485279999999999</v>
          </cell>
          <cell r="R674">
            <v>41089</v>
          </cell>
          <cell r="T674">
            <v>5.73</v>
          </cell>
          <cell r="Y674">
            <v>41089</v>
          </cell>
          <cell r="AA674">
            <v>228.35</v>
          </cell>
          <cell r="AF674">
            <v>41089</v>
          </cell>
          <cell r="AH674">
            <v>77.681529999999995</v>
          </cell>
          <cell r="AM674">
            <v>41089</v>
          </cell>
          <cell r="AO674">
            <v>39.262590000000003</v>
          </cell>
          <cell r="AT674">
            <v>41089</v>
          </cell>
          <cell r="AV674">
            <v>35.225729999999999</v>
          </cell>
          <cell r="BA674">
            <v>41089</v>
          </cell>
          <cell r="BC674">
            <v>16.761790000000001</v>
          </cell>
          <cell r="BH674">
            <v>41089</v>
          </cell>
          <cell r="BJ674">
            <v>18.67381</v>
          </cell>
        </row>
        <row r="675">
          <cell r="D675">
            <v>41088</v>
          </cell>
          <cell r="F675">
            <v>175.98446999999999</v>
          </cell>
          <cell r="K675">
            <v>41088</v>
          </cell>
          <cell r="M675">
            <v>14.86298</v>
          </cell>
          <cell r="R675">
            <v>41088</v>
          </cell>
          <cell r="T675">
            <v>5.41</v>
          </cell>
          <cell r="Y675">
            <v>41088</v>
          </cell>
          <cell r="AA675">
            <v>221.31</v>
          </cell>
          <cell r="AF675">
            <v>41088</v>
          </cell>
          <cell r="AH675">
            <v>75.692939999999993</v>
          </cell>
          <cell r="AM675">
            <v>41088</v>
          </cell>
          <cell r="AO675">
            <v>38.290370000000003</v>
          </cell>
          <cell r="AT675">
            <v>41088</v>
          </cell>
          <cell r="AV675">
            <v>34.495899999999999</v>
          </cell>
          <cell r="BA675">
            <v>41088</v>
          </cell>
          <cell r="BC675">
            <v>15.968669999999999</v>
          </cell>
          <cell r="BH675">
            <v>41088</v>
          </cell>
          <cell r="BJ675">
            <v>18.10033</v>
          </cell>
        </row>
        <row r="676">
          <cell r="D676">
            <v>41087</v>
          </cell>
          <cell r="F676">
            <v>177.4556</v>
          </cell>
          <cell r="K676">
            <v>41087</v>
          </cell>
          <cell r="M676">
            <v>15.08845</v>
          </cell>
          <cell r="R676">
            <v>41087</v>
          </cell>
          <cell r="T676">
            <v>5.5</v>
          </cell>
          <cell r="Y676">
            <v>41087</v>
          </cell>
          <cell r="AA676">
            <v>225.62</v>
          </cell>
          <cell r="AF676">
            <v>41087</v>
          </cell>
          <cell r="AH676">
            <v>76.417869999999994</v>
          </cell>
          <cell r="AM676">
            <v>41087</v>
          </cell>
          <cell r="AO676">
            <v>37.701430000000002</v>
          </cell>
          <cell r="AT676">
            <v>41087</v>
          </cell>
          <cell r="AV676">
            <v>34.39228</v>
          </cell>
          <cell r="BA676">
            <v>41087</v>
          </cell>
          <cell r="BC676">
            <v>16.355560000000001</v>
          </cell>
          <cell r="BH676">
            <v>41087</v>
          </cell>
          <cell r="BJ676">
            <v>18.037610000000001</v>
          </cell>
        </row>
        <row r="677">
          <cell r="D677">
            <v>41086</v>
          </cell>
          <cell r="F677">
            <v>176.49017000000001</v>
          </cell>
          <cell r="K677">
            <v>41086</v>
          </cell>
          <cell r="M677">
            <v>15.16511</v>
          </cell>
          <cell r="R677">
            <v>41086</v>
          </cell>
          <cell r="T677">
            <v>5.44</v>
          </cell>
          <cell r="Y677">
            <v>41086</v>
          </cell>
          <cell r="AA677">
            <v>225.61</v>
          </cell>
          <cell r="AF677">
            <v>41086</v>
          </cell>
          <cell r="AH677">
            <v>76.088660000000004</v>
          </cell>
          <cell r="AM677">
            <v>41086</v>
          </cell>
          <cell r="AO677">
            <v>37.797249999999998</v>
          </cell>
          <cell r="AT677">
            <v>41086</v>
          </cell>
          <cell r="AV677">
            <v>33.824629999999999</v>
          </cell>
          <cell r="BA677">
            <v>41086</v>
          </cell>
          <cell r="BC677">
            <v>16.326540000000001</v>
          </cell>
          <cell r="BH677">
            <v>41086</v>
          </cell>
          <cell r="BJ677">
            <v>17.741910000000001</v>
          </cell>
        </row>
        <row r="678">
          <cell r="D678">
            <v>41085</v>
          </cell>
          <cell r="F678">
            <v>177.32687999999999</v>
          </cell>
          <cell r="K678">
            <v>41085</v>
          </cell>
          <cell r="M678">
            <v>15.273339999999999</v>
          </cell>
          <cell r="R678">
            <v>41085</v>
          </cell>
          <cell r="T678">
            <v>5.41</v>
          </cell>
          <cell r="Y678">
            <v>41085</v>
          </cell>
          <cell r="AA678">
            <v>220.07</v>
          </cell>
          <cell r="AF678">
            <v>41085</v>
          </cell>
          <cell r="AH678">
            <v>75.921059999999997</v>
          </cell>
          <cell r="AM678">
            <v>41085</v>
          </cell>
          <cell r="AO678">
            <v>37.797249999999998</v>
          </cell>
          <cell r="AT678">
            <v>41085</v>
          </cell>
          <cell r="AV678">
            <v>33.68497</v>
          </cell>
          <cell r="BA678">
            <v>41085</v>
          </cell>
          <cell r="BC678">
            <v>16.336189999999998</v>
          </cell>
          <cell r="BH678">
            <v>41085</v>
          </cell>
          <cell r="BJ678">
            <v>17.491009999999999</v>
          </cell>
        </row>
        <row r="679">
          <cell r="D679">
            <v>41082</v>
          </cell>
          <cell r="F679">
            <v>178.09922</v>
          </cell>
          <cell r="K679">
            <v>41082</v>
          </cell>
          <cell r="M679">
            <v>15.449199999999999</v>
          </cell>
          <cell r="R679">
            <v>41082</v>
          </cell>
          <cell r="T679">
            <v>5.73</v>
          </cell>
          <cell r="Y679">
            <v>41082</v>
          </cell>
          <cell r="AA679">
            <v>222.16</v>
          </cell>
          <cell r="AF679">
            <v>41082</v>
          </cell>
          <cell r="AH679">
            <v>77.428799999999995</v>
          </cell>
          <cell r="AM679">
            <v>41082</v>
          </cell>
          <cell r="AO679">
            <v>38.735909999999997</v>
          </cell>
          <cell r="AT679">
            <v>41082</v>
          </cell>
          <cell r="AV679">
            <v>33.761560000000003</v>
          </cell>
          <cell r="BA679">
            <v>41082</v>
          </cell>
          <cell r="BC679">
            <v>16.278300000000002</v>
          </cell>
          <cell r="BH679">
            <v>41082</v>
          </cell>
          <cell r="BJ679">
            <v>17.750869999999999</v>
          </cell>
        </row>
        <row r="680">
          <cell r="D680">
            <v>41081</v>
          </cell>
          <cell r="F680">
            <v>177.81419</v>
          </cell>
          <cell r="K680">
            <v>41081</v>
          </cell>
          <cell r="M680">
            <v>15.26432</v>
          </cell>
          <cell r="R680">
            <v>41081</v>
          </cell>
          <cell r="T680">
            <v>5.72</v>
          </cell>
          <cell r="Y680">
            <v>41081</v>
          </cell>
          <cell r="AA680">
            <v>220.57499999999999</v>
          </cell>
          <cell r="AF680">
            <v>41081</v>
          </cell>
          <cell r="AH680">
            <v>76.83954</v>
          </cell>
          <cell r="AM680">
            <v>41081</v>
          </cell>
          <cell r="AO680">
            <v>38.605800000000002</v>
          </cell>
          <cell r="AT680">
            <v>41081</v>
          </cell>
          <cell r="AV680">
            <v>33.639919999999996</v>
          </cell>
          <cell r="BA680">
            <v>41081</v>
          </cell>
          <cell r="BC680">
            <v>15.892329999999999</v>
          </cell>
          <cell r="BH680">
            <v>41081</v>
          </cell>
          <cell r="BJ680">
            <v>17.499970000000001</v>
          </cell>
        </row>
        <row r="681">
          <cell r="D681">
            <v>41080</v>
          </cell>
          <cell r="F681">
            <v>182.77008000000001</v>
          </cell>
          <cell r="K681">
            <v>41080</v>
          </cell>
          <cell r="M681">
            <v>15.791919999999999</v>
          </cell>
          <cell r="R681">
            <v>41080</v>
          </cell>
          <cell r="T681">
            <v>6.06</v>
          </cell>
          <cell r="Y681">
            <v>41080</v>
          </cell>
          <cell r="AA681">
            <v>223.02</v>
          </cell>
          <cell r="AF681">
            <v>41080</v>
          </cell>
          <cell r="AH681">
            <v>77.913110000000003</v>
          </cell>
          <cell r="AM681">
            <v>41080</v>
          </cell>
          <cell r="AO681">
            <v>39.209879999999998</v>
          </cell>
          <cell r="AT681">
            <v>41080</v>
          </cell>
          <cell r="AV681">
            <v>34.040880000000001</v>
          </cell>
          <cell r="BA681">
            <v>41080</v>
          </cell>
          <cell r="BC681">
            <v>16.751110000000001</v>
          </cell>
          <cell r="BH681">
            <v>41080</v>
          </cell>
          <cell r="BJ681">
            <v>17.8584</v>
          </cell>
        </row>
        <row r="682">
          <cell r="D682">
            <v>41079</v>
          </cell>
          <cell r="F682">
            <v>182.90799000000001</v>
          </cell>
          <cell r="K682">
            <v>41079</v>
          </cell>
          <cell r="M682">
            <v>15.494300000000001</v>
          </cell>
          <cell r="R682">
            <v>41079</v>
          </cell>
          <cell r="T682">
            <v>5.81</v>
          </cell>
          <cell r="Y682">
            <v>41079</v>
          </cell>
          <cell r="AA682">
            <v>224.03</v>
          </cell>
          <cell r="AF682">
            <v>41079</v>
          </cell>
          <cell r="AH682">
            <v>78.135109999999997</v>
          </cell>
          <cell r="AM682">
            <v>41079</v>
          </cell>
          <cell r="AO682">
            <v>39.60022</v>
          </cell>
          <cell r="AT682">
            <v>41079</v>
          </cell>
          <cell r="AV682">
            <v>34.121969999999997</v>
          </cell>
          <cell r="BA682">
            <v>41079</v>
          </cell>
          <cell r="BC682">
            <v>16.809010000000001</v>
          </cell>
          <cell r="BH682">
            <v>41079</v>
          </cell>
          <cell r="BJ682">
            <v>17.769549999999999</v>
          </cell>
        </row>
        <row r="683">
          <cell r="D683">
            <v>41078</v>
          </cell>
          <cell r="F683">
            <v>182.31953999999999</v>
          </cell>
          <cell r="K683">
            <v>41078</v>
          </cell>
          <cell r="M683">
            <v>15.458220000000001</v>
          </cell>
          <cell r="R683">
            <v>41078</v>
          </cell>
          <cell r="T683">
            <v>5.93</v>
          </cell>
          <cell r="Y683">
            <v>41078</v>
          </cell>
          <cell r="AA683">
            <v>222.66</v>
          </cell>
          <cell r="AF683">
            <v>41078</v>
          </cell>
          <cell r="AH683">
            <v>77.918300000000002</v>
          </cell>
          <cell r="AM683">
            <v>41078</v>
          </cell>
          <cell r="AO683">
            <v>39.563040000000001</v>
          </cell>
          <cell r="AT683">
            <v>41078</v>
          </cell>
          <cell r="AV683">
            <v>34.230089999999997</v>
          </cell>
          <cell r="BA683">
            <v>41078</v>
          </cell>
          <cell r="BC683">
            <v>15.87303</v>
          </cell>
          <cell r="BH683">
            <v>41078</v>
          </cell>
          <cell r="BJ683">
            <v>17.547429999999999</v>
          </cell>
        </row>
        <row r="684">
          <cell r="D684">
            <v>41075</v>
          </cell>
          <cell r="F684">
            <v>183.0643</v>
          </cell>
          <cell r="K684">
            <v>41075</v>
          </cell>
          <cell r="M684">
            <v>15.42215</v>
          </cell>
          <cell r="R684">
            <v>41075</v>
          </cell>
          <cell r="T684">
            <v>5.87</v>
          </cell>
          <cell r="Y684">
            <v>41075</v>
          </cell>
          <cell r="AA684">
            <v>218.35</v>
          </cell>
          <cell r="AF684">
            <v>41075</v>
          </cell>
          <cell r="AH684">
            <v>76.368660000000006</v>
          </cell>
          <cell r="AM684">
            <v>41075</v>
          </cell>
          <cell r="AO684">
            <v>39.470109999999998</v>
          </cell>
          <cell r="AT684">
            <v>41075</v>
          </cell>
          <cell r="AV684">
            <v>34.279649999999997</v>
          </cell>
          <cell r="BA684">
            <v>41075</v>
          </cell>
          <cell r="BC684">
            <v>16.374790000000001</v>
          </cell>
          <cell r="BH684">
            <v>41075</v>
          </cell>
          <cell r="BJ684">
            <v>17.769549999999999</v>
          </cell>
        </row>
        <row r="685">
          <cell r="D685">
            <v>41074</v>
          </cell>
          <cell r="F685">
            <v>179.38647</v>
          </cell>
          <cell r="K685">
            <v>41074</v>
          </cell>
          <cell r="M685">
            <v>15.25981</v>
          </cell>
          <cell r="R685">
            <v>41074</v>
          </cell>
          <cell r="T685">
            <v>5.76</v>
          </cell>
          <cell r="Y685">
            <v>41074</v>
          </cell>
          <cell r="AA685">
            <v>214.45</v>
          </cell>
          <cell r="AF685">
            <v>41074</v>
          </cell>
          <cell r="AH685">
            <v>76.022810000000007</v>
          </cell>
          <cell r="AM685">
            <v>41074</v>
          </cell>
          <cell r="AO685">
            <v>38.866019999999999</v>
          </cell>
          <cell r="AT685">
            <v>41074</v>
          </cell>
          <cell r="AV685">
            <v>34.121969999999997</v>
          </cell>
          <cell r="BA685">
            <v>41074</v>
          </cell>
          <cell r="BC685">
            <v>14.95635</v>
          </cell>
          <cell r="BH685">
            <v>41074</v>
          </cell>
          <cell r="BJ685">
            <v>17.520779999999998</v>
          </cell>
        </row>
        <row r="686">
          <cell r="D686">
            <v>41073</v>
          </cell>
          <cell r="F686">
            <v>177.54755</v>
          </cell>
          <cell r="K686">
            <v>41073</v>
          </cell>
          <cell r="M686">
            <v>15.020810000000001</v>
          </cell>
          <cell r="R686">
            <v>41073</v>
          </cell>
          <cell r="T686">
            <v>5.76</v>
          </cell>
          <cell r="Y686">
            <v>41073</v>
          </cell>
          <cell r="AA686">
            <v>214.73</v>
          </cell>
          <cell r="AF686">
            <v>41073</v>
          </cell>
          <cell r="AH686">
            <v>76.106620000000007</v>
          </cell>
          <cell r="AM686">
            <v>41073</v>
          </cell>
          <cell r="AO686">
            <v>38.605800000000002</v>
          </cell>
          <cell r="AT686">
            <v>41073</v>
          </cell>
          <cell r="AV686">
            <v>33.64893</v>
          </cell>
          <cell r="BA686">
            <v>41073</v>
          </cell>
          <cell r="BC686">
            <v>15.03354</v>
          </cell>
          <cell r="BH686">
            <v>41073</v>
          </cell>
          <cell r="BJ686">
            <v>17.209810000000001</v>
          </cell>
        </row>
        <row r="687">
          <cell r="D687">
            <v>41072</v>
          </cell>
          <cell r="F687">
            <v>178.88076000000001</v>
          </cell>
          <cell r="K687">
            <v>41072</v>
          </cell>
          <cell r="M687">
            <v>15.14256</v>
          </cell>
          <cell r="R687">
            <v>41072</v>
          </cell>
          <cell r="T687">
            <v>5.91</v>
          </cell>
          <cell r="Y687">
            <v>41072</v>
          </cell>
          <cell r="AA687">
            <v>216.42</v>
          </cell>
          <cell r="AF687">
            <v>41072</v>
          </cell>
          <cell r="AH687">
            <v>76.638679999999994</v>
          </cell>
          <cell r="AM687">
            <v>41072</v>
          </cell>
          <cell r="AO687">
            <v>38.838140000000003</v>
          </cell>
          <cell r="AT687">
            <v>41072</v>
          </cell>
          <cell r="AV687">
            <v>33.64893</v>
          </cell>
          <cell r="BA687">
            <v>41072</v>
          </cell>
          <cell r="BC687">
            <v>15.51601</v>
          </cell>
          <cell r="BH687">
            <v>41072</v>
          </cell>
          <cell r="BJ687">
            <v>17.307539999999999</v>
          </cell>
        </row>
        <row r="688">
          <cell r="D688">
            <v>41071</v>
          </cell>
          <cell r="F688">
            <v>177.00506999999999</v>
          </cell>
          <cell r="K688">
            <v>41071</v>
          </cell>
          <cell r="M688">
            <v>14.858470000000001</v>
          </cell>
          <cell r="R688">
            <v>41071</v>
          </cell>
          <cell r="T688">
            <v>5.69</v>
          </cell>
          <cell r="Y688">
            <v>41071</v>
          </cell>
          <cell r="AA688">
            <v>216.5</v>
          </cell>
          <cell r="AF688">
            <v>41071</v>
          </cell>
          <cell r="AH688">
            <v>75.974930000000001</v>
          </cell>
          <cell r="AM688">
            <v>41071</v>
          </cell>
          <cell r="AO688">
            <v>38.55003</v>
          </cell>
          <cell r="AT688">
            <v>41071</v>
          </cell>
          <cell r="AV688">
            <v>33.407299999999999</v>
          </cell>
          <cell r="BA688">
            <v>41071</v>
          </cell>
          <cell r="BC688">
            <v>15.525650000000001</v>
          </cell>
          <cell r="BH688">
            <v>41071</v>
          </cell>
          <cell r="BJ688">
            <v>16.9788</v>
          </cell>
        </row>
        <row r="689">
          <cell r="D689">
            <v>41068</v>
          </cell>
          <cell r="F689">
            <v>179.42323999999999</v>
          </cell>
          <cell r="K689">
            <v>41068</v>
          </cell>
          <cell r="M689">
            <v>15.08845</v>
          </cell>
          <cell r="R689">
            <v>41068</v>
          </cell>
          <cell r="T689">
            <v>5.91</v>
          </cell>
          <cell r="Y689">
            <v>41068</v>
          </cell>
          <cell r="AA689">
            <v>218.48</v>
          </cell>
          <cell r="AF689">
            <v>41068</v>
          </cell>
          <cell r="AH689">
            <v>77.192030000000003</v>
          </cell>
          <cell r="AM689">
            <v>41068</v>
          </cell>
          <cell r="AO689">
            <v>38.940370000000001</v>
          </cell>
          <cell r="AT689">
            <v>41068</v>
          </cell>
          <cell r="AV689">
            <v>33.666829999999997</v>
          </cell>
          <cell r="BA689">
            <v>41068</v>
          </cell>
          <cell r="BC689">
            <v>16.172149999999998</v>
          </cell>
          <cell r="BH689">
            <v>41068</v>
          </cell>
          <cell r="BJ689">
            <v>17.058769999999999</v>
          </cell>
        </row>
        <row r="690">
          <cell r="D690">
            <v>41067</v>
          </cell>
          <cell r="F690">
            <v>178.77961999999999</v>
          </cell>
          <cell r="K690">
            <v>41067</v>
          </cell>
          <cell r="M690">
            <v>14.95317</v>
          </cell>
          <cell r="R690">
            <v>41067</v>
          </cell>
          <cell r="T690">
            <v>5.76</v>
          </cell>
          <cell r="Y690">
            <v>41067</v>
          </cell>
          <cell r="AA690">
            <v>218.8</v>
          </cell>
          <cell r="AF690">
            <v>41067</v>
          </cell>
          <cell r="AH690">
            <v>76.048090000000002</v>
          </cell>
          <cell r="AM690">
            <v>41067</v>
          </cell>
          <cell r="AO690">
            <v>38.77308</v>
          </cell>
          <cell r="AT690">
            <v>41067</v>
          </cell>
          <cell r="AV690">
            <v>33.237270000000002</v>
          </cell>
          <cell r="BA690">
            <v>41067</v>
          </cell>
          <cell r="BC690">
            <v>16.287949999999999</v>
          </cell>
          <cell r="BH690">
            <v>41067</v>
          </cell>
          <cell r="BJ690">
            <v>16.881070000000001</v>
          </cell>
        </row>
        <row r="691">
          <cell r="D691">
            <v>41066</v>
          </cell>
          <cell r="F691">
            <v>178.36587</v>
          </cell>
          <cell r="K691">
            <v>41066</v>
          </cell>
          <cell r="M691">
            <v>15.04787</v>
          </cell>
          <cell r="R691">
            <v>41066</v>
          </cell>
          <cell r="T691">
            <v>6.02</v>
          </cell>
          <cell r="Y691">
            <v>41066</v>
          </cell>
          <cell r="AA691">
            <v>217.64</v>
          </cell>
          <cell r="AF691">
            <v>41066</v>
          </cell>
          <cell r="AH691">
            <v>76.013499999999993</v>
          </cell>
          <cell r="AM691">
            <v>41066</v>
          </cell>
          <cell r="AO691">
            <v>38.55003</v>
          </cell>
          <cell r="AT691">
            <v>41066</v>
          </cell>
          <cell r="AV691">
            <v>33.384929999999997</v>
          </cell>
          <cell r="BA691">
            <v>41066</v>
          </cell>
          <cell r="BC691">
            <v>16.403739999999999</v>
          </cell>
          <cell r="BH691">
            <v>41066</v>
          </cell>
          <cell r="BJ691">
            <v>16.774450000000002</v>
          </cell>
        </row>
        <row r="692">
          <cell r="D692">
            <v>41065</v>
          </cell>
          <cell r="F692">
            <v>173.96165999999999</v>
          </cell>
          <cell r="K692">
            <v>41065</v>
          </cell>
          <cell r="M692">
            <v>14.5383</v>
          </cell>
          <cell r="R692">
            <v>41065</v>
          </cell>
          <cell r="T692">
            <v>5.8250000000000002</v>
          </cell>
          <cell r="Y692">
            <v>41065</v>
          </cell>
          <cell r="AA692">
            <v>213.21</v>
          </cell>
          <cell r="AF692">
            <v>41065</v>
          </cell>
          <cell r="AH692">
            <v>74.865570000000005</v>
          </cell>
          <cell r="AM692">
            <v>41065</v>
          </cell>
          <cell r="AO692">
            <v>38.141109999999998</v>
          </cell>
          <cell r="AT692">
            <v>41065</v>
          </cell>
          <cell r="AV692">
            <v>32.771909999999998</v>
          </cell>
          <cell r="BA692">
            <v>41065</v>
          </cell>
          <cell r="BC692">
            <v>16.008120000000002</v>
          </cell>
          <cell r="BH692">
            <v>41065</v>
          </cell>
          <cell r="BJ692">
            <v>16.205829999999999</v>
          </cell>
        </row>
        <row r="693">
          <cell r="D693">
            <v>41064</v>
          </cell>
          <cell r="F693">
            <v>173.35480999999999</v>
          </cell>
          <cell r="K693">
            <v>41064</v>
          </cell>
          <cell r="M693">
            <v>14.52929</v>
          </cell>
          <cell r="R693">
            <v>41064</v>
          </cell>
          <cell r="T693">
            <v>5.63</v>
          </cell>
          <cell r="Y693">
            <v>41064</v>
          </cell>
          <cell r="AA693">
            <v>214.57</v>
          </cell>
          <cell r="AF693">
            <v>41064</v>
          </cell>
          <cell r="AH693">
            <v>75.059780000000003</v>
          </cell>
          <cell r="AM693">
            <v>41064</v>
          </cell>
          <cell r="AO693">
            <v>37.676430000000003</v>
          </cell>
          <cell r="AT693">
            <v>41064</v>
          </cell>
          <cell r="AV693">
            <v>32.950890000000001</v>
          </cell>
          <cell r="BA693">
            <v>41064</v>
          </cell>
          <cell r="BC693">
            <v>16.548480000000001</v>
          </cell>
          <cell r="BH693">
            <v>41064</v>
          </cell>
          <cell r="BJ693">
            <v>16.125869999999999</v>
          </cell>
        </row>
        <row r="694">
          <cell r="D694">
            <v>41061</v>
          </cell>
          <cell r="F694">
            <v>173.85131999999999</v>
          </cell>
          <cell r="K694">
            <v>41061</v>
          </cell>
          <cell r="M694">
            <v>14.394</v>
          </cell>
          <cell r="R694">
            <v>41061</v>
          </cell>
          <cell r="T694">
            <v>5.73</v>
          </cell>
          <cell r="Y694">
            <v>41061</v>
          </cell>
          <cell r="AA694">
            <v>208.22</v>
          </cell>
          <cell r="AF694">
            <v>41061</v>
          </cell>
          <cell r="AH694">
            <v>74.620819999999995</v>
          </cell>
          <cell r="AM694">
            <v>41061</v>
          </cell>
          <cell r="AO694">
            <v>37.667140000000003</v>
          </cell>
          <cell r="AT694">
            <v>41061</v>
          </cell>
          <cell r="AV694">
            <v>32.704790000000003</v>
          </cell>
          <cell r="BA694">
            <v>41061</v>
          </cell>
          <cell r="BC694">
            <v>15.525650000000001</v>
          </cell>
          <cell r="BH694">
            <v>41061</v>
          </cell>
          <cell r="BJ694">
            <v>16.472370000000002</v>
          </cell>
        </row>
        <row r="695">
          <cell r="D695">
            <v>41060</v>
          </cell>
          <cell r="F695">
            <v>177.36366000000001</v>
          </cell>
          <cell r="K695">
            <v>41060</v>
          </cell>
          <cell r="M695">
            <v>14.7277</v>
          </cell>
          <cell r="R695">
            <v>41060</v>
          </cell>
          <cell r="T695">
            <v>6.08</v>
          </cell>
          <cell r="Y695">
            <v>41060</v>
          </cell>
          <cell r="AA695">
            <v>212.91</v>
          </cell>
          <cell r="AF695">
            <v>41060</v>
          </cell>
          <cell r="AH695">
            <v>76.847520000000003</v>
          </cell>
          <cell r="AM695">
            <v>41060</v>
          </cell>
          <cell r="AO695">
            <v>38.457099999999997</v>
          </cell>
          <cell r="AT695">
            <v>41060</v>
          </cell>
          <cell r="AV695">
            <v>33.43862</v>
          </cell>
          <cell r="BA695">
            <v>41060</v>
          </cell>
          <cell r="BC695">
            <v>16.287949999999999</v>
          </cell>
          <cell r="BH695">
            <v>41060</v>
          </cell>
          <cell r="BJ695">
            <v>16.961040000000001</v>
          </cell>
        </row>
        <row r="696">
          <cell r="D696">
            <v>41059</v>
          </cell>
          <cell r="F696">
            <v>178.86237</v>
          </cell>
          <cell r="K696">
            <v>41059</v>
          </cell>
          <cell r="M696">
            <v>14.78181</v>
          </cell>
          <cell r="R696">
            <v>41059</v>
          </cell>
          <cell r="T696">
            <v>6.15</v>
          </cell>
          <cell r="Y696">
            <v>41059</v>
          </cell>
          <cell r="AA696">
            <v>209.23</v>
          </cell>
          <cell r="AF696">
            <v>41059</v>
          </cell>
          <cell r="AH696">
            <v>77.039060000000006</v>
          </cell>
          <cell r="AM696">
            <v>41059</v>
          </cell>
          <cell r="AO696">
            <v>38.25264</v>
          </cell>
          <cell r="AT696">
            <v>41059</v>
          </cell>
          <cell r="AV696">
            <v>33.586280000000002</v>
          </cell>
          <cell r="BA696">
            <v>41059</v>
          </cell>
          <cell r="BC696">
            <v>16.809010000000001</v>
          </cell>
          <cell r="BH696">
            <v>41059</v>
          </cell>
          <cell r="BJ696">
            <v>16.916609999999999</v>
          </cell>
        </row>
        <row r="697">
          <cell r="D697">
            <v>41058</v>
          </cell>
          <cell r="F697">
            <v>180.63693000000001</v>
          </cell>
          <cell r="K697">
            <v>41058</v>
          </cell>
          <cell r="M697">
            <v>14.96219</v>
          </cell>
          <cell r="R697">
            <v>41058</v>
          </cell>
          <cell r="T697">
            <v>6.46</v>
          </cell>
          <cell r="Y697">
            <v>41058</v>
          </cell>
          <cell r="AA697">
            <v>214.75</v>
          </cell>
          <cell r="AF697">
            <v>41058</v>
          </cell>
          <cell r="AH697">
            <v>76.121250000000003</v>
          </cell>
          <cell r="AM697">
            <v>41058</v>
          </cell>
          <cell r="AO697">
            <v>38.754489999999997</v>
          </cell>
          <cell r="AT697">
            <v>41058</v>
          </cell>
          <cell r="AV697">
            <v>33.765270000000001</v>
          </cell>
          <cell r="BA697">
            <v>41058</v>
          </cell>
          <cell r="BC697">
            <v>16.915150000000001</v>
          </cell>
          <cell r="BH697">
            <v>41058</v>
          </cell>
          <cell r="BJ697">
            <v>17.192039999999999</v>
          </cell>
        </row>
        <row r="698">
          <cell r="D698">
            <v>41054</v>
          </cell>
          <cell r="F698">
            <v>178.65090000000001</v>
          </cell>
          <cell r="K698">
            <v>41054</v>
          </cell>
          <cell r="M698">
            <v>14.7277</v>
          </cell>
          <cell r="R698">
            <v>41054</v>
          </cell>
          <cell r="T698">
            <v>6.22</v>
          </cell>
          <cell r="Y698">
            <v>41054</v>
          </cell>
          <cell r="AA698">
            <v>212.89</v>
          </cell>
          <cell r="AF698">
            <v>41054</v>
          </cell>
          <cell r="AH698">
            <v>74.79374</v>
          </cell>
          <cell r="AM698">
            <v>41054</v>
          </cell>
          <cell r="AO698">
            <v>38.726610000000001</v>
          </cell>
          <cell r="AT698">
            <v>41054</v>
          </cell>
          <cell r="AV698">
            <v>33.662350000000004</v>
          </cell>
          <cell r="BA698">
            <v>41054</v>
          </cell>
          <cell r="BC698">
            <v>16.79936</v>
          </cell>
          <cell r="BH698">
            <v>41054</v>
          </cell>
          <cell r="BJ698">
            <v>17.058769999999999</v>
          </cell>
        </row>
        <row r="699">
          <cell r="D699">
            <v>41053</v>
          </cell>
          <cell r="F699">
            <v>180.29673</v>
          </cell>
          <cell r="K699">
            <v>41053</v>
          </cell>
          <cell r="M699">
            <v>14.78181</v>
          </cell>
          <cell r="R699">
            <v>41053</v>
          </cell>
          <cell r="T699">
            <v>6.02</v>
          </cell>
          <cell r="Y699">
            <v>41053</v>
          </cell>
          <cell r="AA699">
            <v>215.24</v>
          </cell>
          <cell r="AF699">
            <v>41053</v>
          </cell>
          <cell r="AH699">
            <v>75.196780000000004</v>
          </cell>
          <cell r="AM699">
            <v>41053</v>
          </cell>
          <cell r="AO699">
            <v>38.54074</v>
          </cell>
          <cell r="AT699">
            <v>41053</v>
          </cell>
          <cell r="AV699">
            <v>33.810009999999998</v>
          </cell>
          <cell r="BA699">
            <v>41053</v>
          </cell>
          <cell r="BC699">
            <v>17.01164</v>
          </cell>
          <cell r="BH699">
            <v>41053</v>
          </cell>
          <cell r="BJ699">
            <v>17.103190000000001</v>
          </cell>
        </row>
        <row r="700">
          <cell r="D700">
            <v>41052</v>
          </cell>
          <cell r="F700">
            <v>180.32431</v>
          </cell>
          <cell r="K700">
            <v>41052</v>
          </cell>
          <cell r="M700">
            <v>15.052379999999999</v>
          </cell>
          <cell r="R700">
            <v>41052</v>
          </cell>
          <cell r="T700">
            <v>6.08</v>
          </cell>
          <cell r="Y700">
            <v>41052</v>
          </cell>
          <cell r="AA700">
            <v>217.28</v>
          </cell>
          <cell r="AF700">
            <v>41052</v>
          </cell>
          <cell r="AH700">
            <v>75.893789999999996</v>
          </cell>
          <cell r="AM700">
            <v>41052</v>
          </cell>
          <cell r="AO700">
            <v>38.103940000000001</v>
          </cell>
          <cell r="AT700">
            <v>41052</v>
          </cell>
          <cell r="AV700">
            <v>33.358080000000001</v>
          </cell>
          <cell r="BA700">
            <v>41052</v>
          </cell>
          <cell r="BC700">
            <v>17.523050000000001</v>
          </cell>
          <cell r="BH700">
            <v>41052</v>
          </cell>
          <cell r="BJ700">
            <v>17.041</v>
          </cell>
        </row>
        <row r="701">
          <cell r="D701">
            <v>41051</v>
          </cell>
          <cell r="F701">
            <v>180.96794</v>
          </cell>
          <cell r="K701">
            <v>41051</v>
          </cell>
          <cell r="M701">
            <v>15.08845</v>
          </cell>
          <cell r="R701">
            <v>41051</v>
          </cell>
          <cell r="T701">
            <v>6.16</v>
          </cell>
          <cell r="Y701">
            <v>41051</v>
          </cell>
          <cell r="AA701">
            <v>215.33</v>
          </cell>
          <cell r="AF701">
            <v>41051</v>
          </cell>
          <cell r="AH701">
            <v>74.086100000000002</v>
          </cell>
          <cell r="AM701">
            <v>41051</v>
          </cell>
          <cell r="AO701">
            <v>38.336280000000002</v>
          </cell>
          <cell r="AT701">
            <v>41051</v>
          </cell>
          <cell r="AV701">
            <v>33.197000000000003</v>
          </cell>
          <cell r="BA701">
            <v>41051</v>
          </cell>
          <cell r="BC701">
            <v>17.378309999999999</v>
          </cell>
          <cell r="BH701">
            <v>41051</v>
          </cell>
          <cell r="BJ701">
            <v>17.041</v>
          </cell>
        </row>
        <row r="702">
          <cell r="D702">
            <v>41050</v>
          </cell>
          <cell r="F702">
            <v>181.83223000000001</v>
          </cell>
          <cell r="K702">
            <v>41050</v>
          </cell>
          <cell r="M702">
            <v>15.03434</v>
          </cell>
          <cell r="R702">
            <v>41050</v>
          </cell>
          <cell r="T702">
            <v>6.3</v>
          </cell>
          <cell r="Y702">
            <v>41050</v>
          </cell>
          <cell r="AA702">
            <v>218.11</v>
          </cell>
          <cell r="AF702">
            <v>41050</v>
          </cell>
          <cell r="AH702">
            <v>74.659400000000005</v>
          </cell>
          <cell r="AM702">
            <v>41050</v>
          </cell>
          <cell r="AO702">
            <v>38.429220000000001</v>
          </cell>
          <cell r="AT702">
            <v>41050</v>
          </cell>
          <cell r="AV702">
            <v>33.340179999999997</v>
          </cell>
          <cell r="BA702">
            <v>41050</v>
          </cell>
          <cell r="BC702">
            <v>17.754629999999999</v>
          </cell>
          <cell r="BH702">
            <v>41050</v>
          </cell>
          <cell r="BJ702">
            <v>16.987690000000001</v>
          </cell>
        </row>
        <row r="703">
          <cell r="D703">
            <v>41047</v>
          </cell>
          <cell r="F703">
            <v>180.10364000000001</v>
          </cell>
          <cell r="K703">
            <v>41047</v>
          </cell>
          <cell r="M703">
            <v>14.853960000000001</v>
          </cell>
          <cell r="R703">
            <v>41047</v>
          </cell>
          <cell r="T703">
            <v>6.01</v>
          </cell>
          <cell r="Y703">
            <v>41047</v>
          </cell>
          <cell r="AA703">
            <v>213.85</v>
          </cell>
          <cell r="AF703">
            <v>41047</v>
          </cell>
          <cell r="AH703">
            <v>70.549189999999996</v>
          </cell>
          <cell r="AM703">
            <v>41047</v>
          </cell>
          <cell r="AO703">
            <v>38.066769999999998</v>
          </cell>
          <cell r="AT703">
            <v>41047</v>
          </cell>
          <cell r="AV703">
            <v>33.134349999999998</v>
          </cell>
          <cell r="BA703">
            <v>41047</v>
          </cell>
          <cell r="BC703">
            <v>17.378309999999999</v>
          </cell>
          <cell r="BH703">
            <v>41047</v>
          </cell>
          <cell r="BJ703">
            <v>16.836649999999999</v>
          </cell>
        </row>
        <row r="704">
          <cell r="D704">
            <v>41046</v>
          </cell>
          <cell r="F704">
            <v>181.95176000000001</v>
          </cell>
          <cell r="K704">
            <v>41046</v>
          </cell>
          <cell r="M704">
            <v>14.92611</v>
          </cell>
          <cell r="R704">
            <v>41046</v>
          </cell>
          <cell r="T704">
            <v>6.13</v>
          </cell>
          <cell r="Y704">
            <v>41046</v>
          </cell>
          <cell r="AA704">
            <v>218.36</v>
          </cell>
          <cell r="AF704">
            <v>41046</v>
          </cell>
          <cell r="AH704">
            <v>70.514610000000005</v>
          </cell>
          <cell r="AM704">
            <v>41046</v>
          </cell>
          <cell r="AO704">
            <v>38.577919999999999</v>
          </cell>
          <cell r="AT704">
            <v>41046</v>
          </cell>
          <cell r="AV704">
            <v>33.613129999999998</v>
          </cell>
          <cell r="BA704">
            <v>41046</v>
          </cell>
          <cell r="BC704">
            <v>17.802879999999998</v>
          </cell>
          <cell r="BH704">
            <v>41046</v>
          </cell>
          <cell r="BJ704">
            <v>16.774450000000002</v>
          </cell>
        </row>
        <row r="705">
          <cell r="D705">
            <v>41045</v>
          </cell>
          <cell r="F705">
            <v>183.64356000000001</v>
          </cell>
          <cell r="K705">
            <v>41045</v>
          </cell>
          <cell r="M705">
            <v>15.052379999999999</v>
          </cell>
          <cell r="R705">
            <v>41045</v>
          </cell>
          <cell r="T705">
            <v>6.39</v>
          </cell>
          <cell r="Y705">
            <v>41045</v>
          </cell>
          <cell r="AA705">
            <v>224.06</v>
          </cell>
          <cell r="AF705">
            <v>41045</v>
          </cell>
          <cell r="AH705">
            <v>72.636889999999994</v>
          </cell>
          <cell r="AM705">
            <v>41045</v>
          </cell>
          <cell r="AO705">
            <v>39.144829999999999</v>
          </cell>
          <cell r="AT705">
            <v>41045</v>
          </cell>
          <cell r="AV705">
            <v>34.154559999999996</v>
          </cell>
          <cell r="BA705">
            <v>41045</v>
          </cell>
          <cell r="BC705">
            <v>17.841480000000001</v>
          </cell>
          <cell r="BH705">
            <v>41045</v>
          </cell>
          <cell r="BJ705">
            <v>16.881070000000001</v>
          </cell>
        </row>
        <row r="706">
          <cell r="D706">
            <v>41044</v>
          </cell>
          <cell r="F706">
            <v>183.00913</v>
          </cell>
          <cell r="K706">
            <v>41044</v>
          </cell>
          <cell r="M706">
            <v>14.91709</v>
          </cell>
          <cell r="R706">
            <v>41044</v>
          </cell>
          <cell r="T706">
            <v>6.6</v>
          </cell>
          <cell r="Y706">
            <v>41044</v>
          </cell>
          <cell r="AA706">
            <v>224.39</v>
          </cell>
          <cell r="AF706">
            <v>41044</v>
          </cell>
          <cell r="AH706">
            <v>73.580640000000002</v>
          </cell>
          <cell r="AM706">
            <v>41044</v>
          </cell>
          <cell r="AO706">
            <v>39.247059999999998</v>
          </cell>
          <cell r="AT706">
            <v>41044</v>
          </cell>
          <cell r="AV706">
            <v>34.261949999999999</v>
          </cell>
          <cell r="BA706">
            <v>41044</v>
          </cell>
          <cell r="BC706">
            <v>17.928319999999999</v>
          </cell>
          <cell r="BH706">
            <v>41044</v>
          </cell>
          <cell r="BJ706">
            <v>16.347989999999999</v>
          </cell>
        </row>
        <row r="707">
          <cell r="D707">
            <v>41043</v>
          </cell>
          <cell r="F707">
            <v>183.37692000000001</v>
          </cell>
          <cell r="K707">
            <v>41043</v>
          </cell>
          <cell r="M707">
            <v>15.065899999999999</v>
          </cell>
          <cell r="R707">
            <v>41043</v>
          </cell>
          <cell r="T707">
            <v>6.75</v>
          </cell>
          <cell r="Y707">
            <v>41043</v>
          </cell>
          <cell r="AA707">
            <v>222.93</v>
          </cell>
          <cell r="AF707">
            <v>41043</v>
          </cell>
          <cell r="AH707">
            <v>74.252369999999999</v>
          </cell>
          <cell r="AM707">
            <v>41043</v>
          </cell>
          <cell r="AO707">
            <v>39.739620000000002</v>
          </cell>
          <cell r="AT707">
            <v>41043</v>
          </cell>
          <cell r="AV707">
            <v>34.396189999999997</v>
          </cell>
          <cell r="BA707">
            <v>41043</v>
          </cell>
          <cell r="BC707">
            <v>17.802879999999998</v>
          </cell>
          <cell r="BH707">
            <v>41043</v>
          </cell>
          <cell r="BJ707">
            <v>16.525680000000001</v>
          </cell>
        </row>
        <row r="708">
          <cell r="D708">
            <v>41040</v>
          </cell>
          <cell r="F708">
            <v>184.96758</v>
          </cell>
          <cell r="K708">
            <v>41040</v>
          </cell>
          <cell r="M708">
            <v>14.885529999999999</v>
          </cell>
          <cell r="R708">
            <v>41040</v>
          </cell>
          <cell r="T708">
            <v>6.78</v>
          </cell>
          <cell r="Y708">
            <v>41040</v>
          </cell>
          <cell r="AA708">
            <v>227.68</v>
          </cell>
          <cell r="AF708">
            <v>41040</v>
          </cell>
          <cell r="AH708">
            <v>75.381680000000003</v>
          </cell>
          <cell r="AM708">
            <v>41040</v>
          </cell>
          <cell r="AO708">
            <v>39.488689999999998</v>
          </cell>
          <cell r="AT708">
            <v>41040</v>
          </cell>
          <cell r="AV708">
            <v>34.664659999999998</v>
          </cell>
          <cell r="BA708">
            <v>41040</v>
          </cell>
          <cell r="BC708">
            <v>18.59412</v>
          </cell>
          <cell r="BH708">
            <v>41040</v>
          </cell>
          <cell r="BJ708">
            <v>16.889959999999999</v>
          </cell>
        </row>
        <row r="709">
          <cell r="D709">
            <v>41039</v>
          </cell>
          <cell r="F709">
            <v>184.44349</v>
          </cell>
          <cell r="K709">
            <v>41039</v>
          </cell>
          <cell r="M709">
            <v>15.160600000000001</v>
          </cell>
          <cell r="R709">
            <v>41039</v>
          </cell>
          <cell r="T709">
            <v>6.78</v>
          </cell>
          <cell r="Y709">
            <v>41039</v>
          </cell>
          <cell r="AA709">
            <v>226.69</v>
          </cell>
          <cell r="AF709">
            <v>41039</v>
          </cell>
          <cell r="AH709">
            <v>75.888469999999998</v>
          </cell>
          <cell r="AM709">
            <v>41039</v>
          </cell>
          <cell r="AO709">
            <v>39.256349999999998</v>
          </cell>
          <cell r="AT709">
            <v>41039</v>
          </cell>
          <cell r="AV709">
            <v>34.637810000000002</v>
          </cell>
          <cell r="BA709">
            <v>41039</v>
          </cell>
          <cell r="BC709">
            <v>18.980090000000001</v>
          </cell>
          <cell r="BH709">
            <v>41039</v>
          </cell>
          <cell r="BJ709">
            <v>16.961040000000001</v>
          </cell>
        </row>
        <row r="710">
          <cell r="D710">
            <v>41038</v>
          </cell>
          <cell r="F710">
            <v>185.02275</v>
          </cell>
          <cell r="K710">
            <v>41038</v>
          </cell>
          <cell r="M710">
            <v>16.9373</v>
          </cell>
          <cell r="R710">
            <v>41038</v>
          </cell>
          <cell r="T710">
            <v>6.86</v>
          </cell>
          <cell r="Y710">
            <v>41038</v>
          </cell>
          <cell r="AA710">
            <v>222.98</v>
          </cell>
          <cell r="AF710">
            <v>41038</v>
          </cell>
          <cell r="AH710">
            <v>75.710229999999996</v>
          </cell>
          <cell r="AM710">
            <v>41038</v>
          </cell>
          <cell r="AO710">
            <v>39.247059999999998</v>
          </cell>
          <cell r="AT710">
            <v>41038</v>
          </cell>
          <cell r="AV710">
            <v>34.355910000000002</v>
          </cell>
          <cell r="BA710">
            <v>41038</v>
          </cell>
          <cell r="BC710">
            <v>18.767800000000001</v>
          </cell>
          <cell r="BH710">
            <v>41038</v>
          </cell>
          <cell r="BJ710">
            <v>16.801110000000001</v>
          </cell>
        </row>
        <row r="711">
          <cell r="D711">
            <v>41037</v>
          </cell>
          <cell r="F711">
            <v>185.25262000000001</v>
          </cell>
          <cell r="K711">
            <v>41037</v>
          </cell>
          <cell r="M711">
            <v>16.874169999999999</v>
          </cell>
          <cell r="R711">
            <v>41037</v>
          </cell>
          <cell r="T711">
            <v>7.03</v>
          </cell>
          <cell r="Y711">
            <v>41037</v>
          </cell>
          <cell r="AA711">
            <v>223.9</v>
          </cell>
          <cell r="AF711">
            <v>41037</v>
          </cell>
          <cell r="AH711">
            <v>75.577209999999994</v>
          </cell>
          <cell r="AM711">
            <v>41037</v>
          </cell>
          <cell r="AO711">
            <v>39.981259999999999</v>
          </cell>
          <cell r="AT711">
            <v>41037</v>
          </cell>
          <cell r="AV711">
            <v>34.517000000000003</v>
          </cell>
          <cell r="BA711">
            <v>41037</v>
          </cell>
          <cell r="BC711">
            <v>18.854649999999999</v>
          </cell>
          <cell r="BH711">
            <v>41037</v>
          </cell>
          <cell r="BJ711">
            <v>17.103190000000001</v>
          </cell>
        </row>
        <row r="712">
          <cell r="D712">
            <v>41036</v>
          </cell>
          <cell r="F712">
            <v>186.55824999999999</v>
          </cell>
          <cell r="K712">
            <v>41036</v>
          </cell>
          <cell r="M712">
            <v>17.20787</v>
          </cell>
          <cell r="R712">
            <v>41036</v>
          </cell>
          <cell r="T712">
            <v>7.18</v>
          </cell>
          <cell r="Y712">
            <v>41036</v>
          </cell>
          <cell r="AA712">
            <v>225.16</v>
          </cell>
          <cell r="AF712">
            <v>41036</v>
          </cell>
          <cell r="AH712">
            <v>75.750129999999999</v>
          </cell>
          <cell r="AM712">
            <v>41036</v>
          </cell>
          <cell r="AO712">
            <v>39.832560000000001</v>
          </cell>
          <cell r="AT712">
            <v>41036</v>
          </cell>
          <cell r="AV712">
            <v>34.579639999999998</v>
          </cell>
          <cell r="BA712">
            <v>41036</v>
          </cell>
          <cell r="BC712">
            <v>18.439730000000001</v>
          </cell>
          <cell r="BH712">
            <v>41036</v>
          </cell>
          <cell r="BJ712">
            <v>17.165379999999999</v>
          </cell>
        </row>
        <row r="713">
          <cell r="D713">
            <v>41033</v>
          </cell>
          <cell r="F713">
            <v>187.69362000000001</v>
          </cell>
          <cell r="K713">
            <v>41033</v>
          </cell>
          <cell r="M713">
            <v>17.243939999999998</v>
          </cell>
          <cell r="R713">
            <v>41033</v>
          </cell>
          <cell r="T713">
            <v>7.18</v>
          </cell>
          <cell r="Y713">
            <v>41033</v>
          </cell>
          <cell r="AA713">
            <v>223.99</v>
          </cell>
          <cell r="AF713">
            <v>41033</v>
          </cell>
          <cell r="AH713">
            <v>75.187470000000005</v>
          </cell>
          <cell r="AM713">
            <v>41033</v>
          </cell>
          <cell r="AO713">
            <v>39.683860000000003</v>
          </cell>
          <cell r="AT713">
            <v>41033</v>
          </cell>
          <cell r="AV713">
            <v>34.454360000000001</v>
          </cell>
          <cell r="BA713">
            <v>41033</v>
          </cell>
          <cell r="BC713">
            <v>18.632709999999999</v>
          </cell>
          <cell r="BH713">
            <v>41033</v>
          </cell>
          <cell r="BJ713">
            <v>17.183150000000001</v>
          </cell>
        </row>
        <row r="714">
          <cell r="D714">
            <v>41032</v>
          </cell>
          <cell r="F714">
            <v>189.75377</v>
          </cell>
          <cell r="K714">
            <v>41032</v>
          </cell>
          <cell r="M714">
            <v>17.785070000000001</v>
          </cell>
          <cell r="R714">
            <v>41032</v>
          </cell>
          <cell r="T714">
            <v>7.41</v>
          </cell>
          <cell r="Y714">
            <v>41032</v>
          </cell>
          <cell r="AA714">
            <v>229.45</v>
          </cell>
          <cell r="AF714">
            <v>41032</v>
          </cell>
          <cell r="AH714">
            <v>77.391549999999995</v>
          </cell>
          <cell r="AM714">
            <v>41032</v>
          </cell>
          <cell r="AO714">
            <v>40.269359999999999</v>
          </cell>
          <cell r="AT714">
            <v>41032</v>
          </cell>
          <cell r="AV714">
            <v>34.651240000000001</v>
          </cell>
          <cell r="BA714">
            <v>41032</v>
          </cell>
          <cell r="BC714">
            <v>19.02833</v>
          </cell>
          <cell r="BH714">
            <v>41032</v>
          </cell>
          <cell r="BJ714">
            <v>17.42304</v>
          </cell>
        </row>
        <row r="715">
          <cell r="D715">
            <v>41031</v>
          </cell>
          <cell r="F715">
            <v>190.50458</v>
          </cell>
          <cell r="K715">
            <v>41031</v>
          </cell>
          <cell r="M715">
            <v>17.8933</v>
          </cell>
          <cell r="R715">
            <v>41031</v>
          </cell>
          <cell r="T715">
            <v>7.63</v>
          </cell>
          <cell r="Y715">
            <v>41031</v>
          </cell>
          <cell r="AA715">
            <v>230.25</v>
          </cell>
          <cell r="AF715">
            <v>41031</v>
          </cell>
          <cell r="AH715">
            <v>77.944900000000004</v>
          </cell>
          <cell r="AM715">
            <v>41031</v>
          </cell>
          <cell r="AO715">
            <v>39.423639999999999</v>
          </cell>
          <cell r="AT715">
            <v>41031</v>
          </cell>
          <cell r="AV715">
            <v>34.525950000000002</v>
          </cell>
          <cell r="BA715">
            <v>41031</v>
          </cell>
          <cell r="BC715">
            <v>18.516919999999999</v>
          </cell>
          <cell r="BH715">
            <v>41031</v>
          </cell>
          <cell r="BJ715">
            <v>17.565200000000001</v>
          </cell>
        </row>
        <row r="716">
          <cell r="D716">
            <v>41030</v>
          </cell>
          <cell r="F716">
            <v>190.44964999999999</v>
          </cell>
          <cell r="K716">
            <v>41030</v>
          </cell>
          <cell r="M716">
            <v>18.019559999999998</v>
          </cell>
          <cell r="R716">
            <v>41030</v>
          </cell>
          <cell r="T716">
            <v>7.59</v>
          </cell>
          <cell r="Y716">
            <v>41030</v>
          </cell>
          <cell r="AA716">
            <v>230.04</v>
          </cell>
          <cell r="AF716">
            <v>41030</v>
          </cell>
          <cell r="AH716">
            <v>77.432789999999997</v>
          </cell>
          <cell r="AM716">
            <v>41030</v>
          </cell>
          <cell r="AO716">
            <v>39.451520000000002</v>
          </cell>
          <cell r="AT716">
            <v>41030</v>
          </cell>
          <cell r="AV716">
            <v>34.423029999999997</v>
          </cell>
          <cell r="BA716">
            <v>41030</v>
          </cell>
          <cell r="BC716">
            <v>17.65814</v>
          </cell>
          <cell r="BH716">
            <v>41030</v>
          </cell>
          <cell r="BJ716">
            <v>17.591850000000001</v>
          </cell>
        </row>
        <row r="717">
          <cell r="D717">
            <v>41029</v>
          </cell>
          <cell r="F717">
            <v>189.60727</v>
          </cell>
          <cell r="K717">
            <v>41029</v>
          </cell>
          <cell r="M717">
            <v>18.177389999999999</v>
          </cell>
          <cell r="R717">
            <v>41029</v>
          </cell>
          <cell r="T717">
            <v>7.36</v>
          </cell>
          <cell r="Y717">
            <v>41029</v>
          </cell>
          <cell r="AA717">
            <v>231.9</v>
          </cell>
          <cell r="AF717">
            <v>41029</v>
          </cell>
          <cell r="AH717">
            <v>77.678870000000003</v>
          </cell>
          <cell r="AM717">
            <v>41029</v>
          </cell>
          <cell r="AO717">
            <v>39.284230000000001</v>
          </cell>
          <cell r="AT717">
            <v>41029</v>
          </cell>
          <cell r="AV717">
            <v>34.150080000000003</v>
          </cell>
          <cell r="BA717">
            <v>41029</v>
          </cell>
          <cell r="BC717">
            <v>17.638839999999998</v>
          </cell>
          <cell r="BH717">
            <v>41029</v>
          </cell>
          <cell r="BJ717">
            <v>17.39639</v>
          </cell>
        </row>
        <row r="718">
          <cell r="D718">
            <v>41026</v>
          </cell>
          <cell r="F718">
            <v>189.36005</v>
          </cell>
          <cell r="K718">
            <v>41026</v>
          </cell>
          <cell r="M718">
            <v>18.019559999999998</v>
          </cell>
          <cell r="R718">
            <v>41026</v>
          </cell>
          <cell r="T718">
            <v>7.33</v>
          </cell>
          <cell r="Y718">
            <v>41026</v>
          </cell>
          <cell r="AA718">
            <v>226.85</v>
          </cell>
          <cell r="AF718">
            <v>41026</v>
          </cell>
          <cell r="AH718">
            <v>80.208839999999995</v>
          </cell>
          <cell r="AM718">
            <v>41026</v>
          </cell>
          <cell r="AO718">
            <v>39.32141</v>
          </cell>
          <cell r="AT718">
            <v>41026</v>
          </cell>
          <cell r="AV718">
            <v>34.288800000000002</v>
          </cell>
          <cell r="BA718">
            <v>41026</v>
          </cell>
          <cell r="BC718">
            <v>17.783580000000001</v>
          </cell>
          <cell r="BH718">
            <v>41026</v>
          </cell>
          <cell r="BJ718">
            <v>17.574079999999999</v>
          </cell>
        </row>
        <row r="719">
          <cell r="D719">
            <v>41025</v>
          </cell>
          <cell r="F719">
            <v>188.23383999999999</v>
          </cell>
          <cell r="K719">
            <v>41025</v>
          </cell>
          <cell r="M719">
            <v>17.676850000000002</v>
          </cell>
          <cell r="R719">
            <v>41025</v>
          </cell>
          <cell r="T719">
            <v>7.45</v>
          </cell>
          <cell r="Y719">
            <v>41025</v>
          </cell>
          <cell r="AA719">
            <v>195.99</v>
          </cell>
          <cell r="AF719">
            <v>41025</v>
          </cell>
          <cell r="AH719">
            <v>80.834019999999995</v>
          </cell>
          <cell r="AM719">
            <v>41025</v>
          </cell>
          <cell r="AO719">
            <v>38.949660000000002</v>
          </cell>
          <cell r="AT719">
            <v>41025</v>
          </cell>
          <cell r="AV719">
            <v>33.877130000000001</v>
          </cell>
          <cell r="BA719">
            <v>41025</v>
          </cell>
          <cell r="BC719">
            <v>17.65814</v>
          </cell>
          <cell r="BH719">
            <v>41025</v>
          </cell>
          <cell r="BJ719">
            <v>17.431930000000001</v>
          </cell>
        </row>
        <row r="720">
          <cell r="D720">
            <v>41024</v>
          </cell>
          <cell r="F720">
            <v>186.39343</v>
          </cell>
          <cell r="K720">
            <v>41024</v>
          </cell>
          <cell r="M720">
            <v>17.577639999999999</v>
          </cell>
          <cell r="R720">
            <v>41024</v>
          </cell>
          <cell r="T720">
            <v>7.39</v>
          </cell>
          <cell r="Y720">
            <v>41024</v>
          </cell>
          <cell r="AA720">
            <v>194.42</v>
          </cell>
          <cell r="AF720">
            <v>41024</v>
          </cell>
          <cell r="AH720">
            <v>81.139949999999999</v>
          </cell>
          <cell r="AM720">
            <v>41024</v>
          </cell>
          <cell r="AO720">
            <v>38.670850000000002</v>
          </cell>
          <cell r="AT720">
            <v>41024</v>
          </cell>
          <cell r="AV720">
            <v>33.528120000000001</v>
          </cell>
          <cell r="BA720">
            <v>41024</v>
          </cell>
          <cell r="BC720">
            <v>17.629190000000001</v>
          </cell>
          <cell r="BH720">
            <v>41024</v>
          </cell>
          <cell r="BJ720">
            <v>17.280889999999999</v>
          </cell>
        </row>
        <row r="721">
          <cell r="D721">
            <v>41023</v>
          </cell>
          <cell r="F721">
            <v>183.12466000000001</v>
          </cell>
          <cell r="K721">
            <v>41023</v>
          </cell>
          <cell r="M721">
            <v>17.514510000000001</v>
          </cell>
          <cell r="R721">
            <v>41023</v>
          </cell>
          <cell r="T721">
            <v>7.31</v>
          </cell>
          <cell r="Y721">
            <v>41023</v>
          </cell>
          <cell r="AA721">
            <v>190.33</v>
          </cell>
          <cell r="AF721">
            <v>41023</v>
          </cell>
          <cell r="AH721">
            <v>74.526380000000003</v>
          </cell>
          <cell r="AM721">
            <v>41023</v>
          </cell>
          <cell r="AO721">
            <v>38.326990000000002</v>
          </cell>
          <cell r="AT721">
            <v>41023</v>
          </cell>
          <cell r="AV721">
            <v>33.165669999999999</v>
          </cell>
          <cell r="BA721">
            <v>41023</v>
          </cell>
          <cell r="BC721">
            <v>17.45551</v>
          </cell>
          <cell r="BH721">
            <v>41023</v>
          </cell>
          <cell r="BJ721">
            <v>17.360849999999999</v>
          </cell>
        </row>
        <row r="722">
          <cell r="D722">
            <v>41022</v>
          </cell>
          <cell r="F722">
            <v>181.86109999999999</v>
          </cell>
          <cell r="K722">
            <v>41022</v>
          </cell>
          <cell r="M722">
            <v>17.748999999999999</v>
          </cell>
          <cell r="R722">
            <v>41022</v>
          </cell>
          <cell r="T722">
            <v>7.39</v>
          </cell>
          <cell r="Y722">
            <v>41022</v>
          </cell>
          <cell r="AA722">
            <v>188.24</v>
          </cell>
          <cell r="AF722">
            <v>41022</v>
          </cell>
          <cell r="AH722">
            <v>76.045429999999996</v>
          </cell>
          <cell r="AM722">
            <v>41022</v>
          </cell>
          <cell r="AO722">
            <v>38.47569</v>
          </cell>
          <cell r="AT722">
            <v>41022</v>
          </cell>
          <cell r="AV722">
            <v>32.973269999999999</v>
          </cell>
          <cell r="BA722">
            <v>41022</v>
          </cell>
          <cell r="BC722">
            <v>17.330069999999999</v>
          </cell>
          <cell r="BH722">
            <v>41022</v>
          </cell>
          <cell r="BJ722">
            <v>16.943269999999998</v>
          </cell>
        </row>
        <row r="723">
          <cell r="D723">
            <v>41019</v>
          </cell>
          <cell r="F723">
            <v>182.75841</v>
          </cell>
          <cell r="K723">
            <v>41019</v>
          </cell>
          <cell r="M723">
            <v>17.956430000000001</v>
          </cell>
          <cell r="R723">
            <v>41019</v>
          </cell>
          <cell r="T723">
            <v>7.76</v>
          </cell>
          <cell r="Y723">
            <v>41019</v>
          </cell>
          <cell r="AA723">
            <v>189.98</v>
          </cell>
          <cell r="AF723">
            <v>41019</v>
          </cell>
          <cell r="AH723">
            <v>76.215689999999995</v>
          </cell>
          <cell r="AM723">
            <v>41019</v>
          </cell>
          <cell r="AO723">
            <v>38.615090000000002</v>
          </cell>
          <cell r="AT723">
            <v>41019</v>
          </cell>
          <cell r="AV723">
            <v>33.17015</v>
          </cell>
          <cell r="BA723">
            <v>41019</v>
          </cell>
          <cell r="BC723">
            <v>17.764279999999999</v>
          </cell>
          <cell r="BH723">
            <v>41019</v>
          </cell>
          <cell r="BJ723">
            <v>17.20092</v>
          </cell>
        </row>
        <row r="724">
          <cell r="D724">
            <v>41018</v>
          </cell>
          <cell r="F724">
            <v>182.67599999999999</v>
          </cell>
          <cell r="K724">
            <v>41018</v>
          </cell>
          <cell r="M724">
            <v>17.951920000000001</v>
          </cell>
          <cell r="R724">
            <v>41018</v>
          </cell>
          <cell r="T724">
            <v>7.97</v>
          </cell>
          <cell r="Y724">
            <v>41018</v>
          </cell>
          <cell r="AA724">
            <v>191.1</v>
          </cell>
          <cell r="AF724">
            <v>41018</v>
          </cell>
          <cell r="AH724">
            <v>78.139110000000002</v>
          </cell>
          <cell r="AM724">
            <v>41018</v>
          </cell>
          <cell r="AO724">
            <v>38.26193</v>
          </cell>
          <cell r="AT724">
            <v>41018</v>
          </cell>
          <cell r="AV724">
            <v>33.031440000000003</v>
          </cell>
          <cell r="BA724">
            <v>41018</v>
          </cell>
          <cell r="BC724">
            <v>17.706389999999999</v>
          </cell>
          <cell r="BH724">
            <v>41018</v>
          </cell>
          <cell r="BJ724">
            <v>17.005459999999999</v>
          </cell>
        </row>
        <row r="725">
          <cell r="D725">
            <v>41017</v>
          </cell>
          <cell r="F725">
            <v>183.24368999999999</v>
          </cell>
          <cell r="K725">
            <v>41017</v>
          </cell>
          <cell r="M725">
            <v>18.091709999999999</v>
          </cell>
          <cell r="R725">
            <v>41017</v>
          </cell>
          <cell r="T725">
            <v>7.97</v>
          </cell>
          <cell r="Y725">
            <v>41017</v>
          </cell>
          <cell r="AA725">
            <v>191.07</v>
          </cell>
          <cell r="AF725">
            <v>41017</v>
          </cell>
          <cell r="AH725">
            <v>80.919150000000002</v>
          </cell>
          <cell r="AM725">
            <v>41017</v>
          </cell>
          <cell r="AO725">
            <v>38.26193</v>
          </cell>
          <cell r="AT725">
            <v>41017</v>
          </cell>
          <cell r="AV725">
            <v>33.188049999999997</v>
          </cell>
          <cell r="BA725">
            <v>41017</v>
          </cell>
          <cell r="BC725">
            <v>18.015160000000002</v>
          </cell>
          <cell r="BH725">
            <v>41017</v>
          </cell>
          <cell r="BJ725">
            <v>16.969919999999998</v>
          </cell>
        </row>
        <row r="726">
          <cell r="D726">
            <v>41016</v>
          </cell>
          <cell r="F726">
            <v>189.94605000000001</v>
          </cell>
          <cell r="K726">
            <v>41016</v>
          </cell>
          <cell r="M726">
            <v>18.109749999999998</v>
          </cell>
          <cell r="R726">
            <v>41016</v>
          </cell>
          <cell r="T726">
            <v>7.94</v>
          </cell>
          <cell r="Y726">
            <v>41016</v>
          </cell>
          <cell r="AA726">
            <v>188.39</v>
          </cell>
          <cell r="AF726">
            <v>41016</v>
          </cell>
          <cell r="AH726">
            <v>81.100049999999996</v>
          </cell>
          <cell r="AM726">
            <v>41016</v>
          </cell>
          <cell r="AO726">
            <v>38.754489999999997</v>
          </cell>
          <cell r="AT726">
            <v>41016</v>
          </cell>
          <cell r="AV726">
            <v>33.08961</v>
          </cell>
          <cell r="BA726">
            <v>41016</v>
          </cell>
          <cell r="BC726">
            <v>18.169550000000001</v>
          </cell>
          <cell r="BH726">
            <v>41016</v>
          </cell>
          <cell r="BJ726">
            <v>17.183150000000001</v>
          </cell>
        </row>
        <row r="727">
          <cell r="D727">
            <v>41015</v>
          </cell>
          <cell r="F727">
            <v>185.61515</v>
          </cell>
          <cell r="K727">
            <v>41015</v>
          </cell>
          <cell r="M727">
            <v>17.789580000000001</v>
          </cell>
          <cell r="R727">
            <v>41015</v>
          </cell>
          <cell r="T727">
            <v>7.7</v>
          </cell>
          <cell r="Y727">
            <v>41015</v>
          </cell>
          <cell r="AA727">
            <v>185.5</v>
          </cell>
          <cell r="AF727">
            <v>41015</v>
          </cell>
          <cell r="AH727">
            <v>77.166759999999996</v>
          </cell>
          <cell r="AM727">
            <v>41015</v>
          </cell>
          <cell r="AO727">
            <v>37.713610000000003</v>
          </cell>
          <cell r="AT727">
            <v>41015</v>
          </cell>
          <cell r="AV727">
            <v>32.413939999999997</v>
          </cell>
          <cell r="BA727">
            <v>41015</v>
          </cell>
          <cell r="BC727">
            <v>18.1599</v>
          </cell>
          <cell r="BH727">
            <v>41015</v>
          </cell>
          <cell r="BJ727">
            <v>16.79222</v>
          </cell>
        </row>
        <row r="728">
          <cell r="D728">
            <v>41012</v>
          </cell>
          <cell r="F728">
            <v>185.6884</v>
          </cell>
          <cell r="K728">
            <v>41012</v>
          </cell>
          <cell r="M728">
            <v>17.90232</v>
          </cell>
          <cell r="R728">
            <v>41012</v>
          </cell>
          <cell r="T728">
            <v>7.73</v>
          </cell>
          <cell r="Y728">
            <v>41012</v>
          </cell>
          <cell r="AA728">
            <v>188.46</v>
          </cell>
          <cell r="AF728">
            <v>41012</v>
          </cell>
          <cell r="AH728">
            <v>80.505470000000003</v>
          </cell>
          <cell r="AM728">
            <v>41012</v>
          </cell>
          <cell r="AO728">
            <v>37.667140000000003</v>
          </cell>
          <cell r="AT728">
            <v>41012</v>
          </cell>
          <cell r="AV728">
            <v>32.19021</v>
          </cell>
          <cell r="BA728">
            <v>41012</v>
          </cell>
          <cell r="BC728">
            <v>18.270869999999999</v>
          </cell>
          <cell r="BH728">
            <v>41012</v>
          </cell>
          <cell r="BJ728">
            <v>16.774450000000002</v>
          </cell>
        </row>
        <row r="729">
          <cell r="D729">
            <v>41011</v>
          </cell>
          <cell r="F729">
            <v>187.99578</v>
          </cell>
          <cell r="K729">
            <v>41011</v>
          </cell>
          <cell r="M729">
            <v>18.091709999999999</v>
          </cell>
          <cell r="R729">
            <v>41011</v>
          </cell>
          <cell r="T729">
            <v>7.92</v>
          </cell>
          <cell r="Y729">
            <v>41011</v>
          </cell>
          <cell r="AA729">
            <v>190.69</v>
          </cell>
          <cell r="AF729">
            <v>41011</v>
          </cell>
          <cell r="AH729">
            <v>82.838570000000004</v>
          </cell>
          <cell r="AM729">
            <v>41011</v>
          </cell>
          <cell r="AO729">
            <v>38.382750000000001</v>
          </cell>
          <cell r="AT729">
            <v>41011</v>
          </cell>
          <cell r="AV729">
            <v>32.3155</v>
          </cell>
          <cell r="BA729">
            <v>41011</v>
          </cell>
          <cell r="BC729">
            <v>18.661660000000001</v>
          </cell>
          <cell r="BH729">
            <v>41011</v>
          </cell>
          <cell r="BJ729">
            <v>17.14762</v>
          </cell>
        </row>
        <row r="730">
          <cell r="D730">
            <v>41010</v>
          </cell>
          <cell r="F730">
            <v>185.48697000000001</v>
          </cell>
          <cell r="K730">
            <v>41010</v>
          </cell>
          <cell r="M730">
            <v>18.051130000000001</v>
          </cell>
          <cell r="R730">
            <v>41010</v>
          </cell>
          <cell r="T730">
            <v>7.64</v>
          </cell>
          <cell r="Y730">
            <v>41010</v>
          </cell>
          <cell r="AA730">
            <v>187.97</v>
          </cell>
          <cell r="AF730">
            <v>41010</v>
          </cell>
          <cell r="AH730">
            <v>83.294820000000001</v>
          </cell>
          <cell r="AM730">
            <v>41010</v>
          </cell>
          <cell r="AO730">
            <v>38.345570000000002</v>
          </cell>
          <cell r="AT730">
            <v>41010</v>
          </cell>
          <cell r="AV730">
            <v>32.27075</v>
          </cell>
          <cell r="BA730">
            <v>41010</v>
          </cell>
          <cell r="BC730">
            <v>18.43008</v>
          </cell>
          <cell r="BH730">
            <v>41010</v>
          </cell>
          <cell r="BJ730">
            <v>16.889959999999999</v>
          </cell>
        </row>
        <row r="731">
          <cell r="D731">
            <v>41009</v>
          </cell>
          <cell r="F731">
            <v>185.25806</v>
          </cell>
          <cell r="K731">
            <v>41009</v>
          </cell>
          <cell r="M731">
            <v>17.63175</v>
          </cell>
          <cell r="R731">
            <v>41009</v>
          </cell>
          <cell r="T731">
            <v>7.53</v>
          </cell>
          <cell r="Y731">
            <v>41009</v>
          </cell>
          <cell r="AA731">
            <v>186.98</v>
          </cell>
          <cell r="AF731">
            <v>41009</v>
          </cell>
          <cell r="AH731">
            <v>83.592770000000002</v>
          </cell>
          <cell r="AM731">
            <v>41009</v>
          </cell>
          <cell r="AO731">
            <v>38.094650000000001</v>
          </cell>
          <cell r="AT731">
            <v>41009</v>
          </cell>
          <cell r="AV731">
            <v>32.226010000000002</v>
          </cell>
          <cell r="BA731">
            <v>41009</v>
          </cell>
          <cell r="BC731">
            <v>18.121300000000002</v>
          </cell>
          <cell r="BH731">
            <v>41009</v>
          </cell>
          <cell r="BJ731">
            <v>16.650069999999999</v>
          </cell>
        </row>
        <row r="732">
          <cell r="D732">
            <v>41008</v>
          </cell>
          <cell r="F732">
            <v>187.64784</v>
          </cell>
          <cell r="K732">
            <v>41008</v>
          </cell>
          <cell r="M732">
            <v>18.001519999999999</v>
          </cell>
          <cell r="R732">
            <v>41008</v>
          </cell>
          <cell r="T732">
            <v>7.75</v>
          </cell>
          <cell r="Y732">
            <v>41008</v>
          </cell>
          <cell r="AA732">
            <v>191.87</v>
          </cell>
          <cell r="AF732">
            <v>41008</v>
          </cell>
          <cell r="AH732">
            <v>84.628969999999995</v>
          </cell>
          <cell r="AM732">
            <v>41008</v>
          </cell>
          <cell r="AO732">
            <v>38.689439999999998</v>
          </cell>
          <cell r="AT732">
            <v>41008</v>
          </cell>
          <cell r="AV732">
            <v>32.606349999999999</v>
          </cell>
          <cell r="BA732">
            <v>41008</v>
          </cell>
          <cell r="BC732">
            <v>18.70026</v>
          </cell>
          <cell r="BH732">
            <v>41008</v>
          </cell>
          <cell r="BJ732">
            <v>17.058769999999999</v>
          </cell>
        </row>
        <row r="733">
          <cell r="D733">
            <v>41004</v>
          </cell>
          <cell r="F733">
            <v>188.13311999999999</v>
          </cell>
          <cell r="K733">
            <v>41004</v>
          </cell>
          <cell r="M733">
            <v>18.23601</v>
          </cell>
          <cell r="R733">
            <v>41004</v>
          </cell>
          <cell r="T733">
            <v>7.87</v>
          </cell>
          <cell r="Y733">
            <v>41004</v>
          </cell>
          <cell r="AA733">
            <v>194.39</v>
          </cell>
          <cell r="AF733">
            <v>41004</v>
          </cell>
          <cell r="AH733">
            <v>84.289779999999993</v>
          </cell>
          <cell r="AM733">
            <v>41004</v>
          </cell>
          <cell r="AO733">
            <v>38.81955</v>
          </cell>
          <cell r="AT733">
            <v>41004</v>
          </cell>
          <cell r="AV733">
            <v>32.87482</v>
          </cell>
          <cell r="BA733">
            <v>41004</v>
          </cell>
          <cell r="BC733">
            <v>19.327459999999999</v>
          </cell>
          <cell r="BH733">
            <v>41004</v>
          </cell>
          <cell r="BJ733">
            <v>17.31643</v>
          </cell>
        </row>
        <row r="734">
          <cell r="D734">
            <v>41003</v>
          </cell>
          <cell r="F734">
            <v>188.66417999999999</v>
          </cell>
          <cell r="K734">
            <v>41003</v>
          </cell>
          <cell r="M734">
            <v>18.362269999999999</v>
          </cell>
          <cell r="R734">
            <v>41003</v>
          </cell>
          <cell r="T734">
            <v>7.81</v>
          </cell>
          <cell r="Y734">
            <v>41003</v>
          </cell>
          <cell r="AA734">
            <v>193.99</v>
          </cell>
          <cell r="AF734">
            <v>41003</v>
          </cell>
          <cell r="AH734">
            <v>83.043419999999998</v>
          </cell>
          <cell r="AM734">
            <v>41003</v>
          </cell>
          <cell r="AO734">
            <v>39.38646</v>
          </cell>
          <cell r="AT734">
            <v>41003</v>
          </cell>
          <cell r="AV734">
            <v>32.870350000000002</v>
          </cell>
          <cell r="BA734">
            <v>41003</v>
          </cell>
          <cell r="BC734">
            <v>19.5108</v>
          </cell>
          <cell r="BH734">
            <v>41003</v>
          </cell>
          <cell r="BJ734">
            <v>17.538550000000001</v>
          </cell>
        </row>
        <row r="735">
          <cell r="D735">
            <v>41002</v>
          </cell>
          <cell r="F735">
            <v>191.82308</v>
          </cell>
          <cell r="K735">
            <v>41002</v>
          </cell>
          <cell r="M735">
            <v>18.777139999999999</v>
          </cell>
          <cell r="R735">
            <v>41002</v>
          </cell>
          <cell r="T735">
            <v>7.98</v>
          </cell>
          <cell r="Y735">
            <v>41002</v>
          </cell>
          <cell r="AA735">
            <v>199.66</v>
          </cell>
          <cell r="AF735">
            <v>41002</v>
          </cell>
          <cell r="AH735">
            <v>83.709829999999997</v>
          </cell>
          <cell r="AM735">
            <v>41002</v>
          </cell>
          <cell r="AO735">
            <v>39.237760000000002</v>
          </cell>
          <cell r="AT735">
            <v>41002</v>
          </cell>
          <cell r="AV735">
            <v>33.00459</v>
          </cell>
          <cell r="BA735">
            <v>41002</v>
          </cell>
          <cell r="BC735">
            <v>20.302040000000002</v>
          </cell>
          <cell r="BH735">
            <v>41002</v>
          </cell>
          <cell r="BJ735">
            <v>17.734010000000001</v>
          </cell>
        </row>
        <row r="736">
          <cell r="D736">
            <v>41001</v>
          </cell>
          <cell r="F736">
            <v>191.79561000000001</v>
          </cell>
          <cell r="K736">
            <v>41001</v>
          </cell>
          <cell r="M736">
            <v>19.038679999999999</v>
          </cell>
          <cell r="R736">
            <v>41001</v>
          </cell>
          <cell r="T736">
            <v>8.1999999999999993</v>
          </cell>
          <cell r="Y736">
            <v>41001</v>
          </cell>
          <cell r="AA736">
            <v>198.05</v>
          </cell>
          <cell r="AF736">
            <v>41001</v>
          </cell>
          <cell r="AH736">
            <v>82.287880000000001</v>
          </cell>
          <cell r="AM736">
            <v>41001</v>
          </cell>
          <cell r="AO736">
            <v>39.739620000000002</v>
          </cell>
          <cell r="AT736">
            <v>41001</v>
          </cell>
          <cell r="AV736">
            <v>33.174619999999997</v>
          </cell>
          <cell r="BA736">
            <v>41001</v>
          </cell>
          <cell r="BC736">
            <v>20.745899999999999</v>
          </cell>
          <cell r="BH736">
            <v>41001</v>
          </cell>
          <cell r="BJ736">
            <v>17.787320000000001</v>
          </cell>
        </row>
        <row r="737">
          <cell r="D737">
            <v>40998</v>
          </cell>
          <cell r="F737">
            <v>191.04480000000001</v>
          </cell>
          <cell r="K737">
            <v>40998</v>
          </cell>
          <cell r="M737">
            <v>19.002749999999999</v>
          </cell>
          <cell r="R737">
            <v>40998</v>
          </cell>
          <cell r="T737">
            <v>8.02</v>
          </cell>
          <cell r="Y737">
            <v>40998</v>
          </cell>
          <cell r="AA737">
            <v>202.51</v>
          </cell>
          <cell r="AF737">
            <v>40998</v>
          </cell>
          <cell r="AH737">
            <v>79.749930000000006</v>
          </cell>
          <cell r="AM737">
            <v>40998</v>
          </cell>
          <cell r="AO737">
            <v>40.064900000000002</v>
          </cell>
          <cell r="AT737">
            <v>40998</v>
          </cell>
          <cell r="AV737">
            <v>33.11645</v>
          </cell>
          <cell r="BA737">
            <v>40998</v>
          </cell>
          <cell r="BC737">
            <v>20.369579999999999</v>
          </cell>
          <cell r="BH737">
            <v>40998</v>
          </cell>
          <cell r="BJ737">
            <v>17.83174</v>
          </cell>
        </row>
        <row r="738">
          <cell r="D738">
            <v>40997</v>
          </cell>
          <cell r="F738">
            <v>190.69685999999999</v>
          </cell>
          <cell r="K738">
            <v>40997</v>
          </cell>
          <cell r="M738">
            <v>18.894929999999999</v>
          </cell>
          <cell r="R738">
            <v>40997</v>
          </cell>
          <cell r="T738">
            <v>8.1199999999999992</v>
          </cell>
          <cell r="Y738">
            <v>40997</v>
          </cell>
          <cell r="AA738">
            <v>204.61</v>
          </cell>
          <cell r="AF738">
            <v>40997</v>
          </cell>
          <cell r="AH738">
            <v>81.12133</v>
          </cell>
          <cell r="AM738">
            <v>40997</v>
          </cell>
          <cell r="AO738">
            <v>40.055599999999998</v>
          </cell>
          <cell r="AT738">
            <v>40997</v>
          </cell>
          <cell r="AV738">
            <v>33.026960000000003</v>
          </cell>
          <cell r="BA738">
            <v>40997</v>
          </cell>
          <cell r="BC738">
            <v>20.48537</v>
          </cell>
          <cell r="BH738">
            <v>40997</v>
          </cell>
          <cell r="BJ738">
            <v>17.72513</v>
          </cell>
        </row>
        <row r="739">
          <cell r="D739">
            <v>40996</v>
          </cell>
          <cell r="F739">
            <v>189.79955000000001</v>
          </cell>
          <cell r="K739">
            <v>40996</v>
          </cell>
          <cell r="M739">
            <v>18.93985</v>
          </cell>
          <cell r="R739">
            <v>40996</v>
          </cell>
          <cell r="T739">
            <v>8.08</v>
          </cell>
          <cell r="Y739">
            <v>40996</v>
          </cell>
          <cell r="AA739">
            <v>201.16</v>
          </cell>
          <cell r="AF739">
            <v>40996</v>
          </cell>
          <cell r="AH739">
            <v>82.153540000000007</v>
          </cell>
          <cell r="AM739">
            <v>40996</v>
          </cell>
          <cell r="AO739">
            <v>39.88832</v>
          </cell>
          <cell r="AT739">
            <v>40996</v>
          </cell>
          <cell r="AV739">
            <v>32.51238</v>
          </cell>
          <cell r="BA739">
            <v>40996</v>
          </cell>
          <cell r="BC739">
            <v>20.697659999999999</v>
          </cell>
          <cell r="BH739">
            <v>40996</v>
          </cell>
          <cell r="BJ739">
            <v>17.77843</v>
          </cell>
        </row>
        <row r="740">
          <cell r="D740">
            <v>40995</v>
          </cell>
          <cell r="F740">
            <v>189.69882999999999</v>
          </cell>
          <cell r="K740">
            <v>40995</v>
          </cell>
          <cell r="M740">
            <v>18.787109999999998</v>
          </cell>
          <cell r="R740">
            <v>40995</v>
          </cell>
          <cell r="T740">
            <v>8.19</v>
          </cell>
          <cell r="Y740">
            <v>40995</v>
          </cell>
          <cell r="AA740">
            <v>205.44</v>
          </cell>
          <cell r="AF740">
            <v>40995</v>
          </cell>
          <cell r="AH740">
            <v>81.735870000000006</v>
          </cell>
          <cell r="AM740">
            <v>40995</v>
          </cell>
          <cell r="AO740">
            <v>40.050960000000003</v>
          </cell>
          <cell r="AT740">
            <v>40995</v>
          </cell>
          <cell r="AV740">
            <v>32.15889</v>
          </cell>
          <cell r="BA740">
            <v>40995</v>
          </cell>
          <cell r="BC740">
            <v>21.054680000000001</v>
          </cell>
          <cell r="BH740">
            <v>40995</v>
          </cell>
          <cell r="BJ740">
            <v>17.80509</v>
          </cell>
        </row>
        <row r="741">
          <cell r="D741">
            <v>40994</v>
          </cell>
          <cell r="F741">
            <v>190.23904999999999</v>
          </cell>
          <cell r="K741">
            <v>40994</v>
          </cell>
          <cell r="M741">
            <v>18.724219999999999</v>
          </cell>
          <cell r="R741">
            <v>40994</v>
          </cell>
          <cell r="T741">
            <v>8.24</v>
          </cell>
          <cell r="Y741">
            <v>40994</v>
          </cell>
          <cell r="AA741">
            <v>202.87</v>
          </cell>
          <cell r="AF741">
            <v>40994</v>
          </cell>
          <cell r="AH741">
            <v>80.738240000000005</v>
          </cell>
          <cell r="AM741">
            <v>40994</v>
          </cell>
          <cell r="AO741">
            <v>40.023220000000002</v>
          </cell>
          <cell r="AT741">
            <v>40994</v>
          </cell>
          <cell r="AV741">
            <v>32.172310000000003</v>
          </cell>
          <cell r="BA741">
            <v>40994</v>
          </cell>
          <cell r="BC741">
            <v>21.844470000000001</v>
          </cell>
          <cell r="BH741">
            <v>40994</v>
          </cell>
          <cell r="BJ741">
            <v>17.813970000000001</v>
          </cell>
        </row>
        <row r="742">
          <cell r="D742">
            <v>40991</v>
          </cell>
          <cell r="F742">
            <v>188.14228</v>
          </cell>
          <cell r="K742">
            <v>40991</v>
          </cell>
          <cell r="M742">
            <v>18.445689999999999</v>
          </cell>
          <cell r="R742">
            <v>40991</v>
          </cell>
          <cell r="T742">
            <v>8.09</v>
          </cell>
          <cell r="Y742">
            <v>40991</v>
          </cell>
          <cell r="AA742">
            <v>195.04</v>
          </cell>
          <cell r="AF742">
            <v>40991</v>
          </cell>
          <cell r="AH742">
            <v>79.284379999999999</v>
          </cell>
          <cell r="AM742">
            <v>40991</v>
          </cell>
          <cell r="AO742">
            <v>39.005989999999997</v>
          </cell>
          <cell r="AT742">
            <v>40991</v>
          </cell>
          <cell r="AV742">
            <v>31.988859999999999</v>
          </cell>
          <cell r="BA742">
            <v>40991</v>
          </cell>
          <cell r="BC742">
            <v>21.276209999999999</v>
          </cell>
          <cell r="BH742">
            <v>40991</v>
          </cell>
          <cell r="BJ742">
            <v>17.574079999999999</v>
          </cell>
        </row>
        <row r="743">
          <cell r="D743">
            <v>40990</v>
          </cell>
          <cell r="F743">
            <v>188.15143</v>
          </cell>
          <cell r="K743">
            <v>40990</v>
          </cell>
          <cell r="M743">
            <v>18.310919999999999</v>
          </cell>
          <cell r="R743">
            <v>40990</v>
          </cell>
          <cell r="T743">
            <v>8.0299999999999994</v>
          </cell>
          <cell r="Y743">
            <v>40990</v>
          </cell>
          <cell r="AA743">
            <v>192.4</v>
          </cell>
          <cell r="AF743">
            <v>40990</v>
          </cell>
          <cell r="AH743">
            <v>79.721999999999994</v>
          </cell>
          <cell r="AM743">
            <v>40990</v>
          </cell>
          <cell r="AO743">
            <v>38.404899999999998</v>
          </cell>
          <cell r="AT743">
            <v>40990</v>
          </cell>
          <cell r="AV743">
            <v>31.957529999999998</v>
          </cell>
          <cell r="BA743">
            <v>40990</v>
          </cell>
          <cell r="BC743">
            <v>20.46715</v>
          </cell>
          <cell r="BH743">
            <v>40990</v>
          </cell>
          <cell r="BJ743">
            <v>17.636279999999999</v>
          </cell>
        </row>
        <row r="744">
          <cell r="D744">
            <v>40989</v>
          </cell>
          <cell r="F744">
            <v>187.41892999999999</v>
          </cell>
          <cell r="K744">
            <v>40989</v>
          </cell>
          <cell r="M744">
            <v>18.41874</v>
          </cell>
          <cell r="R744">
            <v>40989</v>
          </cell>
          <cell r="T744">
            <v>8.0399999999999991</v>
          </cell>
          <cell r="Y744">
            <v>40989</v>
          </cell>
          <cell r="AA744">
            <v>191.73</v>
          </cell>
          <cell r="AF744">
            <v>40989</v>
          </cell>
          <cell r="AH744">
            <v>80.142330000000001</v>
          </cell>
          <cell r="AM744">
            <v>40989</v>
          </cell>
          <cell r="AO744">
            <v>38.293930000000003</v>
          </cell>
          <cell r="AT744">
            <v>40989</v>
          </cell>
          <cell r="AV744">
            <v>31.8233</v>
          </cell>
          <cell r="BA744">
            <v>40989</v>
          </cell>
          <cell r="BC744">
            <v>20.99689</v>
          </cell>
          <cell r="BH744">
            <v>40989</v>
          </cell>
          <cell r="BJ744">
            <v>17.83174</v>
          </cell>
        </row>
        <row r="745">
          <cell r="D745">
            <v>40988</v>
          </cell>
          <cell r="F745">
            <v>187.01606000000001</v>
          </cell>
          <cell r="K745">
            <v>40988</v>
          </cell>
          <cell r="M745">
            <v>18.481629999999999</v>
          </cell>
          <cell r="R745">
            <v>40988</v>
          </cell>
          <cell r="T745">
            <v>8.06</v>
          </cell>
          <cell r="Y745">
            <v>40988</v>
          </cell>
          <cell r="AA745">
            <v>192.33</v>
          </cell>
          <cell r="AF745">
            <v>40988</v>
          </cell>
          <cell r="AH745">
            <v>80.60257</v>
          </cell>
          <cell r="AM745">
            <v>40988</v>
          </cell>
          <cell r="AO745">
            <v>37.748330000000003</v>
          </cell>
          <cell r="AT745">
            <v>40988</v>
          </cell>
          <cell r="AV745">
            <v>31.58614</v>
          </cell>
          <cell r="BA745">
            <v>40988</v>
          </cell>
          <cell r="BC745">
            <v>21.064309999999999</v>
          </cell>
          <cell r="BH745">
            <v>40988</v>
          </cell>
          <cell r="BJ745">
            <v>17.83174</v>
          </cell>
        </row>
        <row r="746">
          <cell r="D746">
            <v>40987</v>
          </cell>
          <cell r="F746">
            <v>188.36202</v>
          </cell>
          <cell r="K746">
            <v>40987</v>
          </cell>
          <cell r="M746">
            <v>18.095289999999999</v>
          </cell>
          <cell r="R746">
            <v>40987</v>
          </cell>
          <cell r="T746">
            <v>8.18</v>
          </cell>
          <cell r="Y746">
            <v>40987</v>
          </cell>
          <cell r="AA746">
            <v>185.52</v>
          </cell>
          <cell r="AF746">
            <v>40987</v>
          </cell>
          <cell r="AH746">
            <v>79.956109999999995</v>
          </cell>
          <cell r="AM746">
            <v>40987</v>
          </cell>
          <cell r="AO746">
            <v>38.127479999999998</v>
          </cell>
          <cell r="AT746">
            <v>40987</v>
          </cell>
          <cell r="AV746">
            <v>31.50113</v>
          </cell>
          <cell r="BA746">
            <v>40987</v>
          </cell>
          <cell r="BC746">
            <v>21.854099999999999</v>
          </cell>
          <cell r="BH746">
            <v>40987</v>
          </cell>
          <cell r="BJ746">
            <v>17.956130000000002</v>
          </cell>
        </row>
        <row r="747">
          <cell r="D747">
            <v>40984</v>
          </cell>
          <cell r="F747">
            <v>188.62755999999999</v>
          </cell>
          <cell r="K747">
            <v>40984</v>
          </cell>
          <cell r="M747">
            <v>17.996449999999999</v>
          </cell>
          <cell r="R747">
            <v>40984</v>
          </cell>
          <cell r="T747">
            <v>8.1999999999999993</v>
          </cell>
          <cell r="Y747">
            <v>40984</v>
          </cell>
          <cell r="AA747">
            <v>185.05</v>
          </cell>
          <cell r="AF747">
            <v>40984</v>
          </cell>
          <cell r="AH747">
            <v>77.890360000000001</v>
          </cell>
          <cell r="AM747">
            <v>40984</v>
          </cell>
          <cell r="AO747">
            <v>38.460389999999997</v>
          </cell>
          <cell r="AT747">
            <v>40984</v>
          </cell>
          <cell r="AV747">
            <v>31.393730000000001</v>
          </cell>
          <cell r="BA747">
            <v>40984</v>
          </cell>
          <cell r="BC747">
            <v>21.208780000000001</v>
          </cell>
          <cell r="BH747">
            <v>40984</v>
          </cell>
          <cell r="BJ747">
            <v>17.94725</v>
          </cell>
        </row>
        <row r="748">
          <cell r="D748">
            <v>40983</v>
          </cell>
          <cell r="F748">
            <v>188.61840000000001</v>
          </cell>
          <cell r="K748">
            <v>40983</v>
          </cell>
          <cell r="M748">
            <v>17.888639999999999</v>
          </cell>
          <cell r="R748">
            <v>40983</v>
          </cell>
          <cell r="T748">
            <v>8.25</v>
          </cell>
          <cell r="Y748">
            <v>40983</v>
          </cell>
          <cell r="AA748">
            <v>184.43</v>
          </cell>
          <cell r="AF748">
            <v>40983</v>
          </cell>
          <cell r="AH748">
            <v>77.889030000000005</v>
          </cell>
          <cell r="AM748">
            <v>40983</v>
          </cell>
          <cell r="AO748">
            <v>38.562109999999997</v>
          </cell>
          <cell r="AT748">
            <v>40983</v>
          </cell>
          <cell r="AV748">
            <v>31.469799999999999</v>
          </cell>
          <cell r="BA748">
            <v>40983</v>
          </cell>
          <cell r="BC748">
            <v>21.266570000000002</v>
          </cell>
          <cell r="BH748">
            <v>40983</v>
          </cell>
          <cell r="BJ748">
            <v>17.911709999999999</v>
          </cell>
        </row>
        <row r="749">
          <cell r="D749">
            <v>40982</v>
          </cell>
          <cell r="F749">
            <v>187.44640000000001</v>
          </cell>
          <cell r="K749">
            <v>40982</v>
          </cell>
          <cell r="M749">
            <v>18.1447</v>
          </cell>
          <cell r="R749">
            <v>40982</v>
          </cell>
          <cell r="T749">
            <v>7.76</v>
          </cell>
          <cell r="Y749">
            <v>40982</v>
          </cell>
          <cell r="AA749">
            <v>182.26</v>
          </cell>
          <cell r="AF749">
            <v>40982</v>
          </cell>
          <cell r="AH749">
            <v>78.423760000000001</v>
          </cell>
          <cell r="AM749">
            <v>40982</v>
          </cell>
          <cell r="AO749">
            <v>38.441890000000001</v>
          </cell>
          <cell r="AT749">
            <v>40982</v>
          </cell>
          <cell r="AV749">
            <v>31.420580000000001</v>
          </cell>
          <cell r="BA749">
            <v>40982</v>
          </cell>
          <cell r="BC749">
            <v>21.208780000000001</v>
          </cell>
          <cell r="BH749">
            <v>40982</v>
          </cell>
          <cell r="BJ749">
            <v>17.58297</v>
          </cell>
        </row>
        <row r="750">
          <cell r="D750">
            <v>40981</v>
          </cell>
          <cell r="F750">
            <v>186.58572000000001</v>
          </cell>
          <cell r="K750">
            <v>40981</v>
          </cell>
          <cell r="M750">
            <v>18.167159999999999</v>
          </cell>
          <cell r="R750">
            <v>40981</v>
          </cell>
          <cell r="T750">
            <v>7.76</v>
          </cell>
          <cell r="Y750">
            <v>40981</v>
          </cell>
          <cell r="AA750">
            <v>184.59</v>
          </cell>
          <cell r="AF750">
            <v>40981</v>
          </cell>
          <cell r="AH750">
            <v>75.566569999999999</v>
          </cell>
          <cell r="AM750">
            <v>40981</v>
          </cell>
          <cell r="AO750">
            <v>38.68233</v>
          </cell>
          <cell r="AT750">
            <v>40981</v>
          </cell>
          <cell r="AV750">
            <v>31.434010000000001</v>
          </cell>
          <cell r="BA750">
            <v>40981</v>
          </cell>
          <cell r="BC750">
            <v>21.613309999999998</v>
          </cell>
          <cell r="BH750">
            <v>40981</v>
          </cell>
          <cell r="BJ750">
            <v>17.405270000000002</v>
          </cell>
        </row>
        <row r="751">
          <cell r="D751">
            <v>40980</v>
          </cell>
          <cell r="F751">
            <v>184.04028</v>
          </cell>
          <cell r="K751">
            <v>40980</v>
          </cell>
          <cell r="M751">
            <v>17.816759999999999</v>
          </cell>
          <cell r="R751">
            <v>40980</v>
          </cell>
          <cell r="T751">
            <v>7.5</v>
          </cell>
          <cell r="Y751">
            <v>40980</v>
          </cell>
          <cell r="AA751">
            <v>183.39</v>
          </cell>
          <cell r="AF751">
            <v>40980</v>
          </cell>
          <cell r="AH751">
            <v>73.42501</v>
          </cell>
          <cell r="AM751">
            <v>40980</v>
          </cell>
          <cell r="AO751">
            <v>38.663829999999997</v>
          </cell>
          <cell r="AT751">
            <v>40980</v>
          </cell>
          <cell r="AV751">
            <v>31.161059999999999</v>
          </cell>
          <cell r="BA751">
            <v>40980</v>
          </cell>
          <cell r="BC751">
            <v>21.035419999999998</v>
          </cell>
          <cell r="BH751">
            <v>40980</v>
          </cell>
          <cell r="BJ751">
            <v>16.996569999999998</v>
          </cell>
        </row>
        <row r="752">
          <cell r="D752">
            <v>40977</v>
          </cell>
          <cell r="F752">
            <v>183.69235</v>
          </cell>
          <cell r="K752">
            <v>40977</v>
          </cell>
          <cell r="M752">
            <v>17.7898</v>
          </cell>
          <cell r="R752">
            <v>40977</v>
          </cell>
          <cell r="T752">
            <v>7.58</v>
          </cell>
          <cell r="Y752">
            <v>40977</v>
          </cell>
          <cell r="AA752">
            <v>184.32</v>
          </cell>
          <cell r="AF752">
            <v>40977</v>
          </cell>
          <cell r="AH752">
            <v>72.516509999999997</v>
          </cell>
          <cell r="AM752">
            <v>40977</v>
          </cell>
          <cell r="AO752">
            <v>39.04298</v>
          </cell>
          <cell r="AT752">
            <v>40977</v>
          </cell>
          <cell r="AV752">
            <v>30.876760000000001</v>
          </cell>
          <cell r="BA752">
            <v>40977</v>
          </cell>
          <cell r="BC752">
            <v>21.237680000000001</v>
          </cell>
          <cell r="BH752">
            <v>40977</v>
          </cell>
          <cell r="BJ752">
            <v>16.916609999999999</v>
          </cell>
        </row>
        <row r="753">
          <cell r="D753">
            <v>40976</v>
          </cell>
          <cell r="F753">
            <v>182.95069000000001</v>
          </cell>
          <cell r="K753">
            <v>40976</v>
          </cell>
          <cell r="M753">
            <v>17.681989999999999</v>
          </cell>
          <cell r="R753">
            <v>40976</v>
          </cell>
          <cell r="T753">
            <v>7.47</v>
          </cell>
          <cell r="Y753">
            <v>40976</v>
          </cell>
          <cell r="AA753">
            <v>187.64</v>
          </cell>
          <cell r="AF753">
            <v>40976</v>
          </cell>
          <cell r="AH753">
            <v>72.093509999999995</v>
          </cell>
          <cell r="AM753">
            <v>40976</v>
          </cell>
          <cell r="AO753">
            <v>38.608350000000002</v>
          </cell>
          <cell r="AT753">
            <v>40976</v>
          </cell>
          <cell r="AV753">
            <v>30.770150000000001</v>
          </cell>
          <cell r="BA753">
            <v>40976</v>
          </cell>
          <cell r="BC753">
            <v>20.158940000000001</v>
          </cell>
          <cell r="BH753">
            <v>40976</v>
          </cell>
          <cell r="BJ753">
            <v>16.907730000000001</v>
          </cell>
        </row>
        <row r="754">
          <cell r="D754">
            <v>40975</v>
          </cell>
          <cell r="F754">
            <v>181.08282</v>
          </cell>
          <cell r="K754">
            <v>40975</v>
          </cell>
          <cell r="M754">
            <v>17.439399999999999</v>
          </cell>
          <cell r="R754">
            <v>40975</v>
          </cell>
          <cell r="T754">
            <v>7.17</v>
          </cell>
          <cell r="Y754">
            <v>40975</v>
          </cell>
          <cell r="AA754">
            <v>183.77</v>
          </cell>
          <cell r="AF754">
            <v>40975</v>
          </cell>
          <cell r="AH754">
            <v>70.590429999999998</v>
          </cell>
          <cell r="AM754">
            <v>40975</v>
          </cell>
          <cell r="AO754">
            <v>37.961019999999998</v>
          </cell>
          <cell r="AT754">
            <v>40975</v>
          </cell>
          <cell r="AV754">
            <v>30.556940000000001</v>
          </cell>
          <cell r="BA754">
            <v>40975</v>
          </cell>
          <cell r="BC754">
            <v>19.908519999999999</v>
          </cell>
          <cell r="BH754">
            <v>40975</v>
          </cell>
          <cell r="BJ754">
            <v>16.67672</v>
          </cell>
        </row>
        <row r="755">
          <cell r="D755">
            <v>40974</v>
          </cell>
          <cell r="F755">
            <v>180.61584999999999</v>
          </cell>
          <cell r="K755">
            <v>40974</v>
          </cell>
          <cell r="M755">
            <v>17.502289999999999</v>
          </cell>
          <cell r="R755">
            <v>40974</v>
          </cell>
          <cell r="T755">
            <v>6.9</v>
          </cell>
          <cell r="Y755">
            <v>40974</v>
          </cell>
          <cell r="AA755">
            <v>181.09</v>
          </cell>
          <cell r="AF755">
            <v>40974</v>
          </cell>
          <cell r="AH755">
            <v>70.533230000000003</v>
          </cell>
          <cell r="AM755">
            <v>40974</v>
          </cell>
          <cell r="AO755">
            <v>38.284680000000002</v>
          </cell>
          <cell r="AT755">
            <v>40974</v>
          </cell>
          <cell r="AV755">
            <v>30.543610000000001</v>
          </cell>
          <cell r="BA755">
            <v>40974</v>
          </cell>
          <cell r="BC755">
            <v>19.927779999999998</v>
          </cell>
          <cell r="BH755">
            <v>40974</v>
          </cell>
          <cell r="BJ755">
            <v>16.365760000000002</v>
          </cell>
        </row>
        <row r="756">
          <cell r="D756">
            <v>40973</v>
          </cell>
          <cell r="F756">
            <v>183.72897</v>
          </cell>
          <cell r="K756">
            <v>40973</v>
          </cell>
          <cell r="M756">
            <v>17.610109999999999</v>
          </cell>
          <cell r="R756">
            <v>40973</v>
          </cell>
          <cell r="T756">
            <v>7.07</v>
          </cell>
          <cell r="Y756">
            <v>40973</v>
          </cell>
          <cell r="AA756">
            <v>180.26</v>
          </cell>
          <cell r="AF756">
            <v>40973</v>
          </cell>
          <cell r="AH756">
            <v>70.918980000000005</v>
          </cell>
          <cell r="AM756">
            <v>40973</v>
          </cell>
          <cell r="AO756">
            <v>38.293930000000003</v>
          </cell>
          <cell r="AT756">
            <v>40973</v>
          </cell>
          <cell r="AV756">
            <v>30.752389999999998</v>
          </cell>
          <cell r="BA756">
            <v>40973</v>
          </cell>
          <cell r="BC756">
            <v>20.46715</v>
          </cell>
          <cell r="BH756">
            <v>40973</v>
          </cell>
          <cell r="BJ756">
            <v>16.747800000000002</v>
          </cell>
        </row>
        <row r="757">
          <cell r="D757">
            <v>40970</v>
          </cell>
          <cell r="F757">
            <v>182.03506999999999</v>
          </cell>
          <cell r="K757">
            <v>40970</v>
          </cell>
          <cell r="M757">
            <v>17.753869999999999</v>
          </cell>
          <cell r="R757">
            <v>40970</v>
          </cell>
          <cell r="T757">
            <v>7.46</v>
          </cell>
          <cell r="Y757">
            <v>40970</v>
          </cell>
          <cell r="AA757">
            <v>179.3</v>
          </cell>
          <cell r="AF757">
            <v>40970</v>
          </cell>
          <cell r="AH757">
            <v>72.517840000000007</v>
          </cell>
          <cell r="AM757">
            <v>40970</v>
          </cell>
          <cell r="AO757">
            <v>37.951770000000003</v>
          </cell>
          <cell r="AT757">
            <v>40970</v>
          </cell>
          <cell r="AV757">
            <v>30.730180000000001</v>
          </cell>
          <cell r="BA757">
            <v>40970</v>
          </cell>
          <cell r="BC757">
            <v>20.611619999999998</v>
          </cell>
          <cell r="BH757">
            <v>40970</v>
          </cell>
          <cell r="BJ757">
            <v>16.854420000000001</v>
          </cell>
        </row>
        <row r="758">
          <cell r="D758">
            <v>40969</v>
          </cell>
          <cell r="F758">
            <v>180.86306999999999</v>
          </cell>
          <cell r="K758">
            <v>40969</v>
          </cell>
          <cell r="M758">
            <v>17.86168</v>
          </cell>
          <cell r="R758">
            <v>40969</v>
          </cell>
          <cell r="T758">
            <v>7.51</v>
          </cell>
          <cell r="Y758">
            <v>40969</v>
          </cell>
          <cell r="AA758">
            <v>180.04</v>
          </cell>
          <cell r="AF758">
            <v>40969</v>
          </cell>
          <cell r="AH758">
            <v>72.423389999999998</v>
          </cell>
          <cell r="AM758">
            <v>40969</v>
          </cell>
          <cell r="AO758">
            <v>38.460389999999997</v>
          </cell>
          <cell r="AT758">
            <v>40969</v>
          </cell>
          <cell r="AV758">
            <v>30.916740000000001</v>
          </cell>
          <cell r="BA758">
            <v>40969</v>
          </cell>
          <cell r="BC758">
            <v>21.46884</v>
          </cell>
          <cell r="BH758">
            <v>40969</v>
          </cell>
          <cell r="BJ758">
            <v>16.987690000000001</v>
          </cell>
        </row>
        <row r="759">
          <cell r="D759">
            <v>40968</v>
          </cell>
          <cell r="F759">
            <v>180.13057000000001</v>
          </cell>
          <cell r="K759">
            <v>40968</v>
          </cell>
          <cell r="M759">
            <v>17.86168</v>
          </cell>
          <cell r="R759">
            <v>40968</v>
          </cell>
          <cell r="T759">
            <v>7.35</v>
          </cell>
          <cell r="Y759">
            <v>40968</v>
          </cell>
          <cell r="AA759">
            <v>179.69</v>
          </cell>
          <cell r="AF759">
            <v>40968</v>
          </cell>
          <cell r="AH759">
            <v>72.153369999999995</v>
          </cell>
          <cell r="AM759">
            <v>40968</v>
          </cell>
          <cell r="AO759">
            <v>38.423400000000001</v>
          </cell>
          <cell r="AT759">
            <v>40968</v>
          </cell>
          <cell r="AV759">
            <v>31.032240000000002</v>
          </cell>
          <cell r="BA759">
            <v>40968</v>
          </cell>
          <cell r="BC759">
            <v>21.488099999999999</v>
          </cell>
          <cell r="BH759">
            <v>40968</v>
          </cell>
          <cell r="BJ759">
            <v>16.9255</v>
          </cell>
        </row>
        <row r="760">
          <cell r="D760">
            <v>40967</v>
          </cell>
          <cell r="F760">
            <v>181.27510000000001</v>
          </cell>
          <cell r="K760">
            <v>40967</v>
          </cell>
          <cell r="M760">
            <v>18.149190000000001</v>
          </cell>
          <cell r="R760">
            <v>40967</v>
          </cell>
          <cell r="T760">
            <v>7.52</v>
          </cell>
          <cell r="Y760">
            <v>40967</v>
          </cell>
          <cell r="AA760">
            <v>183.8</v>
          </cell>
          <cell r="AF760">
            <v>40967</v>
          </cell>
          <cell r="AH760">
            <v>71.218270000000004</v>
          </cell>
          <cell r="AM760">
            <v>40967</v>
          </cell>
          <cell r="AO760">
            <v>38.932009999999998</v>
          </cell>
          <cell r="AT760">
            <v>40967</v>
          </cell>
          <cell r="AV760">
            <v>30.583590000000001</v>
          </cell>
          <cell r="BA760">
            <v>40967</v>
          </cell>
          <cell r="BC760">
            <v>22.239370000000001</v>
          </cell>
          <cell r="BH760">
            <v>40967</v>
          </cell>
          <cell r="BJ760">
            <v>17.023230000000002</v>
          </cell>
        </row>
        <row r="761">
          <cell r="D761">
            <v>40966</v>
          </cell>
          <cell r="F761">
            <v>180.86306999999999</v>
          </cell>
          <cell r="K761">
            <v>40966</v>
          </cell>
          <cell r="M761">
            <v>18.122240000000001</v>
          </cell>
          <cell r="R761">
            <v>40966</v>
          </cell>
          <cell r="T761">
            <v>7.47</v>
          </cell>
          <cell r="Y761">
            <v>40966</v>
          </cell>
          <cell r="AA761">
            <v>178.53</v>
          </cell>
          <cell r="AF761">
            <v>40966</v>
          </cell>
          <cell r="AH761">
            <v>69.934659999999994</v>
          </cell>
          <cell r="AM761">
            <v>40966</v>
          </cell>
          <cell r="AO761">
            <v>38.68233</v>
          </cell>
          <cell r="AT761">
            <v>40966</v>
          </cell>
          <cell r="AV761">
            <v>30.5747</v>
          </cell>
          <cell r="BA761">
            <v>40966</v>
          </cell>
          <cell r="BC761">
            <v>22.489789999999999</v>
          </cell>
          <cell r="BH761">
            <v>40966</v>
          </cell>
          <cell r="BJ761">
            <v>16.943269999999998</v>
          </cell>
        </row>
        <row r="762">
          <cell r="D762">
            <v>40963</v>
          </cell>
          <cell r="F762">
            <v>181.07365999999999</v>
          </cell>
          <cell r="K762">
            <v>40963</v>
          </cell>
          <cell r="M762">
            <v>18.095289999999999</v>
          </cell>
          <cell r="R762">
            <v>40963</v>
          </cell>
          <cell r="T762">
            <v>7.46</v>
          </cell>
          <cell r="Y762">
            <v>40963</v>
          </cell>
          <cell r="AA762">
            <v>179.13</v>
          </cell>
          <cell r="AF762">
            <v>40963</v>
          </cell>
          <cell r="AH762">
            <v>69.489050000000006</v>
          </cell>
          <cell r="AM762">
            <v>40963</v>
          </cell>
          <cell r="AO762">
            <v>38.885770000000001</v>
          </cell>
          <cell r="AT762">
            <v>40963</v>
          </cell>
          <cell r="AV762">
            <v>30.650220000000001</v>
          </cell>
          <cell r="BA762">
            <v>40963</v>
          </cell>
          <cell r="BC762">
            <v>22.70168</v>
          </cell>
          <cell r="BH762">
            <v>40963</v>
          </cell>
          <cell r="BJ762">
            <v>17.09431</v>
          </cell>
        </row>
        <row r="763">
          <cell r="D763">
            <v>40962</v>
          </cell>
          <cell r="F763">
            <v>180.93631999999999</v>
          </cell>
          <cell r="K763">
            <v>40962</v>
          </cell>
          <cell r="M763">
            <v>18.17615</v>
          </cell>
          <cell r="R763">
            <v>40962</v>
          </cell>
          <cell r="T763">
            <v>7.29</v>
          </cell>
          <cell r="Y763">
            <v>40962</v>
          </cell>
          <cell r="AA763">
            <v>178.89</v>
          </cell>
          <cell r="AF763">
            <v>40962</v>
          </cell>
          <cell r="AH763">
            <v>68.688299999999998</v>
          </cell>
          <cell r="AM763">
            <v>40962</v>
          </cell>
          <cell r="AO763">
            <v>38.414149999999999</v>
          </cell>
          <cell r="AT763">
            <v>40962</v>
          </cell>
          <cell r="AV763">
            <v>30.730180000000001</v>
          </cell>
          <cell r="BA763">
            <v>40962</v>
          </cell>
          <cell r="BC763">
            <v>23.607050000000001</v>
          </cell>
          <cell r="BH763">
            <v>40962</v>
          </cell>
          <cell r="BJ763">
            <v>17.156500000000001</v>
          </cell>
        </row>
        <row r="764">
          <cell r="D764">
            <v>40961</v>
          </cell>
          <cell r="F764">
            <v>177.51188999999999</v>
          </cell>
          <cell r="K764">
            <v>40961</v>
          </cell>
          <cell r="M764">
            <v>18.07732</v>
          </cell>
          <cell r="R764">
            <v>40961</v>
          </cell>
          <cell r="T764">
            <v>7.14</v>
          </cell>
          <cell r="Y764">
            <v>40961</v>
          </cell>
          <cell r="AA764">
            <v>180.58</v>
          </cell>
          <cell r="AF764">
            <v>40961</v>
          </cell>
          <cell r="AH764">
            <v>68.242689999999996</v>
          </cell>
          <cell r="AM764">
            <v>40961</v>
          </cell>
          <cell r="AO764">
            <v>37.988759999999999</v>
          </cell>
          <cell r="AT764">
            <v>40961</v>
          </cell>
          <cell r="AV764">
            <v>30.76127</v>
          </cell>
          <cell r="BA764">
            <v>40961</v>
          </cell>
          <cell r="BC764">
            <v>22.923210000000001</v>
          </cell>
          <cell r="BH764">
            <v>40961</v>
          </cell>
          <cell r="BJ764">
            <v>17.076540000000001</v>
          </cell>
        </row>
        <row r="765">
          <cell r="D765">
            <v>40960</v>
          </cell>
          <cell r="F765">
            <v>177.07239000000001</v>
          </cell>
          <cell r="K765">
            <v>40960</v>
          </cell>
          <cell r="M765">
            <v>18.292950000000001</v>
          </cell>
          <cell r="R765">
            <v>40960</v>
          </cell>
          <cell r="T765">
            <v>7.28</v>
          </cell>
          <cell r="Y765">
            <v>40960</v>
          </cell>
          <cell r="AA765">
            <v>182.26</v>
          </cell>
          <cell r="AF765">
            <v>40960</v>
          </cell>
          <cell r="AH765">
            <v>68.483450000000005</v>
          </cell>
          <cell r="AM765">
            <v>40960</v>
          </cell>
          <cell r="AO765">
            <v>38.192210000000003</v>
          </cell>
          <cell r="AT765">
            <v>40960</v>
          </cell>
          <cell r="AV765">
            <v>30.570260000000001</v>
          </cell>
          <cell r="BA765">
            <v>40960</v>
          </cell>
          <cell r="BC765">
            <v>22.97137</v>
          </cell>
          <cell r="BH765">
            <v>40960</v>
          </cell>
          <cell r="BJ765">
            <v>17.094149999999999</v>
          </cell>
        </row>
        <row r="766">
          <cell r="D766">
            <v>40956</v>
          </cell>
          <cell r="F766">
            <v>177.09986000000001</v>
          </cell>
          <cell r="K766">
            <v>40956</v>
          </cell>
          <cell r="M766">
            <v>18.230060000000002</v>
          </cell>
          <cell r="R766">
            <v>40956</v>
          </cell>
          <cell r="T766">
            <v>7.42</v>
          </cell>
          <cell r="Y766">
            <v>40956</v>
          </cell>
          <cell r="AA766">
            <v>182.5</v>
          </cell>
          <cell r="AF766">
            <v>40956</v>
          </cell>
          <cell r="AH766">
            <v>66.790149999999997</v>
          </cell>
          <cell r="AM766">
            <v>40956</v>
          </cell>
          <cell r="AO766">
            <v>38.395650000000003</v>
          </cell>
          <cell r="AT766">
            <v>40956</v>
          </cell>
          <cell r="AV766">
            <v>30.672429999999999</v>
          </cell>
          <cell r="BA766">
            <v>40956</v>
          </cell>
          <cell r="BC766">
            <v>23.44332</v>
          </cell>
          <cell r="BH766">
            <v>40956</v>
          </cell>
          <cell r="BJ766">
            <v>16.979659999999999</v>
          </cell>
        </row>
        <row r="767">
          <cell r="D767">
            <v>40955</v>
          </cell>
          <cell r="F767">
            <v>176.73361</v>
          </cell>
          <cell r="K767">
            <v>40955</v>
          </cell>
          <cell r="M767">
            <v>18.14021</v>
          </cell>
          <cell r="R767">
            <v>40955</v>
          </cell>
          <cell r="T767">
            <v>7.59</v>
          </cell>
          <cell r="Y767">
            <v>40955</v>
          </cell>
          <cell r="AA767">
            <v>179.93</v>
          </cell>
          <cell r="AF767">
            <v>40955</v>
          </cell>
          <cell r="AH767">
            <v>66.802120000000002</v>
          </cell>
          <cell r="AM767">
            <v>40955</v>
          </cell>
          <cell r="AO767">
            <v>38.654580000000003</v>
          </cell>
          <cell r="AT767">
            <v>40955</v>
          </cell>
          <cell r="AV767">
            <v>30.58803</v>
          </cell>
          <cell r="BA767">
            <v>40955</v>
          </cell>
          <cell r="BC767">
            <v>23.452950000000001</v>
          </cell>
          <cell r="BH767">
            <v>40955</v>
          </cell>
          <cell r="BJ767">
            <v>16.741879999999998</v>
          </cell>
        </row>
        <row r="768">
          <cell r="D768">
            <v>40954</v>
          </cell>
          <cell r="F768">
            <v>176.02858000000001</v>
          </cell>
          <cell r="K768">
            <v>40954</v>
          </cell>
          <cell r="M768">
            <v>17.888639999999999</v>
          </cell>
          <cell r="R768">
            <v>40954</v>
          </cell>
          <cell r="T768">
            <v>7.3</v>
          </cell>
          <cell r="Y768">
            <v>40954</v>
          </cell>
          <cell r="AA768">
            <v>184.47</v>
          </cell>
          <cell r="AF768">
            <v>40954</v>
          </cell>
          <cell r="AH768">
            <v>66.198229999999995</v>
          </cell>
          <cell r="AM768">
            <v>40954</v>
          </cell>
          <cell r="AO768">
            <v>38.377160000000003</v>
          </cell>
          <cell r="AT768">
            <v>40954</v>
          </cell>
          <cell r="AV768">
            <v>30.383700000000001</v>
          </cell>
          <cell r="BA768">
            <v>40954</v>
          </cell>
          <cell r="BC768">
            <v>22.62463</v>
          </cell>
          <cell r="BH768">
            <v>40954</v>
          </cell>
          <cell r="BJ768">
            <v>16.521699999999999</v>
          </cell>
        </row>
        <row r="769">
          <cell r="D769">
            <v>40953</v>
          </cell>
          <cell r="F769">
            <v>176.00111000000001</v>
          </cell>
          <cell r="K769">
            <v>40953</v>
          </cell>
          <cell r="M769">
            <v>18.032389999999999</v>
          </cell>
          <cell r="R769">
            <v>40953</v>
          </cell>
          <cell r="T769">
            <v>7.32</v>
          </cell>
          <cell r="Y769">
            <v>40953</v>
          </cell>
          <cell r="AA769">
            <v>191.3</v>
          </cell>
          <cell r="AF769">
            <v>40953</v>
          </cell>
          <cell r="AH769">
            <v>67.766490000000005</v>
          </cell>
          <cell r="AM769">
            <v>40953</v>
          </cell>
          <cell r="AO769">
            <v>38.895020000000002</v>
          </cell>
          <cell r="AT769">
            <v>40953</v>
          </cell>
          <cell r="AV769">
            <v>30.605799999999999</v>
          </cell>
          <cell r="BA769">
            <v>40953</v>
          </cell>
          <cell r="BC769">
            <v>23.01952</v>
          </cell>
          <cell r="BH769">
            <v>40953</v>
          </cell>
          <cell r="BJ769">
            <v>16.680230000000002</v>
          </cell>
        </row>
        <row r="770">
          <cell r="D770">
            <v>40952</v>
          </cell>
          <cell r="F770">
            <v>176.36735999999999</v>
          </cell>
          <cell r="K770">
            <v>40952</v>
          </cell>
          <cell r="M770">
            <v>17.996449999999999</v>
          </cell>
          <cell r="R770">
            <v>40952</v>
          </cell>
          <cell r="T770">
            <v>7.29</v>
          </cell>
          <cell r="Y770">
            <v>40952</v>
          </cell>
          <cell r="AA770">
            <v>191.59</v>
          </cell>
          <cell r="AF770">
            <v>40952</v>
          </cell>
          <cell r="AH770">
            <v>66.853999999999999</v>
          </cell>
          <cell r="AM770">
            <v>40952</v>
          </cell>
          <cell r="AO770">
            <v>39.181690000000003</v>
          </cell>
          <cell r="AT770">
            <v>40952</v>
          </cell>
          <cell r="AV770">
            <v>30.40146</v>
          </cell>
          <cell r="BA770">
            <v>40952</v>
          </cell>
          <cell r="BC770">
            <v>23.289210000000001</v>
          </cell>
          <cell r="BH770">
            <v>40952</v>
          </cell>
          <cell r="BJ770">
            <v>16.794720000000002</v>
          </cell>
        </row>
        <row r="771">
          <cell r="D771">
            <v>40949</v>
          </cell>
          <cell r="F771">
            <v>176.18423999999999</v>
          </cell>
          <cell r="K771">
            <v>40949</v>
          </cell>
          <cell r="M771">
            <v>17.875160000000001</v>
          </cell>
          <cell r="R771">
            <v>40949</v>
          </cell>
          <cell r="T771">
            <v>7.05</v>
          </cell>
          <cell r="Y771">
            <v>40949</v>
          </cell>
          <cell r="AA771">
            <v>185.54</v>
          </cell>
          <cell r="AF771">
            <v>40949</v>
          </cell>
          <cell r="AH771">
            <v>65.632909999999995</v>
          </cell>
          <cell r="AM771">
            <v>40949</v>
          </cell>
          <cell r="AO771">
            <v>38.728560000000002</v>
          </cell>
          <cell r="AT771">
            <v>40949</v>
          </cell>
          <cell r="AV771">
            <v>30.179359999999999</v>
          </cell>
          <cell r="BA771">
            <v>40949</v>
          </cell>
          <cell r="BC771">
            <v>21.555520000000001</v>
          </cell>
          <cell r="BH771">
            <v>40949</v>
          </cell>
          <cell r="BJ771">
            <v>16.622979999999998</v>
          </cell>
        </row>
        <row r="772">
          <cell r="D772">
            <v>40948</v>
          </cell>
          <cell r="F772">
            <v>176.83432999999999</v>
          </cell>
          <cell r="K772">
            <v>40948</v>
          </cell>
          <cell r="M772">
            <v>17.9695</v>
          </cell>
          <cell r="R772">
            <v>40948</v>
          </cell>
          <cell r="T772">
            <v>7.24</v>
          </cell>
          <cell r="Y772">
            <v>40948</v>
          </cell>
          <cell r="AA772">
            <v>184.98</v>
          </cell>
          <cell r="AF772">
            <v>40948</v>
          </cell>
          <cell r="AH772">
            <v>65.59966</v>
          </cell>
          <cell r="AM772">
            <v>40948</v>
          </cell>
          <cell r="AO772">
            <v>38.95975</v>
          </cell>
          <cell r="AT772">
            <v>40948</v>
          </cell>
          <cell r="AV772">
            <v>30.192689999999999</v>
          </cell>
          <cell r="BA772">
            <v>40948</v>
          </cell>
          <cell r="BC772">
            <v>22.200839999999999</v>
          </cell>
          <cell r="BH772">
            <v>40948</v>
          </cell>
          <cell r="BJ772">
            <v>16.847560000000001</v>
          </cell>
        </row>
        <row r="773">
          <cell r="D773">
            <v>40947</v>
          </cell>
          <cell r="F773">
            <v>176.66952000000001</v>
          </cell>
          <cell r="K773">
            <v>40947</v>
          </cell>
          <cell r="M773">
            <v>18.355840000000001</v>
          </cell>
          <cell r="R773">
            <v>40947</v>
          </cell>
          <cell r="T773">
            <v>7.25</v>
          </cell>
          <cell r="Y773">
            <v>40947</v>
          </cell>
          <cell r="AA773">
            <v>185.48</v>
          </cell>
          <cell r="AF773">
            <v>40947</v>
          </cell>
          <cell r="AH773">
            <v>63.406219999999998</v>
          </cell>
          <cell r="AM773">
            <v>40947</v>
          </cell>
          <cell r="AO773">
            <v>39.311160000000001</v>
          </cell>
          <cell r="AT773">
            <v>40947</v>
          </cell>
          <cell r="AV773">
            <v>30.352599999999999</v>
          </cell>
          <cell r="BA773">
            <v>40947</v>
          </cell>
          <cell r="BC773">
            <v>22.374210000000001</v>
          </cell>
          <cell r="BH773">
            <v>40947</v>
          </cell>
          <cell r="BJ773">
            <v>16.944430000000001</v>
          </cell>
        </row>
        <row r="774">
          <cell r="D774">
            <v>40946</v>
          </cell>
          <cell r="F774">
            <v>176.34905000000001</v>
          </cell>
          <cell r="K774">
            <v>40946</v>
          </cell>
          <cell r="M774">
            <v>18.149190000000001</v>
          </cell>
          <cell r="R774">
            <v>40946</v>
          </cell>
          <cell r="T774">
            <v>7.13</v>
          </cell>
          <cell r="Y774">
            <v>40946</v>
          </cell>
          <cell r="AA774">
            <v>184.19</v>
          </cell>
          <cell r="AF774">
            <v>40946</v>
          </cell>
          <cell r="AH774">
            <v>62.36204</v>
          </cell>
          <cell r="AM774">
            <v>40946</v>
          </cell>
          <cell r="AO774">
            <v>39.218679999999999</v>
          </cell>
          <cell r="AT774">
            <v>40946</v>
          </cell>
          <cell r="AV774">
            <v>30.450330000000001</v>
          </cell>
          <cell r="BA774">
            <v>40946</v>
          </cell>
          <cell r="BC774">
            <v>22.15268</v>
          </cell>
          <cell r="BH774">
            <v>40946</v>
          </cell>
          <cell r="BJ774">
            <v>16.891590000000001</v>
          </cell>
        </row>
        <row r="775">
          <cell r="D775">
            <v>40945</v>
          </cell>
          <cell r="F775">
            <v>175.86564999999999</v>
          </cell>
          <cell r="K775">
            <v>40945</v>
          </cell>
          <cell r="M775">
            <v>18.14021</v>
          </cell>
          <cell r="R775">
            <v>40945</v>
          </cell>
          <cell r="T775">
            <v>6.92</v>
          </cell>
          <cell r="Y775">
            <v>40945</v>
          </cell>
          <cell r="AA775">
            <v>183.14</v>
          </cell>
          <cell r="AF775">
            <v>40945</v>
          </cell>
          <cell r="AH775">
            <v>61.715580000000003</v>
          </cell>
          <cell r="AM775">
            <v>40945</v>
          </cell>
          <cell r="AO775">
            <v>38.654580000000003</v>
          </cell>
          <cell r="AT775">
            <v>40945</v>
          </cell>
          <cell r="AV775">
            <v>30.219339999999999</v>
          </cell>
          <cell r="BA775">
            <v>40945</v>
          </cell>
          <cell r="BC775">
            <v>22.57647</v>
          </cell>
          <cell r="BH775">
            <v>40945</v>
          </cell>
          <cell r="BJ775">
            <v>16.777100000000001</v>
          </cell>
        </row>
        <row r="776">
          <cell r="D776">
            <v>40942</v>
          </cell>
          <cell r="F776">
            <v>176.61355</v>
          </cell>
          <cell r="K776">
            <v>40942</v>
          </cell>
          <cell r="M776">
            <v>18.050360000000001</v>
          </cell>
          <cell r="R776">
            <v>40942</v>
          </cell>
          <cell r="T776">
            <v>7.08</v>
          </cell>
          <cell r="Y776">
            <v>40942</v>
          </cell>
          <cell r="AA776">
            <v>187.68</v>
          </cell>
          <cell r="AF776">
            <v>40942</v>
          </cell>
          <cell r="AH776">
            <v>61.144939999999998</v>
          </cell>
          <cell r="AM776">
            <v>40942</v>
          </cell>
          <cell r="AO776">
            <v>38.885770000000001</v>
          </cell>
          <cell r="AT776">
            <v>40942</v>
          </cell>
          <cell r="AV776">
            <v>30.24155</v>
          </cell>
          <cell r="BA776">
            <v>40942</v>
          </cell>
          <cell r="BC776">
            <v>23.241050000000001</v>
          </cell>
          <cell r="BH776">
            <v>40942</v>
          </cell>
          <cell r="BJ776">
            <v>16.750679999999999</v>
          </cell>
        </row>
        <row r="777">
          <cell r="D777">
            <v>40941</v>
          </cell>
          <cell r="F777">
            <v>174.68907999999999</v>
          </cell>
          <cell r="K777">
            <v>40941</v>
          </cell>
          <cell r="M777">
            <v>17.7898</v>
          </cell>
          <cell r="R777">
            <v>40941</v>
          </cell>
          <cell r="T777">
            <v>6.93</v>
          </cell>
          <cell r="Y777">
            <v>40941</v>
          </cell>
          <cell r="AA777">
            <v>181.72</v>
          </cell>
          <cell r="AF777">
            <v>40941</v>
          </cell>
          <cell r="AH777">
            <v>60.53839</v>
          </cell>
          <cell r="AM777">
            <v>40941</v>
          </cell>
          <cell r="AO777">
            <v>39.04298</v>
          </cell>
          <cell r="AT777">
            <v>40941</v>
          </cell>
          <cell r="AV777">
            <v>30.130500000000001</v>
          </cell>
          <cell r="BA777">
            <v>40941</v>
          </cell>
          <cell r="BC777">
            <v>22.383839999999999</v>
          </cell>
          <cell r="BH777">
            <v>40941</v>
          </cell>
          <cell r="BJ777">
            <v>16.512899999999998</v>
          </cell>
        </row>
        <row r="778">
          <cell r="D778">
            <v>40940</v>
          </cell>
          <cell r="F778">
            <v>175.68323000000001</v>
          </cell>
          <cell r="K778">
            <v>40940</v>
          </cell>
          <cell r="M778">
            <v>17.7898</v>
          </cell>
          <cell r="R778">
            <v>40940</v>
          </cell>
          <cell r="T778">
            <v>6.9</v>
          </cell>
          <cell r="Y778">
            <v>40940</v>
          </cell>
          <cell r="AA778">
            <v>179.46</v>
          </cell>
          <cell r="AF778">
            <v>40940</v>
          </cell>
          <cell r="AH778">
            <v>60.680709999999998</v>
          </cell>
          <cell r="AM778">
            <v>40940</v>
          </cell>
          <cell r="AO778">
            <v>39.838270000000001</v>
          </cell>
          <cell r="AT778">
            <v>40940</v>
          </cell>
          <cell r="AV778">
            <v>30.139379999999999</v>
          </cell>
          <cell r="BA778">
            <v>40940</v>
          </cell>
          <cell r="BC778">
            <v>21.94079</v>
          </cell>
          <cell r="BH778">
            <v>40940</v>
          </cell>
          <cell r="BJ778">
            <v>16.53051</v>
          </cell>
        </row>
        <row r="779">
          <cell r="D779">
            <v>40939</v>
          </cell>
          <cell r="F779">
            <v>175.66498999999999</v>
          </cell>
          <cell r="K779">
            <v>40939</v>
          </cell>
          <cell r="M779">
            <v>17.650539999999999</v>
          </cell>
          <cell r="R779">
            <v>40939</v>
          </cell>
          <cell r="T779">
            <v>6.71</v>
          </cell>
          <cell r="Y779">
            <v>40939</v>
          </cell>
          <cell r="AA779">
            <v>194.44</v>
          </cell>
          <cell r="AF779">
            <v>40939</v>
          </cell>
          <cell r="AH779">
            <v>60.719290000000001</v>
          </cell>
          <cell r="AM779">
            <v>40939</v>
          </cell>
          <cell r="AO779">
            <v>39.792029999999997</v>
          </cell>
          <cell r="AT779">
            <v>40939</v>
          </cell>
          <cell r="AV779">
            <v>29.997240000000001</v>
          </cell>
          <cell r="BA779">
            <v>40939</v>
          </cell>
          <cell r="BC779">
            <v>21.28584</v>
          </cell>
          <cell r="BH779">
            <v>40939</v>
          </cell>
          <cell r="BJ779">
            <v>16.47767</v>
          </cell>
        </row>
        <row r="780">
          <cell r="D780">
            <v>40938</v>
          </cell>
          <cell r="F780">
            <v>175.57379</v>
          </cell>
          <cell r="K780">
            <v>40938</v>
          </cell>
          <cell r="M780">
            <v>17.574169999999999</v>
          </cell>
          <cell r="R780">
            <v>40938</v>
          </cell>
          <cell r="T780">
            <v>6.74</v>
          </cell>
          <cell r="Y780">
            <v>40938</v>
          </cell>
          <cell r="AA780">
            <v>192.15</v>
          </cell>
          <cell r="AF780">
            <v>40938</v>
          </cell>
          <cell r="AH780">
            <v>60.257719999999999</v>
          </cell>
          <cell r="AM780">
            <v>40938</v>
          </cell>
          <cell r="AO780">
            <v>39.394379999999998</v>
          </cell>
          <cell r="AT780">
            <v>40938</v>
          </cell>
          <cell r="AV780">
            <v>29.966139999999999</v>
          </cell>
          <cell r="BA780">
            <v>40938</v>
          </cell>
          <cell r="BC780">
            <v>21.160630000000001</v>
          </cell>
          <cell r="BH780">
            <v>40938</v>
          </cell>
          <cell r="BJ780">
            <v>16.645</v>
          </cell>
        </row>
        <row r="781">
          <cell r="D781">
            <v>40935</v>
          </cell>
          <cell r="F781">
            <v>173.71315999999999</v>
          </cell>
          <cell r="K781">
            <v>40935</v>
          </cell>
          <cell r="M781">
            <v>17.574169999999999</v>
          </cell>
          <cell r="R781">
            <v>40935</v>
          </cell>
          <cell r="T781">
            <v>6.82</v>
          </cell>
          <cell r="Y781">
            <v>40935</v>
          </cell>
          <cell r="AA781">
            <v>195.37</v>
          </cell>
          <cell r="AF781">
            <v>40935</v>
          </cell>
          <cell r="AH781">
            <v>59.495539999999998</v>
          </cell>
          <cell r="AM781">
            <v>40935</v>
          </cell>
          <cell r="AO781">
            <v>39.153950000000002</v>
          </cell>
          <cell r="AT781">
            <v>40935</v>
          </cell>
          <cell r="AV781">
            <v>29.957260000000002</v>
          </cell>
          <cell r="BA781">
            <v>40935</v>
          </cell>
          <cell r="BC781">
            <v>21.584420000000001</v>
          </cell>
          <cell r="BH781">
            <v>40935</v>
          </cell>
          <cell r="BJ781">
            <v>16.75949</v>
          </cell>
        </row>
        <row r="782">
          <cell r="D782">
            <v>40934</v>
          </cell>
          <cell r="F782">
            <v>174.18744000000001</v>
          </cell>
          <cell r="K782">
            <v>40934</v>
          </cell>
          <cell r="M782">
            <v>17.816759999999999</v>
          </cell>
          <cell r="R782">
            <v>40934</v>
          </cell>
          <cell r="T782">
            <v>6.77</v>
          </cell>
          <cell r="Y782">
            <v>40934</v>
          </cell>
          <cell r="AA782">
            <v>193.316</v>
          </cell>
          <cell r="AF782">
            <v>40934</v>
          </cell>
          <cell r="AH782">
            <v>59.143039999999999</v>
          </cell>
          <cell r="AM782">
            <v>40934</v>
          </cell>
          <cell r="AO782">
            <v>38.950499999999998</v>
          </cell>
          <cell r="AT782">
            <v>40934</v>
          </cell>
          <cell r="AV782">
            <v>30.210460000000001</v>
          </cell>
          <cell r="BA782">
            <v>40934</v>
          </cell>
          <cell r="BC782">
            <v>21.305099999999999</v>
          </cell>
          <cell r="BH782">
            <v>40934</v>
          </cell>
          <cell r="BJ782">
            <v>16.794720000000002</v>
          </cell>
        </row>
        <row r="783">
          <cell r="D783">
            <v>40933</v>
          </cell>
          <cell r="F783">
            <v>174.87148999999999</v>
          </cell>
          <cell r="K783">
            <v>40933</v>
          </cell>
          <cell r="M783">
            <v>17.816759999999999</v>
          </cell>
          <cell r="R783">
            <v>40933</v>
          </cell>
          <cell r="T783">
            <v>6.73</v>
          </cell>
          <cell r="Y783">
            <v>40933</v>
          </cell>
          <cell r="AA783">
            <v>187.8</v>
          </cell>
          <cell r="AF783">
            <v>40933</v>
          </cell>
          <cell r="AH783">
            <v>59.413069999999998</v>
          </cell>
          <cell r="AM783">
            <v>40933</v>
          </cell>
          <cell r="AO783">
            <v>38.913510000000002</v>
          </cell>
          <cell r="AT783">
            <v>40933</v>
          </cell>
          <cell r="AV783">
            <v>30.397020000000001</v>
          </cell>
          <cell r="BA783">
            <v>40933</v>
          </cell>
          <cell r="BC783">
            <v>21.237680000000001</v>
          </cell>
          <cell r="BH783">
            <v>40933</v>
          </cell>
          <cell r="BJ783">
            <v>16.847560000000001</v>
          </cell>
        </row>
        <row r="784">
          <cell r="D784">
            <v>40932</v>
          </cell>
          <cell r="F784">
            <v>175.05391</v>
          </cell>
          <cell r="K784">
            <v>40932</v>
          </cell>
          <cell r="M784">
            <v>17.803280000000001</v>
          </cell>
          <cell r="R784">
            <v>40932</v>
          </cell>
          <cell r="T784">
            <v>6.53</v>
          </cell>
          <cell r="Y784">
            <v>40932</v>
          </cell>
          <cell r="AA784">
            <v>187</v>
          </cell>
          <cell r="AF784">
            <v>40932</v>
          </cell>
          <cell r="AH784">
            <v>55.921390000000002</v>
          </cell>
          <cell r="AM784">
            <v>40932</v>
          </cell>
          <cell r="AO784">
            <v>38.70082</v>
          </cell>
          <cell r="AT784">
            <v>40932</v>
          </cell>
          <cell r="AV784">
            <v>30.16159</v>
          </cell>
          <cell r="BA784">
            <v>40932</v>
          </cell>
          <cell r="BC784">
            <v>21.343630000000001</v>
          </cell>
          <cell r="BH784">
            <v>40932</v>
          </cell>
          <cell r="BJ784">
            <v>16.59216</v>
          </cell>
        </row>
        <row r="785">
          <cell r="D785">
            <v>40931</v>
          </cell>
          <cell r="F785">
            <v>173.27537000000001</v>
          </cell>
          <cell r="K785">
            <v>40931</v>
          </cell>
          <cell r="M785">
            <v>17.816759999999999</v>
          </cell>
          <cell r="R785">
            <v>40931</v>
          </cell>
          <cell r="T785">
            <v>6.52</v>
          </cell>
          <cell r="Y785">
            <v>40931</v>
          </cell>
          <cell r="AA785">
            <v>186.09</v>
          </cell>
          <cell r="AF785">
            <v>40931</v>
          </cell>
          <cell r="AH785">
            <v>56.852370000000001</v>
          </cell>
          <cell r="AM785">
            <v>40931</v>
          </cell>
          <cell r="AO785">
            <v>38.839530000000003</v>
          </cell>
          <cell r="AT785">
            <v>40931</v>
          </cell>
          <cell r="AV785">
            <v>30.44144</v>
          </cell>
          <cell r="BA785">
            <v>40931</v>
          </cell>
          <cell r="BC785">
            <v>20.842780000000001</v>
          </cell>
          <cell r="BH785">
            <v>40931</v>
          </cell>
          <cell r="BJ785">
            <v>16.680230000000002</v>
          </cell>
        </row>
        <row r="786">
          <cell r="D786">
            <v>40928</v>
          </cell>
          <cell r="F786">
            <v>171.94373999999999</v>
          </cell>
          <cell r="K786">
            <v>40928</v>
          </cell>
          <cell r="M786">
            <v>17.89762</v>
          </cell>
          <cell r="R786">
            <v>40928</v>
          </cell>
          <cell r="T786">
            <v>6.42</v>
          </cell>
          <cell r="Y786">
            <v>40928</v>
          </cell>
          <cell r="AA786">
            <v>190.93</v>
          </cell>
          <cell r="AF786">
            <v>40928</v>
          </cell>
          <cell r="AH786">
            <v>55.906759999999998</v>
          </cell>
          <cell r="AM786">
            <v>40928</v>
          </cell>
          <cell r="AO786">
            <v>39.431370000000001</v>
          </cell>
          <cell r="AT786">
            <v>40928</v>
          </cell>
          <cell r="AV786">
            <v>30.245989999999999</v>
          </cell>
          <cell r="BA786">
            <v>40928</v>
          </cell>
          <cell r="BC786">
            <v>20.842780000000001</v>
          </cell>
          <cell r="BH786">
            <v>40928</v>
          </cell>
          <cell r="BJ786">
            <v>16.865169999999999</v>
          </cell>
        </row>
        <row r="787">
          <cell r="D787">
            <v>40927</v>
          </cell>
          <cell r="F787">
            <v>164.64716999999999</v>
          </cell>
          <cell r="K787">
            <v>40927</v>
          </cell>
          <cell r="M787">
            <v>17.780819999999999</v>
          </cell>
          <cell r="R787">
            <v>40927</v>
          </cell>
          <cell r="T787">
            <v>6.22</v>
          </cell>
          <cell r="Y787">
            <v>40927</v>
          </cell>
          <cell r="AA787">
            <v>194.45</v>
          </cell>
          <cell r="AF787">
            <v>40927</v>
          </cell>
          <cell r="AH787">
            <v>56.897730000000003</v>
          </cell>
          <cell r="AM787">
            <v>40927</v>
          </cell>
          <cell r="AO787">
            <v>39.496110000000002</v>
          </cell>
          <cell r="AT787">
            <v>40927</v>
          </cell>
          <cell r="AV787">
            <v>29.9617</v>
          </cell>
          <cell r="BA787">
            <v>40927</v>
          </cell>
          <cell r="BC787">
            <v>20.871680000000001</v>
          </cell>
          <cell r="BH787">
            <v>40927</v>
          </cell>
          <cell r="BJ787">
            <v>16.865169999999999</v>
          </cell>
        </row>
        <row r="788">
          <cell r="D788">
            <v>40926</v>
          </cell>
          <cell r="F788">
            <v>165.14881</v>
          </cell>
          <cell r="K788">
            <v>40926</v>
          </cell>
          <cell r="M788">
            <v>17.5562</v>
          </cell>
          <cell r="R788">
            <v>40926</v>
          </cell>
          <cell r="T788">
            <v>5.97</v>
          </cell>
          <cell r="Y788">
            <v>40926</v>
          </cell>
          <cell r="AA788">
            <v>189.44</v>
          </cell>
          <cell r="AF788">
            <v>40926</v>
          </cell>
          <cell r="AH788">
            <v>57.078629999999997</v>
          </cell>
          <cell r="AM788">
            <v>40926</v>
          </cell>
          <cell r="AO788">
            <v>39.107709999999997</v>
          </cell>
          <cell r="AT788">
            <v>40926</v>
          </cell>
          <cell r="AV788">
            <v>30.023890000000002</v>
          </cell>
          <cell r="BA788">
            <v>40926</v>
          </cell>
          <cell r="BC788">
            <v>20.22636</v>
          </cell>
          <cell r="BH788">
            <v>40926</v>
          </cell>
          <cell r="BJ788">
            <v>16.750679999999999</v>
          </cell>
        </row>
        <row r="789">
          <cell r="D789">
            <v>40925</v>
          </cell>
          <cell r="F789">
            <v>164.17289</v>
          </cell>
          <cell r="K789">
            <v>40925</v>
          </cell>
          <cell r="M789">
            <v>17.34506</v>
          </cell>
          <cell r="R789">
            <v>40925</v>
          </cell>
          <cell r="T789">
            <v>5.73</v>
          </cell>
          <cell r="Y789">
            <v>40925</v>
          </cell>
          <cell r="AA789">
            <v>181.66</v>
          </cell>
          <cell r="AF789">
            <v>40925</v>
          </cell>
          <cell r="AH789">
            <v>56.49203</v>
          </cell>
          <cell r="AM789">
            <v>40925</v>
          </cell>
          <cell r="AO789">
            <v>38.608350000000002</v>
          </cell>
          <cell r="AT789">
            <v>40925</v>
          </cell>
          <cell r="AV789">
            <v>29.917280000000002</v>
          </cell>
          <cell r="BA789">
            <v>40925</v>
          </cell>
          <cell r="BC789">
            <v>19.590679999999999</v>
          </cell>
          <cell r="BH789">
            <v>40925</v>
          </cell>
          <cell r="BJ789">
            <v>16.504090000000001</v>
          </cell>
        </row>
        <row r="790">
          <cell r="D790">
            <v>40921</v>
          </cell>
          <cell r="F790">
            <v>163.40674999999999</v>
          </cell>
          <cell r="K790">
            <v>40921</v>
          </cell>
          <cell r="M790">
            <v>17.124929999999999</v>
          </cell>
          <cell r="R790">
            <v>40921</v>
          </cell>
          <cell r="T790">
            <v>5.66</v>
          </cell>
          <cell r="Y790">
            <v>40921</v>
          </cell>
          <cell r="AA790">
            <v>178.42</v>
          </cell>
          <cell r="AF790">
            <v>40921</v>
          </cell>
          <cell r="AH790">
            <v>55.84158</v>
          </cell>
          <cell r="AM790">
            <v>40921</v>
          </cell>
          <cell r="AO790">
            <v>38.145969999999998</v>
          </cell>
          <cell r="AT790">
            <v>40921</v>
          </cell>
          <cell r="AV790">
            <v>29.757370000000002</v>
          </cell>
          <cell r="BA790">
            <v>40921</v>
          </cell>
          <cell r="BC790">
            <v>20.130040000000001</v>
          </cell>
          <cell r="BH790">
            <v>40921</v>
          </cell>
          <cell r="BJ790">
            <v>16.59216</v>
          </cell>
        </row>
        <row r="791">
          <cell r="D791">
            <v>40920</v>
          </cell>
          <cell r="F791">
            <v>164.67453</v>
          </cell>
          <cell r="K791">
            <v>40920</v>
          </cell>
          <cell r="M791">
            <v>17.2058</v>
          </cell>
          <cell r="R791">
            <v>40920</v>
          </cell>
          <cell r="T791">
            <v>5.82</v>
          </cell>
          <cell r="Y791">
            <v>40920</v>
          </cell>
          <cell r="AA791">
            <v>175.93</v>
          </cell>
          <cell r="AF791">
            <v>40920</v>
          </cell>
          <cell r="AH791">
            <v>56.051749999999998</v>
          </cell>
          <cell r="AM791">
            <v>40920</v>
          </cell>
          <cell r="AO791">
            <v>38.710070000000002</v>
          </cell>
          <cell r="AT791">
            <v>40920</v>
          </cell>
          <cell r="AV791">
            <v>30.015000000000001</v>
          </cell>
          <cell r="BA791">
            <v>40920</v>
          </cell>
          <cell r="BC791">
            <v>20.67905</v>
          </cell>
          <cell r="BH791">
            <v>40920</v>
          </cell>
          <cell r="BJ791">
            <v>16.671420000000001</v>
          </cell>
        </row>
        <row r="792">
          <cell r="D792">
            <v>40919</v>
          </cell>
          <cell r="F792">
            <v>166.28890000000001</v>
          </cell>
          <cell r="K792">
            <v>40919</v>
          </cell>
          <cell r="M792">
            <v>17.13392</v>
          </cell>
          <cell r="R792">
            <v>40919</v>
          </cell>
          <cell r="T792">
            <v>5.81</v>
          </cell>
          <cell r="Y792">
            <v>40919</v>
          </cell>
          <cell r="AA792">
            <v>178.9</v>
          </cell>
          <cell r="AF792">
            <v>40919</v>
          </cell>
          <cell r="AH792">
            <v>56.206040000000002</v>
          </cell>
          <cell r="AM792">
            <v>40919</v>
          </cell>
          <cell r="AO792">
            <v>38.451140000000002</v>
          </cell>
          <cell r="AT792">
            <v>40919</v>
          </cell>
          <cell r="AV792">
            <v>30.232669999999999</v>
          </cell>
          <cell r="BA792">
            <v>40919</v>
          </cell>
          <cell r="BC792">
            <v>20.014469999999999</v>
          </cell>
          <cell r="BH792">
            <v>40919</v>
          </cell>
          <cell r="BJ792">
            <v>16.627389999999998</v>
          </cell>
        </row>
        <row r="793">
          <cell r="D793">
            <v>40918</v>
          </cell>
          <cell r="F793">
            <v>165.36770000000001</v>
          </cell>
          <cell r="K793">
            <v>40918</v>
          </cell>
          <cell r="M793">
            <v>16.918279999999999</v>
          </cell>
          <cell r="R793">
            <v>40918</v>
          </cell>
          <cell r="T793">
            <v>5.71</v>
          </cell>
          <cell r="Y793">
            <v>40918</v>
          </cell>
          <cell r="AA793">
            <v>179.34</v>
          </cell>
          <cell r="AF793">
            <v>40918</v>
          </cell>
          <cell r="AH793">
            <v>56.297829999999998</v>
          </cell>
          <cell r="AM793">
            <v>40918</v>
          </cell>
          <cell r="AO793">
            <v>38.284680000000002</v>
          </cell>
          <cell r="AT793">
            <v>40918</v>
          </cell>
          <cell r="AV793">
            <v>30.80125</v>
          </cell>
          <cell r="BA793">
            <v>40918</v>
          </cell>
          <cell r="BC793">
            <v>19.956679999999999</v>
          </cell>
          <cell r="BH793">
            <v>40918</v>
          </cell>
          <cell r="BJ793">
            <v>16.48648</v>
          </cell>
        </row>
        <row r="794">
          <cell r="D794">
            <v>40917</v>
          </cell>
          <cell r="F794">
            <v>165.62308999999999</v>
          </cell>
          <cell r="K794">
            <v>40917</v>
          </cell>
          <cell r="M794">
            <v>17.044070000000001</v>
          </cell>
          <cell r="R794">
            <v>40917</v>
          </cell>
          <cell r="T794">
            <v>5.59</v>
          </cell>
          <cell r="Y794">
            <v>40917</v>
          </cell>
          <cell r="AA794">
            <v>178.56</v>
          </cell>
          <cell r="AF794">
            <v>40917</v>
          </cell>
          <cell r="AH794">
            <v>56.096969999999999</v>
          </cell>
          <cell r="AM794">
            <v>40917</v>
          </cell>
          <cell r="AO794">
            <v>38.136719999999997</v>
          </cell>
          <cell r="AT794">
            <v>40917</v>
          </cell>
          <cell r="AV794">
            <v>30.619119999999999</v>
          </cell>
          <cell r="BA794">
            <v>40917</v>
          </cell>
          <cell r="BC794">
            <v>19.349889999999998</v>
          </cell>
          <cell r="BH794">
            <v>40917</v>
          </cell>
          <cell r="BJ794">
            <v>16.609770000000001</v>
          </cell>
        </row>
        <row r="795">
          <cell r="D795">
            <v>40914</v>
          </cell>
          <cell r="F795">
            <v>166.48955000000001</v>
          </cell>
          <cell r="K795">
            <v>40914</v>
          </cell>
          <cell r="M795">
            <v>16.936250000000001</v>
          </cell>
          <cell r="R795">
            <v>40914</v>
          </cell>
          <cell r="T795">
            <v>5.43</v>
          </cell>
          <cell r="Y795">
            <v>40914</v>
          </cell>
          <cell r="AA795">
            <v>182.61</v>
          </cell>
          <cell r="AF795">
            <v>40914</v>
          </cell>
          <cell r="AH795">
            <v>56.18609</v>
          </cell>
          <cell r="AM795">
            <v>40914</v>
          </cell>
          <cell r="AO795">
            <v>38.432639999999999</v>
          </cell>
          <cell r="AT795">
            <v>40914</v>
          </cell>
          <cell r="AV795">
            <v>30.619119999999999</v>
          </cell>
          <cell r="BA795">
            <v>40914</v>
          </cell>
          <cell r="BC795">
            <v>19.38841</v>
          </cell>
          <cell r="BH795">
            <v>40914</v>
          </cell>
          <cell r="BJ795">
            <v>16.42483</v>
          </cell>
        </row>
        <row r="796">
          <cell r="D796">
            <v>40913</v>
          </cell>
          <cell r="F796">
            <v>168.42313999999999</v>
          </cell>
          <cell r="K796">
            <v>40913</v>
          </cell>
          <cell r="M796">
            <v>16.99915</v>
          </cell>
          <cell r="R796">
            <v>40913</v>
          </cell>
          <cell r="T796">
            <v>5.46</v>
          </cell>
          <cell r="Y796">
            <v>40913</v>
          </cell>
          <cell r="AA796">
            <v>177.61</v>
          </cell>
          <cell r="AF796">
            <v>40913</v>
          </cell>
          <cell r="AH796">
            <v>55.604810000000001</v>
          </cell>
          <cell r="AM796">
            <v>40913</v>
          </cell>
          <cell r="AO796">
            <v>37.822310000000002</v>
          </cell>
          <cell r="AT796">
            <v>40913</v>
          </cell>
          <cell r="AV796">
            <v>30.814579999999999</v>
          </cell>
          <cell r="BA796">
            <v>40913</v>
          </cell>
          <cell r="BC796">
            <v>19.841100000000001</v>
          </cell>
          <cell r="BH796">
            <v>40913</v>
          </cell>
          <cell r="BJ796">
            <v>16.336760000000002</v>
          </cell>
        </row>
        <row r="797">
          <cell r="D797">
            <v>40912</v>
          </cell>
          <cell r="F797">
            <v>169.22577000000001</v>
          </cell>
          <cell r="K797">
            <v>40912</v>
          </cell>
          <cell r="M797">
            <v>17.06204</v>
          </cell>
          <cell r="R797">
            <v>40912</v>
          </cell>
          <cell r="T797">
            <v>5.46</v>
          </cell>
          <cell r="Y797">
            <v>40912</v>
          </cell>
          <cell r="AA797">
            <v>177.51</v>
          </cell>
          <cell r="AF797">
            <v>40912</v>
          </cell>
          <cell r="AH797">
            <v>54.99427</v>
          </cell>
          <cell r="AM797">
            <v>40912</v>
          </cell>
          <cell r="AO797">
            <v>38.099730000000001</v>
          </cell>
          <cell r="AT797">
            <v>40912</v>
          </cell>
          <cell r="AV797">
            <v>30.96116</v>
          </cell>
          <cell r="BA797">
            <v>40912</v>
          </cell>
          <cell r="BC797">
            <v>19.38841</v>
          </cell>
          <cell r="BH797">
            <v>40912</v>
          </cell>
          <cell r="BJ797">
            <v>16.345569999999999</v>
          </cell>
        </row>
        <row r="798">
          <cell r="D798">
            <v>40911</v>
          </cell>
          <cell r="F798">
            <v>169.91893999999999</v>
          </cell>
          <cell r="K798">
            <v>40911</v>
          </cell>
          <cell r="M798">
            <v>16.738589999999999</v>
          </cell>
          <cell r="R798">
            <v>40911</v>
          </cell>
          <cell r="T798">
            <v>5.48</v>
          </cell>
          <cell r="Y798">
            <v>40911</v>
          </cell>
          <cell r="AA798">
            <v>179.03</v>
          </cell>
          <cell r="AF798">
            <v>40911</v>
          </cell>
          <cell r="AH798">
            <v>54.700299999999999</v>
          </cell>
          <cell r="AM798">
            <v>40911</v>
          </cell>
          <cell r="AO798">
            <v>38.35866</v>
          </cell>
          <cell r="AT798">
            <v>40911</v>
          </cell>
          <cell r="AV798">
            <v>31.156610000000001</v>
          </cell>
          <cell r="BA798">
            <v>40911</v>
          </cell>
          <cell r="BC798">
            <v>19.67736</v>
          </cell>
          <cell r="BH798">
            <v>40911</v>
          </cell>
          <cell r="BJ798">
            <v>16.169429999999998</v>
          </cell>
        </row>
        <row r="799">
          <cell r="D799">
            <v>40907</v>
          </cell>
          <cell r="F799">
            <v>167.71172999999999</v>
          </cell>
          <cell r="K799">
            <v>40907</v>
          </cell>
          <cell r="M799">
            <v>16.190519999999999</v>
          </cell>
          <cell r="R799">
            <v>40907</v>
          </cell>
          <cell r="T799">
            <v>5.4</v>
          </cell>
          <cell r="Y799">
            <v>40907</v>
          </cell>
          <cell r="AA799">
            <v>173.1</v>
          </cell>
          <cell r="AF799">
            <v>40907</v>
          </cell>
          <cell r="AH799">
            <v>53.871609999999997</v>
          </cell>
          <cell r="AM799">
            <v>40907</v>
          </cell>
          <cell r="AO799">
            <v>37.554130000000001</v>
          </cell>
          <cell r="AT799">
            <v>40907</v>
          </cell>
          <cell r="AV799">
            <v>31.081099999999999</v>
          </cell>
          <cell r="BA799">
            <v>40907</v>
          </cell>
          <cell r="BC799">
            <v>19.051310000000001</v>
          </cell>
          <cell r="BH799">
            <v>40907</v>
          </cell>
          <cell r="BJ799">
            <v>15.77312</v>
          </cell>
        </row>
        <row r="800">
          <cell r="D800">
            <v>40906</v>
          </cell>
          <cell r="F800">
            <v>169.80949000000001</v>
          </cell>
          <cell r="K800">
            <v>40906</v>
          </cell>
          <cell r="M800">
            <v>16.342749999999999</v>
          </cell>
          <cell r="R800">
            <v>40906</v>
          </cell>
          <cell r="T800">
            <v>5.34</v>
          </cell>
          <cell r="Y800">
            <v>40906</v>
          </cell>
          <cell r="AA800">
            <v>173.86</v>
          </cell>
          <cell r="AF800">
            <v>40906</v>
          </cell>
          <cell r="AH800">
            <v>53.887569999999997</v>
          </cell>
          <cell r="AM800">
            <v>40906</v>
          </cell>
          <cell r="AO800">
            <v>37.581870000000002</v>
          </cell>
          <cell r="AT800">
            <v>40906</v>
          </cell>
          <cell r="AV800">
            <v>31.165500000000002</v>
          </cell>
          <cell r="BA800">
            <v>40906</v>
          </cell>
          <cell r="BC800">
            <v>19.340250000000001</v>
          </cell>
          <cell r="BH800">
            <v>40906</v>
          </cell>
          <cell r="BJ800">
            <v>15.91403</v>
          </cell>
        </row>
        <row r="801">
          <cell r="D801">
            <v>40905</v>
          </cell>
          <cell r="F801">
            <v>167.81206</v>
          </cell>
          <cell r="K801">
            <v>40905</v>
          </cell>
          <cell r="M801">
            <v>16.262160000000002</v>
          </cell>
          <cell r="R801">
            <v>40905</v>
          </cell>
          <cell r="T801">
            <v>5.28</v>
          </cell>
          <cell r="Y801">
            <v>40905</v>
          </cell>
          <cell r="AA801">
            <v>173.89</v>
          </cell>
          <cell r="AF801">
            <v>40905</v>
          </cell>
          <cell r="AH801">
            <v>53.557690000000001</v>
          </cell>
          <cell r="AM801">
            <v>40905</v>
          </cell>
          <cell r="AO801">
            <v>37.045520000000003</v>
          </cell>
          <cell r="AT801">
            <v>40905</v>
          </cell>
          <cell r="AV801">
            <v>30.876760000000001</v>
          </cell>
          <cell r="BA801">
            <v>40905</v>
          </cell>
          <cell r="BC801">
            <v>19.012779999999999</v>
          </cell>
          <cell r="BH801">
            <v>40905</v>
          </cell>
          <cell r="BJ801">
            <v>15.70266</v>
          </cell>
        </row>
        <row r="802">
          <cell r="D802">
            <v>40904</v>
          </cell>
          <cell r="F802">
            <v>168.68764999999999</v>
          </cell>
          <cell r="K802">
            <v>40904</v>
          </cell>
          <cell r="M802">
            <v>16.638269999999999</v>
          </cell>
          <cell r="R802">
            <v>40904</v>
          </cell>
          <cell r="T802">
            <v>5.38</v>
          </cell>
          <cell r="Y802">
            <v>40904</v>
          </cell>
          <cell r="AA802">
            <v>176.27</v>
          </cell>
          <cell r="AF802">
            <v>40904</v>
          </cell>
          <cell r="AH802">
            <v>54.075119999999998</v>
          </cell>
          <cell r="AM802">
            <v>40904</v>
          </cell>
          <cell r="AO802">
            <v>37.595739999999999</v>
          </cell>
          <cell r="AT802">
            <v>40904</v>
          </cell>
          <cell r="AV802">
            <v>31.041119999999999</v>
          </cell>
          <cell r="BA802">
            <v>40904</v>
          </cell>
          <cell r="BC802">
            <v>19.638829999999999</v>
          </cell>
          <cell r="BH802">
            <v>40904</v>
          </cell>
          <cell r="BJ802">
            <v>15.861190000000001</v>
          </cell>
        </row>
        <row r="803">
          <cell r="D803">
            <v>40900</v>
          </cell>
          <cell r="F803">
            <v>168.50523000000001</v>
          </cell>
          <cell r="K803">
            <v>40900</v>
          </cell>
          <cell r="M803">
            <v>16.53528</v>
          </cell>
          <cell r="R803">
            <v>40900</v>
          </cell>
          <cell r="T803">
            <v>5.41</v>
          </cell>
          <cell r="Y803">
            <v>40900</v>
          </cell>
          <cell r="AA803">
            <v>177.28</v>
          </cell>
          <cell r="AF803">
            <v>40900</v>
          </cell>
          <cell r="AH803">
            <v>53.649470000000001</v>
          </cell>
          <cell r="AM803">
            <v>40900</v>
          </cell>
          <cell r="AO803">
            <v>37.678530000000002</v>
          </cell>
          <cell r="AT803">
            <v>40900</v>
          </cell>
          <cell r="AV803">
            <v>31.067769999999999</v>
          </cell>
          <cell r="BA803">
            <v>40900</v>
          </cell>
          <cell r="BC803">
            <v>19.71574</v>
          </cell>
          <cell r="BH803">
            <v>40900</v>
          </cell>
          <cell r="BJ803">
            <v>16.054939999999998</v>
          </cell>
        </row>
        <row r="804">
          <cell r="D804">
            <v>40899</v>
          </cell>
          <cell r="F804">
            <v>166.03352000000001</v>
          </cell>
          <cell r="K804">
            <v>40899</v>
          </cell>
          <cell r="M804">
            <v>16.235289999999999</v>
          </cell>
          <cell r="R804">
            <v>40899</v>
          </cell>
          <cell r="T804">
            <v>5.45</v>
          </cell>
          <cell r="Y804">
            <v>40899</v>
          </cell>
          <cell r="AA804">
            <v>179.03</v>
          </cell>
          <cell r="AF804">
            <v>40899</v>
          </cell>
          <cell r="AH804">
            <v>53.013649999999998</v>
          </cell>
          <cell r="AM804">
            <v>40899</v>
          </cell>
          <cell r="AO804">
            <v>37.614139999999999</v>
          </cell>
          <cell r="AT804">
            <v>40899</v>
          </cell>
          <cell r="AV804">
            <v>30.73462</v>
          </cell>
          <cell r="BA804">
            <v>40899</v>
          </cell>
          <cell r="BC804">
            <v>19.686900000000001</v>
          </cell>
          <cell r="BH804">
            <v>40899</v>
          </cell>
          <cell r="BJ804">
            <v>15.896420000000001</v>
          </cell>
        </row>
        <row r="805">
          <cell r="D805">
            <v>40898</v>
          </cell>
          <cell r="F805">
            <v>165.51364000000001</v>
          </cell>
          <cell r="K805">
            <v>40898</v>
          </cell>
          <cell r="M805">
            <v>16.047239999999999</v>
          </cell>
          <cell r="R805">
            <v>40898</v>
          </cell>
          <cell r="T805">
            <v>5.08</v>
          </cell>
          <cell r="Y805">
            <v>40898</v>
          </cell>
          <cell r="AA805">
            <v>174.35</v>
          </cell>
          <cell r="AF805">
            <v>40898</v>
          </cell>
          <cell r="AH805">
            <v>52.733649999999997</v>
          </cell>
          <cell r="AM805">
            <v>40898</v>
          </cell>
          <cell r="AO805">
            <v>37.384169999999997</v>
          </cell>
          <cell r="AT805">
            <v>40898</v>
          </cell>
          <cell r="AV805">
            <v>30.903420000000001</v>
          </cell>
          <cell r="BA805">
            <v>40898</v>
          </cell>
          <cell r="BC805">
            <v>19.504249999999999</v>
          </cell>
          <cell r="BH805">
            <v>40898</v>
          </cell>
          <cell r="BJ805">
            <v>15.429650000000001</v>
          </cell>
        </row>
        <row r="806">
          <cell r="D806">
            <v>40897</v>
          </cell>
          <cell r="F806">
            <v>170.77628999999999</v>
          </cell>
          <cell r="K806">
            <v>40897</v>
          </cell>
          <cell r="M806">
            <v>16.481549999999999</v>
          </cell>
          <cell r="R806">
            <v>40897</v>
          </cell>
          <cell r="T806">
            <v>5.19</v>
          </cell>
          <cell r="Y806">
            <v>40897</v>
          </cell>
          <cell r="AA806">
            <v>182.52</v>
          </cell>
          <cell r="AF806">
            <v>40897</v>
          </cell>
          <cell r="AH806">
            <v>52.667810000000003</v>
          </cell>
          <cell r="AM806">
            <v>40897</v>
          </cell>
          <cell r="AO806">
            <v>37.558950000000003</v>
          </cell>
          <cell r="AT806">
            <v>40897</v>
          </cell>
          <cell r="AV806">
            <v>30.383700000000001</v>
          </cell>
          <cell r="BA806">
            <v>40897</v>
          </cell>
          <cell r="BC806">
            <v>19.398510000000002</v>
          </cell>
          <cell r="BH806">
            <v>40897</v>
          </cell>
          <cell r="BJ806">
            <v>15.072039999999999</v>
          </cell>
        </row>
        <row r="807">
          <cell r="D807">
            <v>40896</v>
          </cell>
          <cell r="F807">
            <v>166.80878000000001</v>
          </cell>
          <cell r="K807">
            <v>40896</v>
          </cell>
          <cell r="M807">
            <v>15.841279999999999</v>
          </cell>
          <cell r="R807">
            <v>40896</v>
          </cell>
          <cell r="T807">
            <v>4.8600000000000003</v>
          </cell>
          <cell r="Y807">
            <v>40896</v>
          </cell>
          <cell r="AA807">
            <v>179.33</v>
          </cell>
          <cell r="AF807">
            <v>40896</v>
          </cell>
          <cell r="AH807">
            <v>50.840170000000001</v>
          </cell>
          <cell r="AM807">
            <v>40896</v>
          </cell>
          <cell r="AO807">
            <v>37.108199999999997</v>
          </cell>
          <cell r="AT807">
            <v>40896</v>
          </cell>
          <cell r="AV807">
            <v>29.926159999999999</v>
          </cell>
          <cell r="BA807">
            <v>40896</v>
          </cell>
          <cell r="BC807">
            <v>18.05273</v>
          </cell>
          <cell r="BH807">
            <v>40896</v>
          </cell>
          <cell r="BJ807">
            <v>14.7057</v>
          </cell>
        </row>
        <row r="808">
          <cell r="D808">
            <v>40893</v>
          </cell>
          <cell r="F808">
            <v>167.42899</v>
          </cell>
          <cell r="K808">
            <v>40893</v>
          </cell>
          <cell r="M808">
            <v>16.065149999999999</v>
          </cell>
          <cell r="R808">
            <v>40893</v>
          </cell>
          <cell r="T808">
            <v>5.13</v>
          </cell>
          <cell r="Y808">
            <v>40893</v>
          </cell>
          <cell r="AA808">
            <v>181.26</v>
          </cell>
          <cell r="AF808">
            <v>40893</v>
          </cell>
          <cell r="AH808">
            <v>50.68188</v>
          </cell>
          <cell r="AM808">
            <v>40893</v>
          </cell>
          <cell r="AO808">
            <v>37.660139999999998</v>
          </cell>
          <cell r="AT808">
            <v>40893</v>
          </cell>
          <cell r="AV808">
            <v>29.957260000000002</v>
          </cell>
          <cell r="BA808">
            <v>40893</v>
          </cell>
          <cell r="BC808">
            <v>18.706399999999999</v>
          </cell>
          <cell r="BH808">
            <v>40893</v>
          </cell>
          <cell r="BJ808">
            <v>14.836539999999999</v>
          </cell>
        </row>
        <row r="809">
          <cell r="D809">
            <v>40892</v>
          </cell>
          <cell r="F809">
            <v>170.99519000000001</v>
          </cell>
          <cell r="K809">
            <v>40892</v>
          </cell>
          <cell r="M809">
            <v>16.154699999999998</v>
          </cell>
          <cell r="R809">
            <v>40892</v>
          </cell>
          <cell r="T809">
            <v>5.04</v>
          </cell>
          <cell r="Y809">
            <v>40892</v>
          </cell>
          <cell r="AA809">
            <v>181.26</v>
          </cell>
          <cell r="AF809">
            <v>40892</v>
          </cell>
          <cell r="AH809">
            <v>50.405200000000001</v>
          </cell>
          <cell r="AM809">
            <v>40892</v>
          </cell>
          <cell r="AO809">
            <v>37.742930000000001</v>
          </cell>
          <cell r="AT809">
            <v>40892</v>
          </cell>
          <cell r="AV809">
            <v>29.71294</v>
          </cell>
          <cell r="BA809">
            <v>40892</v>
          </cell>
          <cell r="BC809">
            <v>18.860199999999999</v>
          </cell>
          <cell r="BH809">
            <v>40892</v>
          </cell>
          <cell r="BJ809">
            <v>14.64465</v>
          </cell>
        </row>
        <row r="810">
          <cell r="D810">
            <v>40891</v>
          </cell>
          <cell r="F810">
            <v>172.12616</v>
          </cell>
          <cell r="K810">
            <v>40891</v>
          </cell>
          <cell r="M810">
            <v>16.10097</v>
          </cell>
          <cell r="R810">
            <v>40891</v>
          </cell>
          <cell r="T810">
            <v>5.07</v>
          </cell>
          <cell r="Y810">
            <v>40891</v>
          </cell>
          <cell r="AA810">
            <v>180.21</v>
          </cell>
          <cell r="AF810">
            <v>40891</v>
          </cell>
          <cell r="AH810">
            <v>50.571469999999998</v>
          </cell>
          <cell r="AM810">
            <v>40891</v>
          </cell>
          <cell r="AO810">
            <v>37.328980000000001</v>
          </cell>
          <cell r="AT810">
            <v>40891</v>
          </cell>
          <cell r="AV810">
            <v>29.43309</v>
          </cell>
          <cell r="BA810">
            <v>40891</v>
          </cell>
          <cell r="BC810">
            <v>18.59104</v>
          </cell>
          <cell r="BH810">
            <v>40891</v>
          </cell>
          <cell r="BJ810">
            <v>14.48765</v>
          </cell>
        </row>
        <row r="811">
          <cell r="D811">
            <v>40890</v>
          </cell>
          <cell r="F811">
            <v>174.34249</v>
          </cell>
          <cell r="K811">
            <v>40890</v>
          </cell>
          <cell r="M811">
            <v>16.539760000000001</v>
          </cell>
          <cell r="R811">
            <v>40890</v>
          </cell>
          <cell r="T811">
            <v>5.18</v>
          </cell>
          <cell r="Y811">
            <v>40890</v>
          </cell>
          <cell r="AA811">
            <v>180.51</v>
          </cell>
          <cell r="AF811">
            <v>40890</v>
          </cell>
          <cell r="AH811">
            <v>51.718069999999997</v>
          </cell>
          <cell r="AM811">
            <v>40890</v>
          </cell>
          <cell r="AO811">
            <v>37.687730000000002</v>
          </cell>
          <cell r="AT811">
            <v>40890</v>
          </cell>
          <cell r="AV811">
            <v>29.530819999999999</v>
          </cell>
          <cell r="BA811">
            <v>40890</v>
          </cell>
          <cell r="BC811">
            <v>19.360060000000001</v>
          </cell>
          <cell r="BH811">
            <v>40890</v>
          </cell>
          <cell r="BJ811">
            <v>14.32193</v>
          </cell>
        </row>
        <row r="812">
          <cell r="D812">
            <v>40889</v>
          </cell>
          <cell r="F812">
            <v>175.28192000000001</v>
          </cell>
          <cell r="K812">
            <v>40889</v>
          </cell>
          <cell r="M812">
            <v>16.593489999999999</v>
          </cell>
          <cell r="R812">
            <v>40889</v>
          </cell>
          <cell r="T812">
            <v>5.3</v>
          </cell>
          <cell r="Y812">
            <v>40889</v>
          </cell>
          <cell r="AA812">
            <v>189.52</v>
          </cell>
          <cell r="AF812">
            <v>40889</v>
          </cell>
          <cell r="AH812">
            <v>52.121110000000002</v>
          </cell>
          <cell r="AM812">
            <v>40889</v>
          </cell>
          <cell r="AO812">
            <v>37.844110000000001</v>
          </cell>
          <cell r="AT812">
            <v>40889</v>
          </cell>
          <cell r="AV812">
            <v>29.71294</v>
          </cell>
          <cell r="BA812">
            <v>40889</v>
          </cell>
          <cell r="BC812">
            <v>20.379010000000001</v>
          </cell>
          <cell r="BH812">
            <v>40889</v>
          </cell>
          <cell r="BJ812">
            <v>14.356809999999999</v>
          </cell>
        </row>
        <row r="813">
          <cell r="D813">
            <v>40886</v>
          </cell>
          <cell r="F813">
            <v>177.45265000000001</v>
          </cell>
          <cell r="K813">
            <v>40886</v>
          </cell>
          <cell r="M813">
            <v>16.90691</v>
          </cell>
          <cell r="R813">
            <v>40886</v>
          </cell>
          <cell r="T813">
            <v>5.54</v>
          </cell>
          <cell r="Y813">
            <v>40886</v>
          </cell>
          <cell r="AA813">
            <v>193.03</v>
          </cell>
          <cell r="AF813">
            <v>40886</v>
          </cell>
          <cell r="AH813">
            <v>52.357880000000002</v>
          </cell>
          <cell r="AM813">
            <v>40886</v>
          </cell>
          <cell r="AO813">
            <v>38.534030000000001</v>
          </cell>
          <cell r="AT813">
            <v>40886</v>
          </cell>
          <cell r="AV813">
            <v>30.015000000000001</v>
          </cell>
          <cell r="BA813">
            <v>40886</v>
          </cell>
          <cell r="BC813">
            <v>20.83081</v>
          </cell>
          <cell r="BH813">
            <v>40886</v>
          </cell>
          <cell r="BJ813">
            <v>14.68826</v>
          </cell>
        </row>
        <row r="814">
          <cell r="D814">
            <v>40885</v>
          </cell>
          <cell r="F814">
            <v>174.73468</v>
          </cell>
          <cell r="K814">
            <v>40885</v>
          </cell>
          <cell r="M814">
            <v>16.62931</v>
          </cell>
          <cell r="R814">
            <v>40885</v>
          </cell>
          <cell r="T814">
            <v>5.47</v>
          </cell>
          <cell r="Y814">
            <v>40885</v>
          </cell>
          <cell r="AA814">
            <v>190.48</v>
          </cell>
          <cell r="AF814">
            <v>40885</v>
          </cell>
          <cell r="AH814">
            <v>51.964149999999997</v>
          </cell>
          <cell r="AM814">
            <v>40885</v>
          </cell>
          <cell r="AO814">
            <v>37.982100000000003</v>
          </cell>
          <cell r="AT814">
            <v>40885</v>
          </cell>
          <cell r="AV814">
            <v>29.641870000000001</v>
          </cell>
          <cell r="BA814">
            <v>40885</v>
          </cell>
          <cell r="BC814">
            <v>19.62922</v>
          </cell>
          <cell r="BH814">
            <v>40885</v>
          </cell>
          <cell r="BJ814">
            <v>14.22598</v>
          </cell>
        </row>
        <row r="815">
          <cell r="D815">
            <v>40884</v>
          </cell>
          <cell r="F815">
            <v>176.98750000000001</v>
          </cell>
          <cell r="K815">
            <v>40884</v>
          </cell>
          <cell r="M815">
            <v>17.005420000000001</v>
          </cell>
          <cell r="R815">
            <v>40884</v>
          </cell>
          <cell r="T815">
            <v>5.72</v>
          </cell>
          <cell r="Y815">
            <v>40884</v>
          </cell>
          <cell r="AA815">
            <v>195.32</v>
          </cell>
          <cell r="AF815">
            <v>40884</v>
          </cell>
          <cell r="AH815">
            <v>51.755319999999998</v>
          </cell>
          <cell r="AM815">
            <v>40884</v>
          </cell>
          <cell r="AO815">
            <v>38.460439999999998</v>
          </cell>
          <cell r="AT815">
            <v>40884</v>
          </cell>
          <cell r="AV815">
            <v>29.664079999999998</v>
          </cell>
          <cell r="BA815">
            <v>40884</v>
          </cell>
          <cell r="BC815">
            <v>20.811589999999999</v>
          </cell>
          <cell r="BH815">
            <v>40884</v>
          </cell>
          <cell r="BJ815">
            <v>14.601039999999999</v>
          </cell>
        </row>
        <row r="816">
          <cell r="D816">
            <v>40883</v>
          </cell>
          <cell r="F816">
            <v>175.9751</v>
          </cell>
          <cell r="K816">
            <v>40883</v>
          </cell>
          <cell r="M816">
            <v>16.772590000000001</v>
          </cell>
          <cell r="R816">
            <v>40883</v>
          </cell>
          <cell r="T816">
            <v>5.66</v>
          </cell>
          <cell r="Y816">
            <v>40883</v>
          </cell>
          <cell r="AA816">
            <v>191.99</v>
          </cell>
          <cell r="AF816">
            <v>40883</v>
          </cell>
          <cell r="AH816">
            <v>52.00273</v>
          </cell>
          <cell r="AM816">
            <v>40883</v>
          </cell>
          <cell r="AO816">
            <v>37.742930000000001</v>
          </cell>
          <cell r="AT816">
            <v>40883</v>
          </cell>
          <cell r="AV816">
            <v>29.61966</v>
          </cell>
          <cell r="BA816">
            <v>40883</v>
          </cell>
          <cell r="BC816">
            <v>21.484480000000001</v>
          </cell>
          <cell r="BH816">
            <v>40883</v>
          </cell>
          <cell r="BJ816">
            <v>14.583589999999999</v>
          </cell>
        </row>
        <row r="817">
          <cell r="D817">
            <v>40882</v>
          </cell>
          <cell r="F817">
            <v>174.05975000000001</v>
          </cell>
          <cell r="K817">
            <v>40882</v>
          </cell>
          <cell r="M817">
            <v>16.826319999999999</v>
          </cell>
          <cell r="R817">
            <v>40882</v>
          </cell>
          <cell r="T817">
            <v>5.76</v>
          </cell>
          <cell r="Y817">
            <v>40882</v>
          </cell>
          <cell r="AA817">
            <v>196.24</v>
          </cell>
          <cell r="AF817">
            <v>40882</v>
          </cell>
          <cell r="AH817">
            <v>52.276739999999997</v>
          </cell>
          <cell r="AM817">
            <v>40882</v>
          </cell>
          <cell r="AO817">
            <v>37.724530000000001</v>
          </cell>
          <cell r="AT817">
            <v>40882</v>
          </cell>
          <cell r="AV817">
            <v>29.455300000000001</v>
          </cell>
          <cell r="BA817">
            <v>40882</v>
          </cell>
          <cell r="BC817">
            <v>21.00384</v>
          </cell>
          <cell r="BH817">
            <v>40882</v>
          </cell>
          <cell r="BJ817">
            <v>14.24343</v>
          </cell>
        </row>
        <row r="818">
          <cell r="D818">
            <v>40879</v>
          </cell>
          <cell r="F818">
            <v>172.98349999999999</v>
          </cell>
          <cell r="K818">
            <v>40879</v>
          </cell>
          <cell r="M818">
            <v>16.6114</v>
          </cell>
          <cell r="R818">
            <v>40879</v>
          </cell>
          <cell r="T818">
            <v>5.65</v>
          </cell>
          <cell r="Y818">
            <v>40879</v>
          </cell>
          <cell r="AA818">
            <v>196.03</v>
          </cell>
          <cell r="AF818">
            <v>40879</v>
          </cell>
          <cell r="AH818">
            <v>51.836460000000002</v>
          </cell>
          <cell r="AM818">
            <v>40879</v>
          </cell>
          <cell r="AO818">
            <v>38.120080000000002</v>
          </cell>
          <cell r="AT818">
            <v>40879</v>
          </cell>
          <cell r="AV818">
            <v>29.4864</v>
          </cell>
          <cell r="BA818">
            <v>40879</v>
          </cell>
          <cell r="BC818">
            <v>20.840430000000001</v>
          </cell>
          <cell r="BH818">
            <v>40879</v>
          </cell>
          <cell r="BJ818">
            <v>14.034090000000001</v>
          </cell>
        </row>
        <row r="819">
          <cell r="D819">
            <v>40878</v>
          </cell>
          <cell r="F819">
            <v>172.79196999999999</v>
          </cell>
          <cell r="K819">
            <v>40878</v>
          </cell>
          <cell r="M819">
            <v>16.638269999999999</v>
          </cell>
          <cell r="R819">
            <v>40878</v>
          </cell>
          <cell r="T819">
            <v>5.7</v>
          </cell>
          <cell r="Y819">
            <v>40878</v>
          </cell>
          <cell r="AA819">
            <v>197.13</v>
          </cell>
          <cell r="AF819">
            <v>40878</v>
          </cell>
          <cell r="AH819">
            <v>51.601019999999998</v>
          </cell>
          <cell r="AM819">
            <v>40878</v>
          </cell>
          <cell r="AO819">
            <v>38.975569999999998</v>
          </cell>
          <cell r="AT819">
            <v>40878</v>
          </cell>
          <cell r="AV819">
            <v>29.68629</v>
          </cell>
          <cell r="BA819">
            <v>40878</v>
          </cell>
          <cell r="BC819">
            <v>20.129079999999998</v>
          </cell>
          <cell r="BH819">
            <v>40878</v>
          </cell>
          <cell r="BJ819">
            <v>13.877090000000001</v>
          </cell>
        </row>
        <row r="820">
          <cell r="D820">
            <v>40877</v>
          </cell>
          <cell r="F820">
            <v>171.46946</v>
          </cell>
          <cell r="K820">
            <v>40877</v>
          </cell>
          <cell r="M820">
            <v>16.692</v>
          </cell>
          <cell r="R820">
            <v>40877</v>
          </cell>
          <cell r="T820">
            <v>5.69</v>
          </cell>
          <cell r="Y820">
            <v>40877</v>
          </cell>
          <cell r="AA820">
            <v>192.29</v>
          </cell>
          <cell r="AF820">
            <v>40877</v>
          </cell>
          <cell r="AH820">
            <v>50.838839999999998</v>
          </cell>
          <cell r="AM820">
            <v>40877</v>
          </cell>
          <cell r="AO820">
            <v>39.05836</v>
          </cell>
          <cell r="AT820">
            <v>40877</v>
          </cell>
          <cell r="AV820">
            <v>29.863969999999998</v>
          </cell>
          <cell r="BA820">
            <v>40877</v>
          </cell>
          <cell r="BC820">
            <v>20.532820000000001</v>
          </cell>
          <cell r="BH820">
            <v>40877</v>
          </cell>
          <cell r="BJ820">
            <v>13.877090000000001</v>
          </cell>
        </row>
        <row r="821">
          <cell r="D821">
            <v>40876</v>
          </cell>
          <cell r="F821">
            <v>165.03023999999999</v>
          </cell>
          <cell r="K821">
            <v>40876</v>
          </cell>
          <cell r="M821">
            <v>15.832319999999999</v>
          </cell>
          <cell r="R821">
            <v>40876</v>
          </cell>
          <cell r="T821">
            <v>5.32</v>
          </cell>
          <cell r="Y821">
            <v>40876</v>
          </cell>
          <cell r="AA821">
            <v>188.39</v>
          </cell>
          <cell r="AF821">
            <v>40876</v>
          </cell>
          <cell r="AH821">
            <v>49.641689999999997</v>
          </cell>
          <cell r="AM821">
            <v>40876</v>
          </cell>
          <cell r="AO821">
            <v>37.623339999999999</v>
          </cell>
          <cell r="AT821">
            <v>40876</v>
          </cell>
          <cell r="AV821">
            <v>29.402000000000001</v>
          </cell>
          <cell r="BA821">
            <v>40876</v>
          </cell>
          <cell r="BC821">
            <v>17.889309999999998</v>
          </cell>
          <cell r="BH821">
            <v>40876</v>
          </cell>
          <cell r="BJ821">
            <v>13.013590000000001</v>
          </cell>
        </row>
        <row r="822">
          <cell r="D822">
            <v>40875</v>
          </cell>
          <cell r="F822">
            <v>166.18857</v>
          </cell>
          <cell r="K822">
            <v>40875</v>
          </cell>
          <cell r="M822">
            <v>16.127829999999999</v>
          </cell>
          <cell r="R822">
            <v>40875</v>
          </cell>
          <cell r="T822">
            <v>5.3</v>
          </cell>
          <cell r="Y822">
            <v>40875</v>
          </cell>
          <cell r="AA822">
            <v>194.15</v>
          </cell>
          <cell r="AF822">
            <v>40875</v>
          </cell>
          <cell r="AH822">
            <v>50.030099999999997</v>
          </cell>
          <cell r="AM822">
            <v>40875</v>
          </cell>
          <cell r="AO822">
            <v>38.30406</v>
          </cell>
          <cell r="AT822">
            <v>40875</v>
          </cell>
          <cell r="AV822">
            <v>28.740130000000001</v>
          </cell>
          <cell r="BA822">
            <v>40875</v>
          </cell>
          <cell r="BC822">
            <v>18.081569999999999</v>
          </cell>
          <cell r="BH822">
            <v>40875</v>
          </cell>
          <cell r="BJ822">
            <v>12.90892</v>
          </cell>
        </row>
        <row r="823">
          <cell r="D823">
            <v>40872</v>
          </cell>
          <cell r="F823">
            <v>161.4914</v>
          </cell>
          <cell r="K823">
            <v>40872</v>
          </cell>
          <cell r="M823">
            <v>15.67113</v>
          </cell>
          <cell r="R823">
            <v>40872</v>
          </cell>
          <cell r="T823">
            <v>4.99</v>
          </cell>
          <cell r="Y823">
            <v>40872</v>
          </cell>
          <cell r="AA823">
            <v>182.399</v>
          </cell>
          <cell r="AF823">
            <v>40872</v>
          </cell>
          <cell r="AH823">
            <v>48.36074</v>
          </cell>
          <cell r="AM823">
            <v>40872</v>
          </cell>
          <cell r="AO823">
            <v>37.06221</v>
          </cell>
          <cell r="AT823">
            <v>40872</v>
          </cell>
          <cell r="AV823">
            <v>28.5505</v>
          </cell>
          <cell r="BA823">
            <v>40872</v>
          </cell>
          <cell r="BC823">
            <v>17.293320000000001</v>
          </cell>
          <cell r="BH823">
            <v>40872</v>
          </cell>
          <cell r="BJ823">
            <v>12.8217</v>
          </cell>
        </row>
        <row r="824">
          <cell r="D824">
            <v>40870</v>
          </cell>
          <cell r="F824">
            <v>162.30314000000001</v>
          </cell>
          <cell r="K824">
            <v>40870</v>
          </cell>
          <cell r="M824">
            <v>15.58606</v>
          </cell>
          <cell r="R824">
            <v>40870</v>
          </cell>
          <cell r="T824">
            <v>5.05</v>
          </cell>
          <cell r="Y824">
            <v>40870</v>
          </cell>
          <cell r="AA824">
            <v>188.99</v>
          </cell>
          <cell r="AF824">
            <v>40870</v>
          </cell>
          <cell r="AH824">
            <v>48.815660000000001</v>
          </cell>
          <cell r="AM824">
            <v>40870</v>
          </cell>
          <cell r="AO824">
            <v>37.577350000000003</v>
          </cell>
          <cell r="AT824">
            <v>40870</v>
          </cell>
          <cell r="AV824">
            <v>28.60783</v>
          </cell>
          <cell r="BA824">
            <v>40870</v>
          </cell>
          <cell r="BC824">
            <v>17.995049999999999</v>
          </cell>
          <cell r="BH824">
            <v>40870</v>
          </cell>
          <cell r="BJ824">
            <v>12.84787</v>
          </cell>
        </row>
        <row r="825">
          <cell r="D825">
            <v>40869</v>
          </cell>
          <cell r="F825">
            <v>165.36770000000001</v>
          </cell>
          <cell r="K825">
            <v>40869</v>
          </cell>
          <cell r="M825">
            <v>16.047239999999999</v>
          </cell>
          <cell r="R825">
            <v>40869</v>
          </cell>
          <cell r="T825">
            <v>5.3</v>
          </cell>
          <cell r="Y825">
            <v>40869</v>
          </cell>
          <cell r="AA825">
            <v>192.34</v>
          </cell>
          <cell r="AF825">
            <v>40869</v>
          </cell>
          <cell r="AH825">
            <v>50.081969999999998</v>
          </cell>
          <cell r="AM825">
            <v>40869</v>
          </cell>
          <cell r="AO825">
            <v>37.282980000000002</v>
          </cell>
          <cell r="AT825">
            <v>40869</v>
          </cell>
          <cell r="AV825">
            <v>29.092939999999999</v>
          </cell>
          <cell r="BA825">
            <v>40869</v>
          </cell>
          <cell r="BC825">
            <v>19.360060000000001</v>
          </cell>
          <cell r="BH825">
            <v>40869</v>
          </cell>
          <cell r="BJ825">
            <v>13.07465</v>
          </cell>
        </row>
        <row r="826">
          <cell r="D826">
            <v>40868</v>
          </cell>
          <cell r="F826">
            <v>165.52276000000001</v>
          </cell>
          <cell r="K826">
            <v>40868</v>
          </cell>
          <cell r="M826">
            <v>16.118880000000001</v>
          </cell>
          <cell r="R826">
            <v>40868</v>
          </cell>
          <cell r="T826">
            <v>5.42</v>
          </cell>
          <cell r="Y826">
            <v>40868</v>
          </cell>
          <cell r="AA826">
            <v>189.25</v>
          </cell>
          <cell r="AF826">
            <v>40868</v>
          </cell>
          <cell r="AH826">
            <v>49.084350000000001</v>
          </cell>
          <cell r="AM826">
            <v>40868</v>
          </cell>
          <cell r="AO826">
            <v>37.393369999999997</v>
          </cell>
          <cell r="AT826">
            <v>40868</v>
          </cell>
          <cell r="AV826">
            <v>29.084119999999999</v>
          </cell>
          <cell r="BA826">
            <v>40868</v>
          </cell>
          <cell r="BC826">
            <v>19.571539999999999</v>
          </cell>
          <cell r="BH826">
            <v>40868</v>
          </cell>
          <cell r="BJ826">
            <v>13.2927</v>
          </cell>
        </row>
        <row r="827">
          <cell r="D827">
            <v>40865</v>
          </cell>
          <cell r="F827">
            <v>168.95214999999999</v>
          </cell>
          <cell r="K827">
            <v>40865</v>
          </cell>
          <cell r="M827">
            <v>16.494990000000001</v>
          </cell>
          <cell r="R827">
            <v>40865</v>
          </cell>
          <cell r="T827">
            <v>5.47</v>
          </cell>
          <cell r="Y827">
            <v>40865</v>
          </cell>
          <cell r="AA827">
            <v>197.14</v>
          </cell>
          <cell r="AF827">
            <v>40865</v>
          </cell>
          <cell r="AH827">
            <v>49.873139999999999</v>
          </cell>
          <cell r="AM827">
            <v>40865</v>
          </cell>
          <cell r="AO827">
            <v>38.524830000000001</v>
          </cell>
          <cell r="AT827">
            <v>40865</v>
          </cell>
          <cell r="AV827">
            <v>29.719159999999999</v>
          </cell>
          <cell r="BA827">
            <v>40865</v>
          </cell>
          <cell r="BC827">
            <v>20.878879999999999</v>
          </cell>
          <cell r="BH827">
            <v>40865</v>
          </cell>
          <cell r="BJ827">
            <v>13.650309999999999</v>
          </cell>
        </row>
        <row r="828">
          <cell r="D828">
            <v>40864</v>
          </cell>
          <cell r="F828">
            <v>169.39905999999999</v>
          </cell>
          <cell r="K828">
            <v>40864</v>
          </cell>
          <cell r="M828">
            <v>16.548719999999999</v>
          </cell>
          <cell r="R828">
            <v>40864</v>
          </cell>
          <cell r="T828">
            <v>5.44</v>
          </cell>
          <cell r="Y828">
            <v>40864</v>
          </cell>
          <cell r="AA828">
            <v>204.52</v>
          </cell>
          <cell r="AF828">
            <v>40864</v>
          </cell>
          <cell r="AH828">
            <v>50.201689999999999</v>
          </cell>
          <cell r="AM828">
            <v>40864</v>
          </cell>
          <cell r="AO828">
            <v>38.855989999999998</v>
          </cell>
          <cell r="AT828">
            <v>40864</v>
          </cell>
          <cell r="AV828">
            <v>29.37959</v>
          </cell>
          <cell r="BA828">
            <v>40864</v>
          </cell>
          <cell r="BC828">
            <v>20.821200000000001</v>
          </cell>
          <cell r="BH828">
            <v>40864</v>
          </cell>
          <cell r="BJ828">
            <v>13.641590000000001</v>
          </cell>
        </row>
        <row r="829">
          <cell r="D829">
            <v>40863</v>
          </cell>
          <cell r="F829">
            <v>170.21081000000001</v>
          </cell>
          <cell r="K829">
            <v>40863</v>
          </cell>
          <cell r="M829">
            <v>16.835270000000001</v>
          </cell>
          <cell r="R829">
            <v>40863</v>
          </cell>
          <cell r="T829">
            <v>5.68</v>
          </cell>
          <cell r="Y829">
            <v>40863</v>
          </cell>
          <cell r="AA829">
            <v>211.99</v>
          </cell>
          <cell r="AF829">
            <v>40863</v>
          </cell>
          <cell r="AH829">
            <v>51.180689999999998</v>
          </cell>
          <cell r="AM829">
            <v>40863</v>
          </cell>
          <cell r="AO829">
            <v>39.46311</v>
          </cell>
          <cell r="AT829">
            <v>40863</v>
          </cell>
          <cell r="AV829">
            <v>29.551580000000001</v>
          </cell>
          <cell r="BA829">
            <v>40863</v>
          </cell>
          <cell r="BC829">
            <v>21.503710000000002</v>
          </cell>
          <cell r="BH829">
            <v>40863</v>
          </cell>
          <cell r="BJ829">
            <v>13.91198</v>
          </cell>
        </row>
        <row r="830">
          <cell r="D830">
            <v>40862</v>
          </cell>
          <cell r="F830">
            <v>172.15351999999999</v>
          </cell>
          <cell r="K830">
            <v>40862</v>
          </cell>
          <cell r="M830">
            <v>17.121829999999999</v>
          </cell>
          <cell r="R830">
            <v>40862</v>
          </cell>
          <cell r="T830">
            <v>5.76</v>
          </cell>
          <cell r="Y830">
            <v>40862</v>
          </cell>
          <cell r="AA830">
            <v>217.83</v>
          </cell>
          <cell r="AF830">
            <v>40862</v>
          </cell>
          <cell r="AH830">
            <v>51.720730000000003</v>
          </cell>
          <cell r="AM830">
            <v>40862</v>
          </cell>
          <cell r="AO830">
            <v>40.778550000000003</v>
          </cell>
          <cell r="AT830">
            <v>40862</v>
          </cell>
          <cell r="AV830">
            <v>29.98817</v>
          </cell>
          <cell r="BA830">
            <v>40862</v>
          </cell>
          <cell r="BC830">
            <v>22.368849999999998</v>
          </cell>
          <cell r="BH830">
            <v>40862</v>
          </cell>
          <cell r="BJ830">
            <v>14.130039999999999</v>
          </cell>
        </row>
        <row r="831">
          <cell r="D831">
            <v>40861</v>
          </cell>
          <cell r="F831">
            <v>170.87662</v>
          </cell>
          <cell r="K831">
            <v>40861</v>
          </cell>
          <cell r="M831">
            <v>16.960640000000001</v>
          </cell>
          <cell r="R831">
            <v>40861</v>
          </cell>
          <cell r="T831">
            <v>5.79</v>
          </cell>
          <cell r="Y831">
            <v>40861</v>
          </cell>
          <cell r="AA831">
            <v>218.93</v>
          </cell>
          <cell r="AF831">
            <v>40861</v>
          </cell>
          <cell r="AH831">
            <v>50.447769999999998</v>
          </cell>
          <cell r="AM831">
            <v>40861</v>
          </cell>
          <cell r="AO831">
            <v>40.796950000000002</v>
          </cell>
          <cell r="AT831">
            <v>40861</v>
          </cell>
          <cell r="AV831">
            <v>29.89556</v>
          </cell>
          <cell r="BA831">
            <v>40861</v>
          </cell>
          <cell r="BC831">
            <v>21.86899</v>
          </cell>
          <cell r="BH831">
            <v>40861</v>
          </cell>
          <cell r="BJ831">
            <v>14.042809999999999</v>
          </cell>
        </row>
        <row r="832">
          <cell r="D832">
            <v>40858</v>
          </cell>
          <cell r="F832">
            <v>170.90397999999999</v>
          </cell>
          <cell r="K832">
            <v>40858</v>
          </cell>
          <cell r="M832">
            <v>17.03228</v>
          </cell>
          <cell r="R832">
            <v>40858</v>
          </cell>
          <cell r="T832">
            <v>5.95</v>
          </cell>
          <cell r="Y832">
            <v>40858</v>
          </cell>
          <cell r="AA832">
            <v>217.39</v>
          </cell>
          <cell r="AF832">
            <v>40858</v>
          </cell>
          <cell r="AH832">
            <v>51.160739999999997</v>
          </cell>
          <cell r="AM832">
            <v>40858</v>
          </cell>
          <cell r="AO832">
            <v>41.312080000000002</v>
          </cell>
          <cell r="AT832">
            <v>40858</v>
          </cell>
          <cell r="AV832">
            <v>30.041090000000001</v>
          </cell>
          <cell r="BA832">
            <v>40858</v>
          </cell>
          <cell r="BC832">
            <v>22.263110000000001</v>
          </cell>
          <cell r="BH832">
            <v>40858</v>
          </cell>
          <cell r="BJ832">
            <v>14.21726</v>
          </cell>
        </row>
        <row r="833">
          <cell r="D833">
            <v>40857</v>
          </cell>
          <cell r="F833">
            <v>167.22833</v>
          </cell>
          <cell r="K833">
            <v>40857</v>
          </cell>
          <cell r="M833">
            <v>16.665130000000001</v>
          </cell>
          <cell r="R833">
            <v>40857</v>
          </cell>
          <cell r="T833">
            <v>5.66</v>
          </cell>
          <cell r="Y833">
            <v>40857</v>
          </cell>
          <cell r="AA833">
            <v>210.79</v>
          </cell>
          <cell r="AF833">
            <v>40857</v>
          </cell>
          <cell r="AH833">
            <v>51.240549999999999</v>
          </cell>
          <cell r="AM833">
            <v>40857</v>
          </cell>
          <cell r="AO833">
            <v>39.739080000000001</v>
          </cell>
          <cell r="AT833">
            <v>40857</v>
          </cell>
          <cell r="AV833">
            <v>29.719159999999999</v>
          </cell>
          <cell r="BA833">
            <v>40857</v>
          </cell>
          <cell r="BC833">
            <v>21.62867</v>
          </cell>
          <cell r="BH833">
            <v>40857</v>
          </cell>
          <cell r="BJ833">
            <v>14.00793</v>
          </cell>
        </row>
        <row r="834">
          <cell r="D834">
            <v>40856</v>
          </cell>
          <cell r="F834">
            <v>166.21592999999999</v>
          </cell>
          <cell r="K834">
            <v>40856</v>
          </cell>
          <cell r="M834">
            <v>15.769640000000001</v>
          </cell>
          <cell r="R834">
            <v>40856</v>
          </cell>
          <cell r="T834">
            <v>5.38</v>
          </cell>
          <cell r="Y834">
            <v>40856</v>
          </cell>
          <cell r="AA834">
            <v>211.22</v>
          </cell>
          <cell r="AF834">
            <v>40856</v>
          </cell>
          <cell r="AH834">
            <v>52.578690000000002</v>
          </cell>
          <cell r="AM834">
            <v>40856</v>
          </cell>
          <cell r="AO834">
            <v>39.444719999999997</v>
          </cell>
          <cell r="AT834">
            <v>40856</v>
          </cell>
          <cell r="AV834">
            <v>29.560400000000001</v>
          </cell>
          <cell r="BA834">
            <v>40856</v>
          </cell>
          <cell r="BC834">
            <v>22.253499999999999</v>
          </cell>
          <cell r="BH834">
            <v>40856</v>
          </cell>
          <cell r="BJ834">
            <v>13.824759999999999</v>
          </cell>
        </row>
        <row r="835">
          <cell r="D835">
            <v>40855</v>
          </cell>
          <cell r="F835">
            <v>170.78541000000001</v>
          </cell>
          <cell r="K835">
            <v>40855</v>
          </cell>
          <cell r="M835">
            <v>16.39648</v>
          </cell>
          <cell r="R835">
            <v>40855</v>
          </cell>
          <cell r="T835">
            <v>5.75</v>
          </cell>
          <cell r="Y835">
            <v>40855</v>
          </cell>
          <cell r="AA835">
            <v>217.99</v>
          </cell>
          <cell r="AF835">
            <v>40855</v>
          </cell>
          <cell r="AH835">
            <v>54.035220000000002</v>
          </cell>
          <cell r="AM835">
            <v>40855</v>
          </cell>
          <cell r="AO835">
            <v>40.603769999999997</v>
          </cell>
          <cell r="AT835">
            <v>40855</v>
          </cell>
          <cell r="AV835">
            <v>30.274819999999998</v>
          </cell>
          <cell r="BA835">
            <v>40855</v>
          </cell>
          <cell r="BC835">
            <v>23.00329</v>
          </cell>
          <cell r="BH835">
            <v>40855</v>
          </cell>
          <cell r="BJ835">
            <v>14.37426</v>
          </cell>
        </row>
        <row r="836">
          <cell r="D836">
            <v>40854</v>
          </cell>
          <cell r="F836">
            <v>170.1652</v>
          </cell>
          <cell r="K836">
            <v>40854</v>
          </cell>
          <cell r="M836">
            <v>16.127829999999999</v>
          </cell>
          <cell r="R836">
            <v>40854</v>
          </cell>
          <cell r="T836">
            <v>5.68</v>
          </cell>
          <cell r="Y836">
            <v>40854</v>
          </cell>
          <cell r="AA836">
            <v>217</v>
          </cell>
          <cell r="AF836">
            <v>40854</v>
          </cell>
          <cell r="AH836">
            <v>53.170610000000003</v>
          </cell>
          <cell r="AM836">
            <v>40854</v>
          </cell>
          <cell r="AO836">
            <v>40.622169999999997</v>
          </cell>
          <cell r="AT836">
            <v>40854</v>
          </cell>
          <cell r="AV836">
            <v>30.080780000000001</v>
          </cell>
          <cell r="BA836">
            <v>40854</v>
          </cell>
          <cell r="BC836">
            <v>22.762969999999999</v>
          </cell>
          <cell r="BH836">
            <v>40854</v>
          </cell>
          <cell r="BJ836">
            <v>14.29576</v>
          </cell>
        </row>
        <row r="837">
          <cell r="D837">
            <v>40851</v>
          </cell>
          <cell r="F837">
            <v>169.31129000000001</v>
          </cell>
          <cell r="K837">
            <v>40851</v>
          </cell>
          <cell r="M837">
            <v>16.14574</v>
          </cell>
          <cell r="R837">
            <v>40851</v>
          </cell>
          <cell r="T837">
            <v>5.67</v>
          </cell>
          <cell r="Y837">
            <v>40851</v>
          </cell>
          <cell r="AA837">
            <v>216.48</v>
          </cell>
          <cell r="AF837">
            <v>40851</v>
          </cell>
          <cell r="AH837">
            <v>53.23845</v>
          </cell>
          <cell r="AM837">
            <v>40851</v>
          </cell>
          <cell r="AO837">
            <v>40.245019999999997</v>
          </cell>
          <cell r="AT837">
            <v>40851</v>
          </cell>
          <cell r="AV837">
            <v>29.89115</v>
          </cell>
          <cell r="BA837">
            <v>40851</v>
          </cell>
          <cell r="BC837">
            <v>22.37846</v>
          </cell>
          <cell r="BH837">
            <v>40851</v>
          </cell>
          <cell r="BJ837">
            <v>14.29576</v>
          </cell>
        </row>
        <row r="838">
          <cell r="D838">
            <v>40850</v>
          </cell>
          <cell r="F838">
            <v>170.14703</v>
          </cell>
          <cell r="K838">
            <v>40850</v>
          </cell>
          <cell r="M838">
            <v>16.280069999999998</v>
          </cell>
          <cell r="R838">
            <v>40850</v>
          </cell>
          <cell r="T838">
            <v>5.73</v>
          </cell>
          <cell r="Y838">
            <v>40850</v>
          </cell>
          <cell r="AA838">
            <v>218.29</v>
          </cell>
          <cell r="AF838">
            <v>40850</v>
          </cell>
          <cell r="AH838">
            <v>53.614890000000003</v>
          </cell>
          <cell r="AM838">
            <v>40850</v>
          </cell>
          <cell r="AO838">
            <v>40.70496</v>
          </cell>
          <cell r="AT838">
            <v>40850</v>
          </cell>
          <cell r="AV838">
            <v>30.274819999999998</v>
          </cell>
          <cell r="BA838">
            <v>40850</v>
          </cell>
          <cell r="BC838">
            <v>22.628399999999999</v>
          </cell>
          <cell r="BH838">
            <v>40850</v>
          </cell>
          <cell r="BJ838">
            <v>14.53998</v>
          </cell>
        </row>
        <row r="839">
          <cell r="D839">
            <v>40849</v>
          </cell>
          <cell r="F839">
            <v>167.07657</v>
          </cell>
          <cell r="K839">
            <v>40849</v>
          </cell>
          <cell r="M839">
            <v>15.98456</v>
          </cell>
          <cell r="R839">
            <v>40849</v>
          </cell>
          <cell r="T839">
            <v>5.46</v>
          </cell>
          <cell r="Y839">
            <v>40849</v>
          </cell>
          <cell r="AA839">
            <v>215.62</v>
          </cell>
          <cell r="AF839">
            <v>40849</v>
          </cell>
          <cell r="AH839">
            <v>52.862009999999998</v>
          </cell>
          <cell r="AM839">
            <v>40849</v>
          </cell>
          <cell r="AO839">
            <v>40.30941</v>
          </cell>
          <cell r="AT839">
            <v>40849</v>
          </cell>
          <cell r="AV839">
            <v>29.88674</v>
          </cell>
          <cell r="BA839">
            <v>40849</v>
          </cell>
          <cell r="BC839">
            <v>21.71519</v>
          </cell>
          <cell r="BH839">
            <v>40849</v>
          </cell>
          <cell r="BJ839">
            <v>14.17365</v>
          </cell>
        </row>
        <row r="840">
          <cell r="D840">
            <v>40848</v>
          </cell>
          <cell r="F840">
            <v>164.74194</v>
          </cell>
          <cell r="K840">
            <v>40848</v>
          </cell>
          <cell r="M840">
            <v>15.75173</v>
          </cell>
          <cell r="R840">
            <v>40848</v>
          </cell>
          <cell r="T840">
            <v>5.3</v>
          </cell>
          <cell r="Y840">
            <v>40848</v>
          </cell>
          <cell r="AA840">
            <v>212.10499999999999</v>
          </cell>
          <cell r="AF840">
            <v>40848</v>
          </cell>
          <cell r="AH840">
            <v>52.7423</v>
          </cell>
          <cell r="AM840">
            <v>40848</v>
          </cell>
          <cell r="AO840">
            <v>39.683889999999998</v>
          </cell>
          <cell r="AT840">
            <v>40848</v>
          </cell>
          <cell r="AV840">
            <v>29.564810000000001</v>
          </cell>
          <cell r="BA840">
            <v>40848</v>
          </cell>
          <cell r="BC840">
            <v>19.994499999999999</v>
          </cell>
          <cell r="BH840">
            <v>40848</v>
          </cell>
          <cell r="BJ840">
            <v>13.973039999999999</v>
          </cell>
        </row>
        <row r="841">
          <cell r="D841">
            <v>40847</v>
          </cell>
          <cell r="F841">
            <v>167.72155000000001</v>
          </cell>
          <cell r="K841">
            <v>40847</v>
          </cell>
          <cell r="M841">
            <v>16.593489999999999</v>
          </cell>
          <cell r="R841">
            <v>40847</v>
          </cell>
          <cell r="T841">
            <v>5.83</v>
          </cell>
          <cell r="Y841">
            <v>40847</v>
          </cell>
          <cell r="AA841">
            <v>213.51</v>
          </cell>
          <cell r="AF841">
            <v>40847</v>
          </cell>
          <cell r="AH841">
            <v>53.84234</v>
          </cell>
          <cell r="AM841">
            <v>40847</v>
          </cell>
          <cell r="AO841">
            <v>40.72336</v>
          </cell>
          <cell r="AT841">
            <v>40847</v>
          </cell>
          <cell r="AV841">
            <v>30.129290000000001</v>
          </cell>
          <cell r="BA841">
            <v>40847</v>
          </cell>
          <cell r="BC841">
            <v>20.859649999999998</v>
          </cell>
          <cell r="BH841">
            <v>40847</v>
          </cell>
          <cell r="BJ841">
            <v>14.574870000000001</v>
          </cell>
        </row>
        <row r="842">
          <cell r="D842">
            <v>40844</v>
          </cell>
          <cell r="F842">
            <v>170.2833</v>
          </cell>
          <cell r="K842">
            <v>40844</v>
          </cell>
          <cell r="M842">
            <v>16.620360000000002</v>
          </cell>
          <cell r="R842">
            <v>40844</v>
          </cell>
          <cell r="T842">
            <v>5.94</v>
          </cell>
          <cell r="Y842">
            <v>40844</v>
          </cell>
          <cell r="AA842">
            <v>217.32</v>
          </cell>
          <cell r="AF842">
            <v>40844</v>
          </cell>
          <cell r="AH842">
            <v>53.864960000000004</v>
          </cell>
          <cell r="AM842">
            <v>40844</v>
          </cell>
          <cell r="AO842">
            <v>41.845619999999997</v>
          </cell>
          <cell r="AT842">
            <v>40844</v>
          </cell>
          <cell r="AV842">
            <v>30.398299999999999</v>
          </cell>
          <cell r="BA842">
            <v>40844</v>
          </cell>
          <cell r="BC842">
            <v>21.78247</v>
          </cell>
          <cell r="BH842">
            <v>40844</v>
          </cell>
          <cell r="BJ842">
            <v>15.045870000000001</v>
          </cell>
        </row>
        <row r="843">
          <cell r="D843">
            <v>40843</v>
          </cell>
          <cell r="F843">
            <v>168.85708</v>
          </cell>
          <cell r="K843">
            <v>40843</v>
          </cell>
          <cell r="M843">
            <v>16.512899999999998</v>
          </cell>
          <cell r="R843">
            <v>40843</v>
          </cell>
          <cell r="T843">
            <v>5.54</v>
          </cell>
          <cell r="Y843">
            <v>40843</v>
          </cell>
          <cell r="AA843">
            <v>206.78</v>
          </cell>
          <cell r="AF843">
            <v>40843</v>
          </cell>
          <cell r="AH843">
            <v>53.830370000000002</v>
          </cell>
          <cell r="AM843">
            <v>40843</v>
          </cell>
          <cell r="AO843">
            <v>41.348880000000001</v>
          </cell>
          <cell r="AT843">
            <v>40843</v>
          </cell>
          <cell r="AV843">
            <v>30.239540000000002</v>
          </cell>
          <cell r="BA843">
            <v>40843</v>
          </cell>
          <cell r="BC843">
            <v>22.388079999999999</v>
          </cell>
          <cell r="BH843">
            <v>40843</v>
          </cell>
          <cell r="BJ843">
            <v>15.150539999999999</v>
          </cell>
        </row>
        <row r="844">
          <cell r="D844">
            <v>40842</v>
          </cell>
          <cell r="F844">
            <v>165.30516</v>
          </cell>
          <cell r="K844">
            <v>40842</v>
          </cell>
          <cell r="M844">
            <v>15.769640000000001</v>
          </cell>
          <cell r="R844">
            <v>40842</v>
          </cell>
          <cell r="T844">
            <v>5.0949999999999998</v>
          </cell>
          <cell r="Y844">
            <v>40842</v>
          </cell>
          <cell r="AA844">
            <v>198.4</v>
          </cell>
          <cell r="AF844">
            <v>40842</v>
          </cell>
          <cell r="AH844">
            <v>53.286340000000003</v>
          </cell>
          <cell r="AM844">
            <v>40842</v>
          </cell>
          <cell r="AO844">
            <v>40.585369999999998</v>
          </cell>
          <cell r="AT844">
            <v>40842</v>
          </cell>
          <cell r="AV844">
            <v>29.754439999999999</v>
          </cell>
          <cell r="BA844">
            <v>40842</v>
          </cell>
          <cell r="BC844">
            <v>21.00384</v>
          </cell>
          <cell r="BH844">
            <v>40842</v>
          </cell>
          <cell r="BJ844">
            <v>14.260870000000001</v>
          </cell>
        </row>
        <row r="845">
          <cell r="D845">
            <v>40841</v>
          </cell>
          <cell r="F845">
            <v>163.8426</v>
          </cell>
          <cell r="K845">
            <v>40841</v>
          </cell>
          <cell r="M845">
            <v>15.778589999999999</v>
          </cell>
          <cell r="R845">
            <v>40841</v>
          </cell>
          <cell r="T845">
            <v>4.91</v>
          </cell>
          <cell r="Y845">
            <v>40841</v>
          </cell>
          <cell r="AA845">
            <v>227.15</v>
          </cell>
          <cell r="AF845">
            <v>40841</v>
          </cell>
          <cell r="AH845">
            <v>52.9099</v>
          </cell>
          <cell r="AM845">
            <v>40841</v>
          </cell>
          <cell r="AO845">
            <v>39.582700000000003</v>
          </cell>
          <cell r="AT845">
            <v>40841</v>
          </cell>
          <cell r="AV845">
            <v>29.525120000000001</v>
          </cell>
          <cell r="BA845">
            <v>40841</v>
          </cell>
          <cell r="BC845">
            <v>20.148309999999999</v>
          </cell>
          <cell r="BH845">
            <v>40841</v>
          </cell>
          <cell r="BJ845">
            <v>14.14748</v>
          </cell>
        </row>
        <row r="846">
          <cell r="D846">
            <v>40840</v>
          </cell>
          <cell r="F846">
            <v>165.55950999999999</v>
          </cell>
          <cell r="K846">
            <v>40840</v>
          </cell>
          <cell r="M846">
            <v>15.706950000000001</v>
          </cell>
          <cell r="R846">
            <v>40840</v>
          </cell>
          <cell r="T846">
            <v>5.0599999999999996</v>
          </cell>
          <cell r="Y846">
            <v>40840</v>
          </cell>
          <cell r="AA846">
            <v>237.61</v>
          </cell>
          <cell r="AF846">
            <v>40840</v>
          </cell>
          <cell r="AH846">
            <v>53.974029999999999</v>
          </cell>
          <cell r="AM846">
            <v>40840</v>
          </cell>
          <cell r="AO846">
            <v>40.520980000000002</v>
          </cell>
          <cell r="AT846">
            <v>40840</v>
          </cell>
          <cell r="AV846">
            <v>29.93084</v>
          </cell>
          <cell r="BA846">
            <v>40840</v>
          </cell>
          <cell r="BC846">
            <v>21.13842</v>
          </cell>
          <cell r="BH846">
            <v>40840</v>
          </cell>
          <cell r="BJ846">
            <v>14.348089999999999</v>
          </cell>
        </row>
        <row r="847">
          <cell r="D847">
            <v>40837</v>
          </cell>
          <cell r="F847">
            <v>164.99628999999999</v>
          </cell>
          <cell r="K847">
            <v>40837</v>
          </cell>
          <cell r="M847">
            <v>15.56367</v>
          </cell>
          <cell r="R847">
            <v>40837</v>
          </cell>
          <cell r="T847">
            <v>4.72</v>
          </cell>
          <cell r="Y847">
            <v>40837</v>
          </cell>
          <cell r="AA847">
            <v>234.78</v>
          </cell>
          <cell r="AF847">
            <v>40837</v>
          </cell>
          <cell r="AH847">
            <v>52.258119999999998</v>
          </cell>
          <cell r="AM847">
            <v>40837</v>
          </cell>
          <cell r="AO847">
            <v>40.474989999999998</v>
          </cell>
          <cell r="AT847">
            <v>40837</v>
          </cell>
          <cell r="AV847">
            <v>30.071960000000001</v>
          </cell>
          <cell r="BA847">
            <v>40837</v>
          </cell>
          <cell r="BC847">
            <v>20.388629999999999</v>
          </cell>
          <cell r="BH847">
            <v>40837</v>
          </cell>
          <cell r="BJ847">
            <v>14.22598</v>
          </cell>
        </row>
        <row r="848">
          <cell r="D848">
            <v>40836</v>
          </cell>
          <cell r="F848">
            <v>161.01741000000001</v>
          </cell>
          <cell r="K848">
            <v>40836</v>
          </cell>
          <cell r="M848">
            <v>15.39353</v>
          </cell>
          <cell r="R848">
            <v>40836</v>
          </cell>
          <cell r="T848">
            <v>4.54</v>
          </cell>
          <cell r="Y848">
            <v>40836</v>
          </cell>
          <cell r="AA848">
            <v>233.61</v>
          </cell>
          <cell r="AF848">
            <v>40836</v>
          </cell>
          <cell r="AH848">
            <v>52.582680000000003</v>
          </cell>
          <cell r="AM848">
            <v>40836</v>
          </cell>
          <cell r="AO848">
            <v>39.021569999999997</v>
          </cell>
          <cell r="AT848">
            <v>40836</v>
          </cell>
          <cell r="AV848">
            <v>29.600090000000002</v>
          </cell>
          <cell r="BA848">
            <v>40836</v>
          </cell>
          <cell r="BC848">
            <v>19.64845</v>
          </cell>
          <cell r="BH848">
            <v>40836</v>
          </cell>
          <cell r="BJ848">
            <v>14.505089999999999</v>
          </cell>
        </row>
        <row r="849">
          <cell r="D849">
            <v>40835</v>
          </cell>
          <cell r="F849">
            <v>161.14458999999999</v>
          </cell>
          <cell r="K849">
            <v>40835</v>
          </cell>
          <cell r="M849">
            <v>15.366669999999999</v>
          </cell>
          <cell r="R849">
            <v>40835</v>
          </cell>
          <cell r="T849">
            <v>4.7300000000000004</v>
          </cell>
          <cell r="Y849">
            <v>40835</v>
          </cell>
          <cell r="AA849">
            <v>231.53</v>
          </cell>
          <cell r="AF849">
            <v>40835</v>
          </cell>
          <cell r="AH849">
            <v>53.022959999999998</v>
          </cell>
          <cell r="AM849">
            <v>40835</v>
          </cell>
          <cell r="AO849">
            <v>38.874389999999998</v>
          </cell>
          <cell r="AT849">
            <v>40835</v>
          </cell>
          <cell r="AV849">
            <v>29.560400000000001</v>
          </cell>
          <cell r="BA849">
            <v>40835</v>
          </cell>
          <cell r="BC849">
            <v>19.417739999999998</v>
          </cell>
          <cell r="BH849">
            <v>40835</v>
          </cell>
          <cell r="BJ849">
            <v>14.40915</v>
          </cell>
        </row>
        <row r="850">
          <cell r="D850">
            <v>40834</v>
          </cell>
          <cell r="F850">
            <v>162.51631</v>
          </cell>
          <cell r="K850">
            <v>40834</v>
          </cell>
          <cell r="M850">
            <v>15.68009</v>
          </cell>
          <cell r="R850">
            <v>40834</v>
          </cell>
          <cell r="T850">
            <v>4.83</v>
          </cell>
          <cell r="Y850">
            <v>40834</v>
          </cell>
          <cell r="AA850">
            <v>243.88</v>
          </cell>
          <cell r="AF850">
            <v>40834</v>
          </cell>
          <cell r="AH850">
            <v>56.164810000000003</v>
          </cell>
          <cell r="AM850">
            <v>40834</v>
          </cell>
          <cell r="AO850">
            <v>38.635219999999997</v>
          </cell>
          <cell r="AT850">
            <v>40834</v>
          </cell>
          <cell r="AV850">
            <v>29.432510000000001</v>
          </cell>
          <cell r="BA850">
            <v>40834</v>
          </cell>
          <cell r="BC850">
            <v>20.54243</v>
          </cell>
          <cell r="BH850">
            <v>40834</v>
          </cell>
          <cell r="BJ850">
            <v>14.574870000000001</v>
          </cell>
        </row>
        <row r="851">
          <cell r="D851">
            <v>40833</v>
          </cell>
          <cell r="F851">
            <v>169.50206</v>
          </cell>
          <cell r="K851">
            <v>40833</v>
          </cell>
          <cell r="M851">
            <v>15.37562</v>
          </cell>
          <cell r="R851">
            <v>40833</v>
          </cell>
          <cell r="T851">
            <v>4.67</v>
          </cell>
          <cell r="Y851">
            <v>40833</v>
          </cell>
          <cell r="AA851">
            <v>242.33</v>
          </cell>
          <cell r="AF851">
            <v>40833</v>
          </cell>
          <cell r="AH851">
            <v>55.865519999999997</v>
          </cell>
          <cell r="AM851">
            <v>40833</v>
          </cell>
          <cell r="AO851">
            <v>38.009689999999999</v>
          </cell>
          <cell r="AT851">
            <v>40833</v>
          </cell>
          <cell r="AV851">
            <v>29.547170000000001</v>
          </cell>
          <cell r="BA851">
            <v>40833</v>
          </cell>
          <cell r="BC851">
            <v>19.398510000000002</v>
          </cell>
          <cell r="BH851">
            <v>40833</v>
          </cell>
          <cell r="BJ851">
            <v>14.1562</v>
          </cell>
        </row>
        <row r="852">
          <cell r="D852">
            <v>40830</v>
          </cell>
          <cell r="F852">
            <v>173.08123000000001</v>
          </cell>
          <cell r="K852">
            <v>40830</v>
          </cell>
          <cell r="M852">
            <v>15.715909999999999</v>
          </cell>
          <cell r="R852">
            <v>40830</v>
          </cell>
          <cell r="T852">
            <v>4.92</v>
          </cell>
          <cell r="Y852">
            <v>40830</v>
          </cell>
          <cell r="AA852">
            <v>246.71</v>
          </cell>
          <cell r="AF852">
            <v>40830</v>
          </cell>
          <cell r="AH852">
            <v>56.132890000000003</v>
          </cell>
          <cell r="AM852">
            <v>40830</v>
          </cell>
          <cell r="AO852">
            <v>38.71801</v>
          </cell>
          <cell r="AT852">
            <v>40830</v>
          </cell>
          <cell r="AV852">
            <v>29.92202</v>
          </cell>
          <cell r="BA852">
            <v>40830</v>
          </cell>
          <cell r="BC852">
            <v>20.975000000000001</v>
          </cell>
          <cell r="BH852">
            <v>40830</v>
          </cell>
          <cell r="BJ852">
            <v>14.47893</v>
          </cell>
        </row>
        <row r="853">
          <cell r="D853">
            <v>40829</v>
          </cell>
          <cell r="F853">
            <v>169.71099000000001</v>
          </cell>
          <cell r="K853">
            <v>40829</v>
          </cell>
          <cell r="M853">
            <v>15.599489999999999</v>
          </cell>
          <cell r="R853">
            <v>40829</v>
          </cell>
          <cell r="T853">
            <v>4.97</v>
          </cell>
          <cell r="Y853">
            <v>40829</v>
          </cell>
          <cell r="AA853">
            <v>236.15</v>
          </cell>
          <cell r="AF853">
            <v>40829</v>
          </cell>
          <cell r="AH853">
            <v>54.327849999999998</v>
          </cell>
          <cell r="AM853">
            <v>40829</v>
          </cell>
          <cell r="AO853">
            <v>38.193669999999997</v>
          </cell>
          <cell r="AT853">
            <v>40829</v>
          </cell>
          <cell r="AV853">
            <v>29.723569999999999</v>
          </cell>
          <cell r="BA853">
            <v>40829</v>
          </cell>
          <cell r="BC853">
            <v>20.061789999999998</v>
          </cell>
          <cell r="BH853">
            <v>40829</v>
          </cell>
          <cell r="BJ853">
            <v>14.14748</v>
          </cell>
        </row>
        <row r="854">
          <cell r="D854">
            <v>40828</v>
          </cell>
          <cell r="F854">
            <v>169.07509999999999</v>
          </cell>
          <cell r="K854">
            <v>40828</v>
          </cell>
          <cell r="M854">
            <v>15.44726</v>
          </cell>
          <cell r="R854">
            <v>40828</v>
          </cell>
          <cell r="T854">
            <v>4.93</v>
          </cell>
          <cell r="Y854">
            <v>40828</v>
          </cell>
          <cell r="AA854">
            <v>236.81</v>
          </cell>
          <cell r="AF854">
            <v>40828</v>
          </cell>
          <cell r="AH854">
            <v>53.49783</v>
          </cell>
          <cell r="AM854">
            <v>40828</v>
          </cell>
          <cell r="AO854">
            <v>38.184469999999997</v>
          </cell>
          <cell r="AT854">
            <v>40828</v>
          </cell>
          <cell r="AV854">
            <v>29.758849999999999</v>
          </cell>
          <cell r="BA854">
            <v>40828</v>
          </cell>
          <cell r="BC854">
            <v>19.93683</v>
          </cell>
          <cell r="BH854">
            <v>40828</v>
          </cell>
          <cell r="BJ854">
            <v>14.30448</v>
          </cell>
        </row>
        <row r="855">
          <cell r="D855">
            <v>40827</v>
          </cell>
          <cell r="F855">
            <v>168.05767</v>
          </cell>
          <cell r="K855">
            <v>40827</v>
          </cell>
          <cell r="M855">
            <v>15.21443</v>
          </cell>
          <cell r="R855">
            <v>40827</v>
          </cell>
          <cell r="T855">
            <v>4.8600000000000003</v>
          </cell>
          <cell r="Y855">
            <v>40827</v>
          </cell>
          <cell r="AA855">
            <v>235.48</v>
          </cell>
          <cell r="AF855">
            <v>40827</v>
          </cell>
          <cell r="AH855">
            <v>53.245100000000001</v>
          </cell>
          <cell r="AM855">
            <v>40827</v>
          </cell>
          <cell r="AO855">
            <v>37.936100000000003</v>
          </cell>
          <cell r="AT855">
            <v>40827</v>
          </cell>
          <cell r="AV855">
            <v>29.458970000000001</v>
          </cell>
          <cell r="BA855">
            <v>40827</v>
          </cell>
          <cell r="BC855">
            <v>18.706399999999999</v>
          </cell>
          <cell r="BH855">
            <v>40827</v>
          </cell>
          <cell r="BJ855">
            <v>14.0777</v>
          </cell>
        </row>
        <row r="856">
          <cell r="D856">
            <v>40826</v>
          </cell>
          <cell r="F856">
            <v>169.52931000000001</v>
          </cell>
          <cell r="K856">
            <v>40826</v>
          </cell>
          <cell r="M856">
            <v>15.303979999999999</v>
          </cell>
          <cell r="R856">
            <v>40826</v>
          </cell>
          <cell r="T856">
            <v>4.84</v>
          </cell>
          <cell r="Y856">
            <v>40826</v>
          </cell>
          <cell r="AA856">
            <v>231.32</v>
          </cell>
          <cell r="AF856">
            <v>40826</v>
          </cell>
          <cell r="AH856">
            <v>51.718069999999997</v>
          </cell>
          <cell r="AM856">
            <v>40826</v>
          </cell>
          <cell r="AO856">
            <v>38.000489999999999</v>
          </cell>
          <cell r="AT856">
            <v>40826</v>
          </cell>
          <cell r="AV856">
            <v>29.503070000000001</v>
          </cell>
          <cell r="BA856">
            <v>40826</v>
          </cell>
          <cell r="BC856">
            <v>18.802520000000001</v>
          </cell>
          <cell r="BH856">
            <v>40826</v>
          </cell>
          <cell r="BJ856">
            <v>14.0777</v>
          </cell>
        </row>
        <row r="857">
          <cell r="D857">
            <v>40823</v>
          </cell>
          <cell r="F857">
            <v>165.68669</v>
          </cell>
          <cell r="K857">
            <v>40823</v>
          </cell>
          <cell r="M857">
            <v>14.91892</v>
          </cell>
          <cell r="R857">
            <v>40823</v>
          </cell>
          <cell r="T857">
            <v>4.7300000000000004</v>
          </cell>
          <cell r="Y857">
            <v>40823</v>
          </cell>
          <cell r="AA857">
            <v>224.74</v>
          </cell>
          <cell r="AF857">
            <v>40823</v>
          </cell>
          <cell r="AH857">
            <v>49.189430000000002</v>
          </cell>
          <cell r="AM857">
            <v>40823</v>
          </cell>
          <cell r="AO857">
            <v>37.034610000000001</v>
          </cell>
          <cell r="AT857">
            <v>40823</v>
          </cell>
          <cell r="AV857">
            <v>29.062059999999999</v>
          </cell>
          <cell r="BA857">
            <v>40823</v>
          </cell>
          <cell r="BC857">
            <v>17.206810000000001</v>
          </cell>
          <cell r="BH857">
            <v>40823</v>
          </cell>
          <cell r="BJ857">
            <v>13.51948</v>
          </cell>
        </row>
        <row r="858">
          <cell r="D858">
            <v>40822</v>
          </cell>
          <cell r="F858">
            <v>165.05080000000001</v>
          </cell>
          <cell r="K858">
            <v>40822</v>
          </cell>
          <cell r="M858">
            <v>14.999510000000001</v>
          </cell>
          <cell r="R858">
            <v>40822</v>
          </cell>
          <cell r="T858">
            <v>4.8499999999999996</v>
          </cell>
          <cell r="Y858">
            <v>40822</v>
          </cell>
          <cell r="AA858">
            <v>221.51</v>
          </cell>
          <cell r="AF858">
            <v>40822</v>
          </cell>
          <cell r="AH858">
            <v>50.196370000000002</v>
          </cell>
          <cell r="AM858">
            <v>40822</v>
          </cell>
          <cell r="AO858">
            <v>36.777050000000003</v>
          </cell>
          <cell r="AT858">
            <v>40822</v>
          </cell>
          <cell r="AV858">
            <v>28.837150000000001</v>
          </cell>
          <cell r="BA858">
            <v>40822</v>
          </cell>
          <cell r="BC858">
            <v>17.581710000000001</v>
          </cell>
          <cell r="BH858">
            <v>40822</v>
          </cell>
          <cell r="BJ858">
            <v>13.54565</v>
          </cell>
        </row>
        <row r="859">
          <cell r="D859">
            <v>40821</v>
          </cell>
          <cell r="F859">
            <v>160.65405000000001</v>
          </cell>
          <cell r="K859">
            <v>40821</v>
          </cell>
          <cell r="M859">
            <v>14.471170000000001</v>
          </cell>
          <cell r="R859">
            <v>40821</v>
          </cell>
          <cell r="T859">
            <v>4.83</v>
          </cell>
          <cell r="Y859">
            <v>40821</v>
          </cell>
          <cell r="AA859">
            <v>219.49799999999999</v>
          </cell>
          <cell r="AF859">
            <v>40821</v>
          </cell>
          <cell r="AH859">
            <v>50.313420000000001</v>
          </cell>
          <cell r="AM859">
            <v>40821</v>
          </cell>
          <cell r="AO859">
            <v>37.209389999999999</v>
          </cell>
          <cell r="AT859">
            <v>40821</v>
          </cell>
          <cell r="AV859">
            <v>28.898890000000002</v>
          </cell>
          <cell r="BA859">
            <v>40821</v>
          </cell>
          <cell r="BC859">
            <v>17.187580000000001</v>
          </cell>
          <cell r="BH859">
            <v>40821</v>
          </cell>
          <cell r="BJ859">
            <v>13.31887</v>
          </cell>
        </row>
        <row r="860">
          <cell r="D860">
            <v>40820</v>
          </cell>
          <cell r="F860">
            <v>158.73728</v>
          </cell>
          <cell r="K860">
            <v>40820</v>
          </cell>
          <cell r="M860">
            <v>13.951790000000001</v>
          </cell>
          <cell r="R860">
            <v>40820</v>
          </cell>
          <cell r="T860">
            <v>4.72</v>
          </cell>
          <cell r="Y860">
            <v>40820</v>
          </cell>
          <cell r="AA860">
            <v>212.5</v>
          </cell>
          <cell r="AF860">
            <v>40820</v>
          </cell>
          <cell r="AH860">
            <v>49.548580000000001</v>
          </cell>
          <cell r="AM860">
            <v>40820</v>
          </cell>
          <cell r="AO860">
            <v>36.887430000000002</v>
          </cell>
          <cell r="AT860">
            <v>40820</v>
          </cell>
          <cell r="AV860">
            <v>28.766590000000001</v>
          </cell>
          <cell r="BA860">
            <v>40820</v>
          </cell>
          <cell r="BC860">
            <v>16.264759999999999</v>
          </cell>
          <cell r="BH860">
            <v>40820</v>
          </cell>
          <cell r="BJ860">
            <v>12.961259999999999</v>
          </cell>
        </row>
        <row r="861">
          <cell r="D861">
            <v>40819</v>
          </cell>
          <cell r="F861">
            <v>157.42007000000001</v>
          </cell>
          <cell r="K861">
            <v>40819</v>
          </cell>
          <cell r="M861">
            <v>13.54881</v>
          </cell>
          <cell r="R861">
            <v>40819</v>
          </cell>
          <cell r="T861">
            <v>4.53</v>
          </cell>
          <cell r="Y861">
            <v>40819</v>
          </cell>
          <cell r="AA861">
            <v>211.98</v>
          </cell>
          <cell r="AF861">
            <v>40819</v>
          </cell>
          <cell r="AH861">
            <v>49.827910000000003</v>
          </cell>
          <cell r="AM861">
            <v>40819</v>
          </cell>
          <cell r="AO861">
            <v>36.68506</v>
          </cell>
          <cell r="AT861">
            <v>40819</v>
          </cell>
          <cell r="AV861">
            <v>28.850380000000001</v>
          </cell>
          <cell r="BA861">
            <v>40819</v>
          </cell>
          <cell r="BC861">
            <v>14.41911</v>
          </cell>
          <cell r="BH861">
            <v>40819</v>
          </cell>
          <cell r="BJ861">
            <v>12.81298</v>
          </cell>
        </row>
        <row r="862">
          <cell r="D862">
            <v>40816</v>
          </cell>
          <cell r="F862">
            <v>158.85536999999999</v>
          </cell>
          <cell r="K862">
            <v>40816</v>
          </cell>
          <cell r="M862">
            <v>13.82532</v>
          </cell>
          <cell r="R862">
            <v>40816</v>
          </cell>
          <cell r="T862">
            <v>5.08</v>
          </cell>
          <cell r="Y862">
            <v>40816</v>
          </cell>
          <cell r="AA862">
            <v>216.23</v>
          </cell>
          <cell r="AF862">
            <v>40816</v>
          </cell>
          <cell r="AH862">
            <v>50.721780000000003</v>
          </cell>
          <cell r="AM862">
            <v>40816</v>
          </cell>
          <cell r="AO862">
            <v>38.524830000000001</v>
          </cell>
          <cell r="AT862">
            <v>40816</v>
          </cell>
          <cell r="AV862">
            <v>29.794129999999999</v>
          </cell>
          <cell r="BA862">
            <v>40816</v>
          </cell>
          <cell r="BC862">
            <v>15.14007</v>
          </cell>
          <cell r="BH862">
            <v>40816</v>
          </cell>
          <cell r="BJ862">
            <v>13.275259999999999</v>
          </cell>
        </row>
        <row r="863">
          <cell r="D863">
            <v>40815</v>
          </cell>
          <cell r="F863">
            <v>162.76158000000001</v>
          </cell>
          <cell r="K863">
            <v>40815</v>
          </cell>
          <cell r="M863">
            <v>14.137510000000001</v>
          </cell>
          <cell r="R863">
            <v>40815</v>
          </cell>
          <cell r="T863">
            <v>5.31</v>
          </cell>
          <cell r="Y863">
            <v>40815</v>
          </cell>
          <cell r="AA863">
            <v>222.44</v>
          </cell>
          <cell r="AF863">
            <v>40815</v>
          </cell>
          <cell r="AH863">
            <v>51.952179999999998</v>
          </cell>
          <cell r="AM863">
            <v>40815</v>
          </cell>
          <cell r="AO863">
            <v>39.591900000000003</v>
          </cell>
          <cell r="AT863">
            <v>40815</v>
          </cell>
          <cell r="AV863">
            <v>30.451219999999999</v>
          </cell>
          <cell r="BA863">
            <v>40815</v>
          </cell>
          <cell r="BC863">
            <v>15.51497</v>
          </cell>
          <cell r="BH863">
            <v>40815</v>
          </cell>
          <cell r="BJ863">
            <v>13.83348</v>
          </cell>
        </row>
        <row r="864">
          <cell r="D864">
            <v>40814</v>
          </cell>
          <cell r="F864">
            <v>161.28994</v>
          </cell>
          <cell r="K864">
            <v>40814</v>
          </cell>
          <cell r="M864">
            <v>14.128590000000001</v>
          </cell>
          <cell r="R864">
            <v>40814</v>
          </cell>
          <cell r="T864">
            <v>6.15</v>
          </cell>
          <cell r="Y864">
            <v>40814</v>
          </cell>
          <cell r="AA864">
            <v>229.71</v>
          </cell>
          <cell r="AF864">
            <v>40814</v>
          </cell>
          <cell r="AH864">
            <v>52.808810000000001</v>
          </cell>
          <cell r="AM864">
            <v>40814</v>
          </cell>
          <cell r="AO864">
            <v>39.656289999999998</v>
          </cell>
          <cell r="AT864">
            <v>40814</v>
          </cell>
          <cell r="AV864">
            <v>30.01463</v>
          </cell>
          <cell r="BA864">
            <v>40814</v>
          </cell>
          <cell r="BC864">
            <v>14.918979999999999</v>
          </cell>
          <cell r="BH864">
            <v>40814</v>
          </cell>
          <cell r="BJ864">
            <v>13.47587</v>
          </cell>
        </row>
        <row r="865">
          <cell r="D865">
            <v>40813</v>
          </cell>
          <cell r="F865">
            <v>161.43529000000001</v>
          </cell>
          <cell r="K865">
            <v>40813</v>
          </cell>
          <cell r="M865">
            <v>14.333740000000001</v>
          </cell>
          <cell r="R865">
            <v>40813</v>
          </cell>
          <cell r="T865">
            <v>6.49</v>
          </cell>
          <cell r="Y865">
            <v>40813</v>
          </cell>
          <cell r="AA865">
            <v>224.21</v>
          </cell>
          <cell r="AF865">
            <v>40813</v>
          </cell>
          <cell r="AH865">
            <v>53.108089999999997</v>
          </cell>
          <cell r="AM865">
            <v>40813</v>
          </cell>
          <cell r="AO865">
            <v>40.332410000000003</v>
          </cell>
          <cell r="AT865">
            <v>40813</v>
          </cell>
          <cell r="AV865">
            <v>30.680540000000001</v>
          </cell>
          <cell r="BA865">
            <v>40813</v>
          </cell>
          <cell r="BC865">
            <v>15.39</v>
          </cell>
          <cell r="BH865">
            <v>40813</v>
          </cell>
          <cell r="BJ865">
            <v>13.746259999999999</v>
          </cell>
        </row>
        <row r="866">
          <cell r="D866">
            <v>40812</v>
          </cell>
          <cell r="F866">
            <v>158.52833999999999</v>
          </cell>
          <cell r="K866">
            <v>40812</v>
          </cell>
          <cell r="M866">
            <v>14.26238</v>
          </cell>
          <cell r="R866">
            <v>40812</v>
          </cell>
          <cell r="T866">
            <v>6.4</v>
          </cell>
          <cell r="Y866">
            <v>40812</v>
          </cell>
          <cell r="AA866">
            <v>229.85</v>
          </cell>
          <cell r="AF866">
            <v>40812</v>
          </cell>
          <cell r="AH866">
            <v>53.628189999999996</v>
          </cell>
          <cell r="AM866">
            <v>40812</v>
          </cell>
          <cell r="AO866">
            <v>39.682470000000002</v>
          </cell>
          <cell r="AT866">
            <v>40812</v>
          </cell>
          <cell r="AV866">
            <v>30.323329999999999</v>
          </cell>
          <cell r="BA866">
            <v>40812</v>
          </cell>
          <cell r="BC866">
            <v>14.843439999999999</v>
          </cell>
          <cell r="BH866">
            <v>40812</v>
          </cell>
          <cell r="BJ866">
            <v>13.580539999999999</v>
          </cell>
        </row>
        <row r="867">
          <cell r="D867">
            <v>40809</v>
          </cell>
          <cell r="F867">
            <v>153.83180999999999</v>
          </cell>
          <cell r="K867">
            <v>40809</v>
          </cell>
          <cell r="M867">
            <v>13.923439999999999</v>
          </cell>
          <cell r="R867">
            <v>40809</v>
          </cell>
          <cell r="T867">
            <v>6.17</v>
          </cell>
          <cell r="Y867">
            <v>40809</v>
          </cell>
          <cell r="AA867">
            <v>223.61</v>
          </cell>
          <cell r="AF867">
            <v>40809</v>
          </cell>
          <cell r="AH867">
            <v>53.778500000000001</v>
          </cell>
          <cell r="AM867">
            <v>40809</v>
          </cell>
          <cell r="AO867">
            <v>38.190379999999998</v>
          </cell>
          <cell r="AT867">
            <v>40809</v>
          </cell>
          <cell r="AV867">
            <v>29.732389999999999</v>
          </cell>
          <cell r="BA867">
            <v>40809</v>
          </cell>
          <cell r="BC867">
            <v>14.392770000000001</v>
          </cell>
          <cell r="BH867">
            <v>40809</v>
          </cell>
          <cell r="BJ867">
            <v>13.266529999999999</v>
          </cell>
        </row>
        <row r="868">
          <cell r="D868">
            <v>40808</v>
          </cell>
          <cell r="F868">
            <v>153.17775</v>
          </cell>
          <cell r="K868">
            <v>40808</v>
          </cell>
          <cell r="M868">
            <v>13.673690000000001</v>
          </cell>
          <cell r="R868">
            <v>40808</v>
          </cell>
          <cell r="T868">
            <v>6.12</v>
          </cell>
          <cell r="Y868">
            <v>40808</v>
          </cell>
          <cell r="AA868">
            <v>223.23</v>
          </cell>
          <cell r="AF868">
            <v>40808</v>
          </cell>
          <cell r="AH868">
            <v>53.448619999999998</v>
          </cell>
          <cell r="AM868">
            <v>40808</v>
          </cell>
          <cell r="AO868">
            <v>38.208680000000001</v>
          </cell>
          <cell r="AT868">
            <v>40808</v>
          </cell>
          <cell r="AV868">
            <v>29.90879</v>
          </cell>
          <cell r="BA868">
            <v>40808</v>
          </cell>
          <cell r="BC868">
            <v>13.61608</v>
          </cell>
          <cell r="BH868">
            <v>40808</v>
          </cell>
          <cell r="BJ868">
            <v>13.118259999999999</v>
          </cell>
        </row>
        <row r="869">
          <cell r="D869">
            <v>40807</v>
          </cell>
          <cell r="F869">
            <v>157.1748</v>
          </cell>
          <cell r="K869">
            <v>40807</v>
          </cell>
          <cell r="M869">
            <v>14.128590000000001</v>
          </cell>
          <cell r="R869">
            <v>40807</v>
          </cell>
          <cell r="T869">
            <v>6.48</v>
          </cell>
          <cell r="Y869">
            <v>40807</v>
          </cell>
          <cell r="AA869">
            <v>231.87</v>
          </cell>
          <cell r="AF869">
            <v>40807</v>
          </cell>
          <cell r="AH869">
            <v>54.821339999999999</v>
          </cell>
          <cell r="AM869">
            <v>40807</v>
          </cell>
          <cell r="AO869">
            <v>39.041699999999999</v>
          </cell>
          <cell r="AT869">
            <v>40807</v>
          </cell>
          <cell r="AV869">
            <v>30.55265</v>
          </cell>
          <cell r="BA869">
            <v>40807</v>
          </cell>
          <cell r="BC869">
            <v>15.40438</v>
          </cell>
          <cell r="BH869">
            <v>40807</v>
          </cell>
          <cell r="BJ869">
            <v>13.414809999999999</v>
          </cell>
        </row>
        <row r="870">
          <cell r="D870">
            <v>40806</v>
          </cell>
          <cell r="F870">
            <v>158.71911</v>
          </cell>
          <cell r="K870">
            <v>40806</v>
          </cell>
          <cell r="M870">
            <v>14.74404</v>
          </cell>
          <cell r="R870">
            <v>40806</v>
          </cell>
          <cell r="T870">
            <v>6.74</v>
          </cell>
          <cell r="Y870">
            <v>40806</v>
          </cell>
          <cell r="AA870">
            <v>233.25</v>
          </cell>
          <cell r="AF870">
            <v>40806</v>
          </cell>
          <cell r="AH870">
            <v>54.995600000000003</v>
          </cell>
          <cell r="AM870">
            <v>40806</v>
          </cell>
          <cell r="AO870">
            <v>40.277479999999997</v>
          </cell>
          <cell r="AT870">
            <v>40806</v>
          </cell>
          <cell r="AV870">
            <v>31.156829999999999</v>
          </cell>
          <cell r="BA870">
            <v>40806</v>
          </cell>
          <cell r="BC870">
            <v>15.98451</v>
          </cell>
          <cell r="BH870">
            <v>40806</v>
          </cell>
          <cell r="BJ870">
            <v>13.99048</v>
          </cell>
        </row>
        <row r="871">
          <cell r="D871">
            <v>40805</v>
          </cell>
          <cell r="F871">
            <v>157.27472</v>
          </cell>
          <cell r="K871">
            <v>40805</v>
          </cell>
          <cell r="M871">
            <v>14.7262</v>
          </cell>
          <cell r="R871">
            <v>40805</v>
          </cell>
          <cell r="T871">
            <v>6.92</v>
          </cell>
          <cell r="Y871">
            <v>40805</v>
          </cell>
          <cell r="AA871">
            <v>241.69</v>
          </cell>
          <cell r="AF871">
            <v>40805</v>
          </cell>
          <cell r="AH871">
            <v>54.753509999999999</v>
          </cell>
          <cell r="AM871">
            <v>40805</v>
          </cell>
          <cell r="AO871">
            <v>39.572629999999997</v>
          </cell>
          <cell r="AT871">
            <v>40805</v>
          </cell>
          <cell r="AV871">
            <v>31.086269999999999</v>
          </cell>
          <cell r="BA871">
            <v>40805</v>
          </cell>
          <cell r="BC871">
            <v>17.154340000000001</v>
          </cell>
          <cell r="BH871">
            <v>40805</v>
          </cell>
          <cell r="BJ871">
            <v>14.112590000000001</v>
          </cell>
        </row>
        <row r="872">
          <cell r="D872">
            <v>40802</v>
          </cell>
          <cell r="F872">
            <v>157.14755</v>
          </cell>
          <cell r="K872">
            <v>40802</v>
          </cell>
          <cell r="M872">
            <v>14.824310000000001</v>
          </cell>
          <cell r="R872">
            <v>40802</v>
          </cell>
          <cell r="T872">
            <v>7.2</v>
          </cell>
          <cell r="Y872">
            <v>40802</v>
          </cell>
          <cell r="AA872">
            <v>239.3</v>
          </cell>
          <cell r="AF872">
            <v>40802</v>
          </cell>
          <cell r="AH872">
            <v>53.273029999999999</v>
          </cell>
          <cell r="AM872">
            <v>40802</v>
          </cell>
          <cell r="AO872">
            <v>39.47193</v>
          </cell>
          <cell r="AT872">
            <v>40802</v>
          </cell>
          <cell r="AV872">
            <v>31.412610000000001</v>
          </cell>
          <cell r="BA872">
            <v>40802</v>
          </cell>
          <cell r="BC872">
            <v>17.681719999999999</v>
          </cell>
          <cell r="BH872">
            <v>40802</v>
          </cell>
          <cell r="BJ872">
            <v>14.24343</v>
          </cell>
        </row>
        <row r="873">
          <cell r="D873">
            <v>40801</v>
          </cell>
          <cell r="F873">
            <v>154.51312999999999</v>
          </cell>
          <cell r="K873">
            <v>40801</v>
          </cell>
          <cell r="M873">
            <v>14.86891</v>
          </cell>
          <cell r="R873">
            <v>40801</v>
          </cell>
          <cell r="T873">
            <v>7.335</v>
          </cell>
          <cell r="Y873">
            <v>40801</v>
          </cell>
          <cell r="AA873">
            <v>226.78</v>
          </cell>
          <cell r="AF873">
            <v>40801</v>
          </cell>
          <cell r="AH873">
            <v>52.270090000000003</v>
          </cell>
          <cell r="AM873">
            <v>40801</v>
          </cell>
          <cell r="AO873">
            <v>37.87914</v>
          </cell>
          <cell r="AT873">
            <v>40801</v>
          </cell>
          <cell r="AV873">
            <v>31.32</v>
          </cell>
          <cell r="BA873">
            <v>40801</v>
          </cell>
          <cell r="BC873">
            <v>17.566659999999999</v>
          </cell>
          <cell r="BH873">
            <v>40801</v>
          </cell>
          <cell r="BJ873">
            <v>14.025370000000001</v>
          </cell>
        </row>
        <row r="874">
          <cell r="D874">
            <v>40800</v>
          </cell>
          <cell r="F874">
            <v>151.92412999999999</v>
          </cell>
          <cell r="K874">
            <v>40800</v>
          </cell>
          <cell r="M874">
            <v>14.56564</v>
          </cell>
          <cell r="R874">
            <v>40800</v>
          </cell>
          <cell r="T874">
            <v>7.21</v>
          </cell>
          <cell r="Y874">
            <v>40800</v>
          </cell>
          <cell r="AA874">
            <v>222.57</v>
          </cell>
          <cell r="AF874">
            <v>40800</v>
          </cell>
          <cell r="AH874">
            <v>51.783250000000002</v>
          </cell>
          <cell r="AM874">
            <v>40800</v>
          </cell>
          <cell r="AO874">
            <v>38.062220000000003</v>
          </cell>
          <cell r="AT874">
            <v>40800</v>
          </cell>
          <cell r="AV874">
            <v>30.768740000000001</v>
          </cell>
          <cell r="BA874">
            <v>40800</v>
          </cell>
          <cell r="BC874">
            <v>17.566659999999999</v>
          </cell>
          <cell r="BH874">
            <v>40800</v>
          </cell>
          <cell r="BJ874">
            <v>13.641590000000001</v>
          </cell>
        </row>
        <row r="875">
          <cell r="D875">
            <v>40799</v>
          </cell>
          <cell r="F875">
            <v>148.46305000000001</v>
          </cell>
          <cell r="K875">
            <v>40799</v>
          </cell>
          <cell r="M875">
            <v>14.58348</v>
          </cell>
          <cell r="R875">
            <v>40799</v>
          </cell>
          <cell r="T875">
            <v>6.96</v>
          </cell>
          <cell r="Y875">
            <v>40799</v>
          </cell>
          <cell r="AA875">
            <v>219.53</v>
          </cell>
          <cell r="AF875">
            <v>40799</v>
          </cell>
          <cell r="AH875">
            <v>51.160739999999997</v>
          </cell>
          <cell r="AM875">
            <v>40799</v>
          </cell>
          <cell r="AO875">
            <v>37.320749999999997</v>
          </cell>
          <cell r="AT875">
            <v>40799</v>
          </cell>
          <cell r="AV875">
            <v>30.473269999999999</v>
          </cell>
          <cell r="BA875">
            <v>40799</v>
          </cell>
          <cell r="BC875">
            <v>17.211870000000001</v>
          </cell>
          <cell r="BH875">
            <v>40799</v>
          </cell>
          <cell r="BJ875">
            <v>13.31329</v>
          </cell>
        </row>
        <row r="876">
          <cell r="D876">
            <v>40798</v>
          </cell>
          <cell r="F876">
            <v>147.54554999999999</v>
          </cell>
          <cell r="K876">
            <v>40798</v>
          </cell>
          <cell r="M876">
            <v>14.351570000000001</v>
          </cell>
          <cell r="R876">
            <v>40798</v>
          </cell>
          <cell r="T876">
            <v>6.71</v>
          </cell>
          <cell r="Y876">
            <v>40798</v>
          </cell>
          <cell r="AA876">
            <v>216.56</v>
          </cell>
          <cell r="AF876">
            <v>40798</v>
          </cell>
          <cell r="AH876">
            <v>50.538220000000003</v>
          </cell>
          <cell r="AM876">
            <v>40798</v>
          </cell>
          <cell r="AO876">
            <v>36.551810000000003</v>
          </cell>
          <cell r="AT876">
            <v>40798</v>
          </cell>
          <cell r="AV876">
            <v>30.389479999999999</v>
          </cell>
          <cell r="BA876">
            <v>40798</v>
          </cell>
          <cell r="BC876">
            <v>16.8475</v>
          </cell>
          <cell r="BH876">
            <v>40798</v>
          </cell>
          <cell r="BJ876">
            <v>12.96772</v>
          </cell>
        </row>
        <row r="877">
          <cell r="D877">
            <v>40795</v>
          </cell>
          <cell r="F877">
            <v>146.59171000000001</v>
          </cell>
          <cell r="K877">
            <v>40795</v>
          </cell>
          <cell r="M877">
            <v>14.110749999999999</v>
          </cell>
          <cell r="R877">
            <v>40795</v>
          </cell>
          <cell r="T877">
            <v>6.52</v>
          </cell>
          <cell r="Y877">
            <v>40795</v>
          </cell>
          <cell r="AA877">
            <v>211.39</v>
          </cell>
          <cell r="AF877">
            <v>40795</v>
          </cell>
          <cell r="AH877">
            <v>50.210999999999999</v>
          </cell>
          <cell r="AM877">
            <v>40795</v>
          </cell>
          <cell r="AO877">
            <v>36.780659999999997</v>
          </cell>
          <cell r="AT877">
            <v>40795</v>
          </cell>
          <cell r="AV877">
            <v>30.385100000000001</v>
          </cell>
          <cell r="BA877">
            <v>40795</v>
          </cell>
          <cell r="BC877">
            <v>16.761199999999999</v>
          </cell>
          <cell r="BH877">
            <v>40795</v>
          </cell>
          <cell r="BJ877">
            <v>13.03683</v>
          </cell>
        </row>
        <row r="878">
          <cell r="D878">
            <v>40794</v>
          </cell>
          <cell r="F878">
            <v>150.11637999999999</v>
          </cell>
          <cell r="K878">
            <v>40794</v>
          </cell>
          <cell r="M878">
            <v>14.52997</v>
          </cell>
          <cell r="R878">
            <v>40794</v>
          </cell>
          <cell r="T878">
            <v>6.81</v>
          </cell>
          <cell r="Y878">
            <v>40794</v>
          </cell>
          <cell r="AA878">
            <v>217.26</v>
          </cell>
          <cell r="AF878">
            <v>40794</v>
          </cell>
          <cell r="AH878">
            <v>51.096890000000002</v>
          </cell>
          <cell r="AM878">
            <v>40794</v>
          </cell>
          <cell r="AO878">
            <v>38.181220000000003</v>
          </cell>
          <cell r="AT878">
            <v>40794</v>
          </cell>
          <cell r="AV878">
            <v>31.17353</v>
          </cell>
          <cell r="BA878">
            <v>40794</v>
          </cell>
          <cell r="BC878">
            <v>17.576239999999999</v>
          </cell>
          <cell r="BH878">
            <v>40794</v>
          </cell>
          <cell r="BJ878">
            <v>13.4688</v>
          </cell>
        </row>
        <row r="879">
          <cell r="D879">
            <v>40793</v>
          </cell>
          <cell r="F879">
            <v>151.98772</v>
          </cell>
          <cell r="K879">
            <v>40793</v>
          </cell>
          <cell r="M879">
            <v>14.164260000000001</v>
          </cell>
          <cell r="R879">
            <v>40793</v>
          </cell>
          <cell r="T879">
            <v>6.76</v>
          </cell>
          <cell r="Y879">
            <v>40793</v>
          </cell>
          <cell r="AA879">
            <v>219.9</v>
          </cell>
          <cell r="AF879">
            <v>40793</v>
          </cell>
          <cell r="AH879">
            <v>51.068950000000001</v>
          </cell>
          <cell r="AM879">
            <v>40793</v>
          </cell>
          <cell r="AO879">
            <v>39.014229999999998</v>
          </cell>
          <cell r="AT879">
            <v>40793</v>
          </cell>
          <cell r="AV879">
            <v>31.01146</v>
          </cell>
          <cell r="BA879">
            <v>40793</v>
          </cell>
          <cell r="BC879">
            <v>18.400880000000001</v>
          </cell>
          <cell r="BH879">
            <v>40793</v>
          </cell>
          <cell r="BJ879">
            <v>13.650230000000001</v>
          </cell>
        </row>
        <row r="880">
          <cell r="D880">
            <v>40792</v>
          </cell>
          <cell r="F880">
            <v>149.98920000000001</v>
          </cell>
          <cell r="K880">
            <v>40792</v>
          </cell>
          <cell r="M880">
            <v>13.62909</v>
          </cell>
          <cell r="R880">
            <v>40792</v>
          </cell>
          <cell r="T880">
            <v>6.27</v>
          </cell>
          <cell r="Y880">
            <v>40792</v>
          </cell>
          <cell r="AA880">
            <v>216.18</v>
          </cell>
          <cell r="AF880">
            <v>40792</v>
          </cell>
          <cell r="AH880">
            <v>50.511620000000001</v>
          </cell>
          <cell r="AM880">
            <v>40792</v>
          </cell>
          <cell r="AO880">
            <v>37.732680000000002</v>
          </cell>
          <cell r="AT880">
            <v>40792</v>
          </cell>
          <cell r="AV880">
            <v>30.411380000000001</v>
          </cell>
          <cell r="BA880">
            <v>40792</v>
          </cell>
          <cell r="BC880">
            <v>17.28858</v>
          </cell>
          <cell r="BH880">
            <v>40792</v>
          </cell>
          <cell r="BJ880">
            <v>13.17506</v>
          </cell>
        </row>
        <row r="881">
          <cell r="D881">
            <v>40788</v>
          </cell>
          <cell r="F881">
            <v>151.68794</v>
          </cell>
          <cell r="K881">
            <v>40788</v>
          </cell>
          <cell r="M881">
            <v>13.745039999999999</v>
          </cell>
          <cell r="R881">
            <v>40788</v>
          </cell>
          <cell r="T881">
            <v>6.32</v>
          </cell>
          <cell r="Y881">
            <v>40788</v>
          </cell>
          <cell r="AA881">
            <v>210</v>
          </cell>
          <cell r="AF881">
            <v>40788</v>
          </cell>
          <cell r="AH881">
            <v>49.754750000000001</v>
          </cell>
          <cell r="AM881">
            <v>40788</v>
          </cell>
          <cell r="AO881">
            <v>37.906599999999997</v>
          </cell>
          <cell r="AT881">
            <v>40788</v>
          </cell>
          <cell r="AV881">
            <v>30.547170000000001</v>
          </cell>
          <cell r="BA881">
            <v>40788</v>
          </cell>
          <cell r="BC881">
            <v>17.403649999999999</v>
          </cell>
          <cell r="BH881">
            <v>40788</v>
          </cell>
          <cell r="BJ881">
            <v>13.61567</v>
          </cell>
        </row>
        <row r="882">
          <cell r="D882">
            <v>40787</v>
          </cell>
          <cell r="F882">
            <v>154.73115000000001</v>
          </cell>
          <cell r="K882">
            <v>40787</v>
          </cell>
          <cell r="M882">
            <v>14.110749999999999</v>
          </cell>
          <cell r="R882">
            <v>40787</v>
          </cell>
          <cell r="T882">
            <v>6.68</v>
          </cell>
          <cell r="Y882">
            <v>40787</v>
          </cell>
          <cell r="AA882">
            <v>212.54</v>
          </cell>
          <cell r="AF882">
            <v>40787</v>
          </cell>
          <cell r="AH882">
            <v>50.683210000000003</v>
          </cell>
          <cell r="AM882">
            <v>40787</v>
          </cell>
          <cell r="AO882">
            <v>38.611460000000001</v>
          </cell>
          <cell r="AT882">
            <v>40787</v>
          </cell>
          <cell r="AV882">
            <v>30.858160000000002</v>
          </cell>
          <cell r="BA882">
            <v>40787</v>
          </cell>
          <cell r="BC882">
            <v>18.30499</v>
          </cell>
          <cell r="BH882">
            <v>40787</v>
          </cell>
          <cell r="BJ882">
            <v>13.995810000000001</v>
          </cell>
        </row>
        <row r="883">
          <cell r="D883">
            <v>40786</v>
          </cell>
          <cell r="F883">
            <v>156.16645</v>
          </cell>
          <cell r="K883">
            <v>40786</v>
          </cell>
          <cell r="M883">
            <v>13.97695</v>
          </cell>
          <cell r="R883">
            <v>40786</v>
          </cell>
          <cell r="T883">
            <v>6.83</v>
          </cell>
          <cell r="Y883">
            <v>40786</v>
          </cell>
          <cell r="AA883">
            <v>215.23</v>
          </cell>
          <cell r="AF883">
            <v>40786</v>
          </cell>
          <cell r="AH883">
            <v>51.188670000000002</v>
          </cell>
          <cell r="AM883">
            <v>40786</v>
          </cell>
          <cell r="AO883">
            <v>38.904389999999999</v>
          </cell>
          <cell r="AT883">
            <v>40786</v>
          </cell>
          <cell r="AV883">
            <v>30.858160000000002</v>
          </cell>
          <cell r="BA883">
            <v>40786</v>
          </cell>
          <cell r="BC883">
            <v>19.38852</v>
          </cell>
          <cell r="BH883">
            <v>40786</v>
          </cell>
          <cell r="BJ883">
            <v>14.09084</v>
          </cell>
        </row>
        <row r="884">
          <cell r="D884">
            <v>40785</v>
          </cell>
          <cell r="F884">
            <v>156.7115</v>
          </cell>
          <cell r="K884">
            <v>40785</v>
          </cell>
          <cell r="M884">
            <v>13.941269999999999</v>
          </cell>
          <cell r="R884">
            <v>40785</v>
          </cell>
          <cell r="T884">
            <v>6.84</v>
          </cell>
          <cell r="Y884">
            <v>40785</v>
          </cell>
          <cell r="AA884">
            <v>210.92</v>
          </cell>
          <cell r="AF884">
            <v>40785</v>
          </cell>
          <cell r="AH884">
            <v>51.875030000000002</v>
          </cell>
          <cell r="AM884">
            <v>40785</v>
          </cell>
          <cell r="AO884">
            <v>38.629770000000001</v>
          </cell>
          <cell r="AT884">
            <v>40785</v>
          </cell>
          <cell r="AV884">
            <v>30.599730000000001</v>
          </cell>
          <cell r="BA884">
            <v>40785</v>
          </cell>
          <cell r="BC884">
            <v>19.609069999999999</v>
          </cell>
          <cell r="BH884">
            <v>40785</v>
          </cell>
          <cell r="BJ884">
            <v>13.926690000000001</v>
          </cell>
        </row>
        <row r="885">
          <cell r="D885">
            <v>40784</v>
          </cell>
          <cell r="F885">
            <v>156.81143</v>
          </cell>
          <cell r="K885">
            <v>40784</v>
          </cell>
          <cell r="M885">
            <v>14.039389999999999</v>
          </cell>
          <cell r="R885">
            <v>40784</v>
          </cell>
          <cell r="T885">
            <v>6.83</v>
          </cell>
          <cell r="Y885">
            <v>40784</v>
          </cell>
          <cell r="AA885">
            <v>206.53</v>
          </cell>
          <cell r="AF885">
            <v>40784</v>
          </cell>
          <cell r="AH885">
            <v>51.872369999999997</v>
          </cell>
          <cell r="AM885">
            <v>40784</v>
          </cell>
          <cell r="AO885">
            <v>38.501609999999999</v>
          </cell>
          <cell r="AT885">
            <v>40784</v>
          </cell>
          <cell r="AV885">
            <v>30.54279</v>
          </cell>
          <cell r="BA885">
            <v>40784</v>
          </cell>
          <cell r="BC885">
            <v>19.081679999999999</v>
          </cell>
          <cell r="BH885">
            <v>40784</v>
          </cell>
          <cell r="BJ885">
            <v>13.85758</v>
          </cell>
        </row>
        <row r="886">
          <cell r="D886">
            <v>40781</v>
          </cell>
          <cell r="F886">
            <v>153.65012999999999</v>
          </cell>
          <cell r="K886">
            <v>40781</v>
          </cell>
          <cell r="M886">
            <v>13.664770000000001</v>
          </cell>
          <cell r="R886">
            <v>40781</v>
          </cell>
          <cell r="T886">
            <v>6.49</v>
          </cell>
          <cell r="Y886">
            <v>40781</v>
          </cell>
          <cell r="AA886">
            <v>199.27</v>
          </cell>
          <cell r="AF886">
            <v>40781</v>
          </cell>
          <cell r="AH886">
            <v>51.022399999999998</v>
          </cell>
          <cell r="AM886">
            <v>40781</v>
          </cell>
          <cell r="AO886">
            <v>37.567909999999998</v>
          </cell>
          <cell r="AT886">
            <v>40781</v>
          </cell>
          <cell r="AV886">
            <v>30.00403</v>
          </cell>
          <cell r="BA886">
            <v>40781</v>
          </cell>
          <cell r="BC886">
            <v>17.998149999999999</v>
          </cell>
          <cell r="BH886">
            <v>40781</v>
          </cell>
          <cell r="BJ886">
            <v>13.425610000000001</v>
          </cell>
        </row>
        <row r="887">
          <cell r="D887">
            <v>40780</v>
          </cell>
          <cell r="F887">
            <v>150.41614999999999</v>
          </cell>
          <cell r="K887">
            <v>40780</v>
          </cell>
          <cell r="M887">
            <v>13.450699999999999</v>
          </cell>
          <cell r="R887">
            <v>40780</v>
          </cell>
          <cell r="T887">
            <v>6.37</v>
          </cell>
          <cell r="Y887">
            <v>40780</v>
          </cell>
          <cell r="AA887">
            <v>192.03</v>
          </cell>
          <cell r="AF887">
            <v>40780</v>
          </cell>
          <cell r="AH887">
            <v>49.710859999999997</v>
          </cell>
          <cell r="AM887">
            <v>40780</v>
          </cell>
          <cell r="AO887">
            <v>36.826430000000002</v>
          </cell>
          <cell r="AT887">
            <v>40780</v>
          </cell>
          <cell r="AV887">
            <v>29.771879999999999</v>
          </cell>
          <cell r="BA887">
            <v>40780</v>
          </cell>
          <cell r="BC887">
            <v>17.32694</v>
          </cell>
          <cell r="BH887">
            <v>40780</v>
          </cell>
          <cell r="BJ887">
            <v>13.347849999999999</v>
          </cell>
        </row>
        <row r="888">
          <cell r="D888">
            <v>40779</v>
          </cell>
          <cell r="F888">
            <v>151.48809</v>
          </cell>
          <cell r="K888">
            <v>40779</v>
          </cell>
          <cell r="M888">
            <v>13.78964</v>
          </cell>
          <cell r="R888">
            <v>40779</v>
          </cell>
          <cell r="T888">
            <v>6.34</v>
          </cell>
          <cell r="Y888">
            <v>40779</v>
          </cell>
          <cell r="AA888">
            <v>193.73</v>
          </cell>
          <cell r="AF888">
            <v>40779</v>
          </cell>
          <cell r="AH888">
            <v>50.038080000000001</v>
          </cell>
          <cell r="AM888">
            <v>40779</v>
          </cell>
          <cell r="AO888">
            <v>37.512979999999999</v>
          </cell>
          <cell r="AT888">
            <v>40779</v>
          </cell>
          <cell r="AV888">
            <v>30.520890000000001</v>
          </cell>
          <cell r="BA888">
            <v>40779</v>
          </cell>
          <cell r="BC888">
            <v>18.065270000000002</v>
          </cell>
          <cell r="BH888">
            <v>40779</v>
          </cell>
          <cell r="BJ888">
            <v>13.58112</v>
          </cell>
        </row>
        <row r="889">
          <cell r="D889">
            <v>40778</v>
          </cell>
          <cell r="F889">
            <v>149.27154999999999</v>
          </cell>
          <cell r="K889">
            <v>40778</v>
          </cell>
          <cell r="M889">
            <v>13.771800000000001</v>
          </cell>
          <cell r="R889">
            <v>40778</v>
          </cell>
          <cell r="T889">
            <v>6.5</v>
          </cell>
          <cell r="Y889">
            <v>40778</v>
          </cell>
          <cell r="AA889">
            <v>193.55</v>
          </cell>
          <cell r="AF889">
            <v>40778</v>
          </cell>
          <cell r="AH889">
            <v>49.694899999999997</v>
          </cell>
          <cell r="AM889">
            <v>40778</v>
          </cell>
          <cell r="AO889">
            <v>37.595370000000003</v>
          </cell>
          <cell r="AT889">
            <v>40778</v>
          </cell>
          <cell r="AV889">
            <v>30.249320000000001</v>
          </cell>
          <cell r="BA889">
            <v>40778</v>
          </cell>
          <cell r="BC889">
            <v>17.8735</v>
          </cell>
          <cell r="BH889">
            <v>40778</v>
          </cell>
          <cell r="BJ889">
            <v>13.425610000000001</v>
          </cell>
        </row>
        <row r="890">
          <cell r="D890">
            <v>40777</v>
          </cell>
          <cell r="F890">
            <v>144.42058</v>
          </cell>
          <cell r="K890">
            <v>40777</v>
          </cell>
          <cell r="M890">
            <v>13.388260000000001</v>
          </cell>
          <cell r="R890">
            <v>40777</v>
          </cell>
          <cell r="T890">
            <v>6.05</v>
          </cell>
          <cell r="Y890">
            <v>40777</v>
          </cell>
          <cell r="AA890">
            <v>177.54</v>
          </cell>
          <cell r="AF890">
            <v>40777</v>
          </cell>
          <cell r="AH890">
            <v>47.41234</v>
          </cell>
          <cell r="AM890">
            <v>40777</v>
          </cell>
          <cell r="AO890">
            <v>36.469430000000003</v>
          </cell>
          <cell r="AT890">
            <v>40777</v>
          </cell>
          <cell r="AV890">
            <v>29.46527</v>
          </cell>
          <cell r="BA890">
            <v>40777</v>
          </cell>
          <cell r="BC890">
            <v>16.444769999999998</v>
          </cell>
          <cell r="BH890">
            <v>40777</v>
          </cell>
          <cell r="BJ890">
            <v>13.05411</v>
          </cell>
        </row>
        <row r="891">
          <cell r="D891">
            <v>40774</v>
          </cell>
          <cell r="F891">
            <v>143.11246</v>
          </cell>
          <cell r="K891">
            <v>40774</v>
          </cell>
          <cell r="M891">
            <v>13.450699999999999</v>
          </cell>
          <cell r="R891">
            <v>40774</v>
          </cell>
          <cell r="T891">
            <v>5.98</v>
          </cell>
          <cell r="Y891">
            <v>40774</v>
          </cell>
          <cell r="AA891">
            <v>178.93</v>
          </cell>
          <cell r="AF891">
            <v>40774</v>
          </cell>
          <cell r="AH891">
            <v>47.357799999999997</v>
          </cell>
          <cell r="AM891">
            <v>40774</v>
          </cell>
          <cell r="AO891">
            <v>36.597580000000001</v>
          </cell>
          <cell r="AT891">
            <v>40774</v>
          </cell>
          <cell r="AV891">
            <v>29.390809999999998</v>
          </cell>
          <cell r="BA891">
            <v>40774</v>
          </cell>
          <cell r="BC891">
            <v>16.607780000000002</v>
          </cell>
          <cell r="BH891">
            <v>40774</v>
          </cell>
          <cell r="BJ891">
            <v>13.03683</v>
          </cell>
        </row>
        <row r="892">
          <cell r="D892">
            <v>40773</v>
          </cell>
          <cell r="F892">
            <v>148.82642000000001</v>
          </cell>
          <cell r="K892">
            <v>40773</v>
          </cell>
          <cell r="M892">
            <v>13.388260000000001</v>
          </cell>
          <cell r="R892">
            <v>40773</v>
          </cell>
          <cell r="T892">
            <v>5.79</v>
          </cell>
          <cell r="Y892">
            <v>40773</v>
          </cell>
          <cell r="AA892">
            <v>182.52</v>
          </cell>
          <cell r="AF892">
            <v>40773</v>
          </cell>
          <cell r="AH892">
            <v>48.690620000000003</v>
          </cell>
          <cell r="AM892">
            <v>40773</v>
          </cell>
          <cell r="AO892">
            <v>36.927129999999998</v>
          </cell>
          <cell r="AT892">
            <v>40773</v>
          </cell>
          <cell r="AV892">
            <v>29.6799</v>
          </cell>
          <cell r="BA892">
            <v>40773</v>
          </cell>
          <cell r="BC892">
            <v>17.71049</v>
          </cell>
          <cell r="BH892">
            <v>40773</v>
          </cell>
          <cell r="BJ892">
            <v>13.25282</v>
          </cell>
        </row>
        <row r="893">
          <cell r="D893">
            <v>40772</v>
          </cell>
          <cell r="F893">
            <v>155.77583000000001</v>
          </cell>
          <cell r="K893">
            <v>40772</v>
          </cell>
          <cell r="M893">
            <v>14.137510000000001</v>
          </cell>
          <cell r="R893">
            <v>40772</v>
          </cell>
          <cell r="T893">
            <v>6.14</v>
          </cell>
          <cell r="Y893">
            <v>40772</v>
          </cell>
          <cell r="AA893">
            <v>195.93</v>
          </cell>
          <cell r="AF893">
            <v>40772</v>
          </cell>
          <cell r="AH893">
            <v>50.604730000000004</v>
          </cell>
          <cell r="AM893">
            <v>40772</v>
          </cell>
          <cell r="AO893">
            <v>38.336840000000002</v>
          </cell>
          <cell r="AT893">
            <v>40772</v>
          </cell>
          <cell r="AV893">
            <v>30.345680000000002</v>
          </cell>
          <cell r="BA893">
            <v>40772</v>
          </cell>
          <cell r="BC893">
            <v>19.43647</v>
          </cell>
          <cell r="BH893">
            <v>40772</v>
          </cell>
          <cell r="BJ893">
            <v>14.02172</v>
          </cell>
        </row>
        <row r="894">
          <cell r="D894">
            <v>40771</v>
          </cell>
          <cell r="F894">
            <v>155.55780999999999</v>
          </cell>
          <cell r="K894">
            <v>40771</v>
          </cell>
          <cell r="M894">
            <v>14.2713</v>
          </cell>
          <cell r="R894">
            <v>40771</v>
          </cell>
          <cell r="T894">
            <v>6.34</v>
          </cell>
          <cell r="Y894">
            <v>40771</v>
          </cell>
          <cell r="AA894">
            <v>197.68</v>
          </cell>
          <cell r="AF894">
            <v>40771</v>
          </cell>
          <cell r="AH894">
            <v>50.610050000000001</v>
          </cell>
          <cell r="AM894">
            <v>40771</v>
          </cell>
          <cell r="AO894">
            <v>37.970680000000002</v>
          </cell>
          <cell r="AT894">
            <v>40771</v>
          </cell>
          <cell r="AV894">
            <v>29.859480000000001</v>
          </cell>
          <cell r="BA894">
            <v>40771</v>
          </cell>
          <cell r="BC894">
            <v>19.292639999999999</v>
          </cell>
          <cell r="BH894">
            <v>40771</v>
          </cell>
          <cell r="BJ894">
            <v>13.95261</v>
          </cell>
        </row>
        <row r="895">
          <cell r="D895">
            <v>40770</v>
          </cell>
          <cell r="F895">
            <v>157.14755</v>
          </cell>
          <cell r="K895">
            <v>40770</v>
          </cell>
          <cell r="M895">
            <v>14.29806</v>
          </cell>
          <cell r="R895">
            <v>40770</v>
          </cell>
          <cell r="T895">
            <v>6.43</v>
          </cell>
          <cell r="Y895">
            <v>40770</v>
          </cell>
          <cell r="AA895">
            <v>202.95</v>
          </cell>
          <cell r="AF895">
            <v>40770</v>
          </cell>
          <cell r="AH895">
            <v>50.999789999999997</v>
          </cell>
          <cell r="AM895">
            <v>40770</v>
          </cell>
          <cell r="AO895">
            <v>38.080530000000003</v>
          </cell>
          <cell r="AT895">
            <v>40770</v>
          </cell>
          <cell r="AV895">
            <v>29.872620000000001</v>
          </cell>
          <cell r="BA895">
            <v>40770</v>
          </cell>
          <cell r="BC895">
            <v>19.992619999999999</v>
          </cell>
          <cell r="BH895">
            <v>40770</v>
          </cell>
          <cell r="BJ895">
            <v>14.15995</v>
          </cell>
        </row>
        <row r="896">
          <cell r="D896">
            <v>40767</v>
          </cell>
          <cell r="F896">
            <v>152.79621</v>
          </cell>
          <cell r="K896">
            <v>40767</v>
          </cell>
          <cell r="M896">
            <v>14.26238</v>
          </cell>
          <cell r="R896">
            <v>40767</v>
          </cell>
          <cell r="T896">
            <v>6.21</v>
          </cell>
          <cell r="Y896">
            <v>40767</v>
          </cell>
          <cell r="AA896">
            <v>202.3</v>
          </cell>
          <cell r="AF896">
            <v>40767</v>
          </cell>
          <cell r="AH896">
            <v>50.145820000000001</v>
          </cell>
          <cell r="AM896">
            <v>40767</v>
          </cell>
          <cell r="AO896">
            <v>37.412289999999999</v>
          </cell>
          <cell r="AT896">
            <v>40767</v>
          </cell>
          <cell r="AV896">
            <v>29.408329999999999</v>
          </cell>
          <cell r="BA896">
            <v>40767</v>
          </cell>
          <cell r="BC896">
            <v>19.05292</v>
          </cell>
          <cell r="BH896">
            <v>40767</v>
          </cell>
          <cell r="BJ896">
            <v>13.71935</v>
          </cell>
        </row>
        <row r="897">
          <cell r="D897">
            <v>40766</v>
          </cell>
          <cell r="F897">
            <v>151.46083999999999</v>
          </cell>
          <cell r="K897">
            <v>40766</v>
          </cell>
          <cell r="M897">
            <v>14.19994</v>
          </cell>
          <cell r="R897">
            <v>40766</v>
          </cell>
          <cell r="T897">
            <v>6.17</v>
          </cell>
          <cell r="Y897">
            <v>40766</v>
          </cell>
          <cell r="AA897">
            <v>198.36</v>
          </cell>
          <cell r="AF897">
            <v>40766</v>
          </cell>
          <cell r="AH897">
            <v>49.708199999999998</v>
          </cell>
          <cell r="AM897">
            <v>40766</v>
          </cell>
          <cell r="AO897">
            <v>37.055280000000003</v>
          </cell>
          <cell r="AT897">
            <v>40766</v>
          </cell>
          <cell r="AV897">
            <v>29.11486</v>
          </cell>
          <cell r="BA897">
            <v>40766</v>
          </cell>
          <cell r="BC897">
            <v>19.158390000000001</v>
          </cell>
          <cell r="BH897">
            <v>40766</v>
          </cell>
          <cell r="BJ897">
            <v>13.546559999999999</v>
          </cell>
        </row>
        <row r="898">
          <cell r="D898">
            <v>40765</v>
          </cell>
          <cell r="F898">
            <v>147.65456</v>
          </cell>
          <cell r="K898">
            <v>40765</v>
          </cell>
          <cell r="M898">
            <v>12.246560000000001</v>
          </cell>
          <cell r="R898">
            <v>40765</v>
          </cell>
          <cell r="T898">
            <v>5.85</v>
          </cell>
          <cell r="Y898">
            <v>40765</v>
          </cell>
          <cell r="AA898">
            <v>194.13</v>
          </cell>
          <cell r="AF898">
            <v>40765</v>
          </cell>
          <cell r="AH898">
            <v>48.3767</v>
          </cell>
          <cell r="AM898">
            <v>40765</v>
          </cell>
          <cell r="AO898">
            <v>35.215330000000002</v>
          </cell>
          <cell r="AT898">
            <v>40765</v>
          </cell>
          <cell r="AV898">
            <v>28.015440000000002</v>
          </cell>
          <cell r="BA898">
            <v>40765</v>
          </cell>
          <cell r="BC898">
            <v>18.065270000000002</v>
          </cell>
          <cell r="BH898">
            <v>40765</v>
          </cell>
          <cell r="BJ898">
            <v>13.03683</v>
          </cell>
        </row>
        <row r="899">
          <cell r="D899">
            <v>40764</v>
          </cell>
          <cell r="F899">
            <v>154.98551</v>
          </cell>
          <cell r="K899">
            <v>40764</v>
          </cell>
          <cell r="M899">
            <v>12.536440000000001</v>
          </cell>
          <cell r="R899">
            <v>40764</v>
          </cell>
          <cell r="T899">
            <v>6.18</v>
          </cell>
          <cell r="Y899">
            <v>40764</v>
          </cell>
          <cell r="AA899">
            <v>205.09</v>
          </cell>
          <cell r="AF899">
            <v>40764</v>
          </cell>
          <cell r="AH899">
            <v>49.749429999999997</v>
          </cell>
          <cell r="AM899">
            <v>40764</v>
          </cell>
          <cell r="AO899">
            <v>36.41451</v>
          </cell>
          <cell r="AT899">
            <v>40764</v>
          </cell>
          <cell r="AV899">
            <v>29.20684</v>
          </cell>
          <cell r="BA899">
            <v>40764</v>
          </cell>
          <cell r="BC899">
            <v>19.7529</v>
          </cell>
          <cell r="BH899">
            <v>40764</v>
          </cell>
          <cell r="BJ899">
            <v>13.788460000000001</v>
          </cell>
        </row>
        <row r="900">
          <cell r="D900">
            <v>40763</v>
          </cell>
          <cell r="F900">
            <v>150.99753999999999</v>
          </cell>
          <cell r="K900">
            <v>40763</v>
          </cell>
          <cell r="M900">
            <v>12.433870000000001</v>
          </cell>
          <cell r="R900">
            <v>40763</v>
          </cell>
          <cell r="T900">
            <v>5.94</v>
          </cell>
          <cell r="Y900">
            <v>40763</v>
          </cell>
          <cell r="AA900">
            <v>193.7</v>
          </cell>
          <cell r="AF900">
            <v>40763</v>
          </cell>
          <cell r="AH900">
            <v>46.982689999999998</v>
          </cell>
          <cell r="AM900">
            <v>40763</v>
          </cell>
          <cell r="AO900">
            <v>34.775939999999999</v>
          </cell>
          <cell r="AT900">
            <v>40763</v>
          </cell>
          <cell r="AV900">
            <v>28.523540000000001</v>
          </cell>
          <cell r="BA900">
            <v>40763</v>
          </cell>
          <cell r="BC900">
            <v>18.803609999999999</v>
          </cell>
          <cell r="BH900">
            <v>40763</v>
          </cell>
          <cell r="BJ900">
            <v>13.33057</v>
          </cell>
        </row>
        <row r="901">
          <cell r="D901">
            <v>40760</v>
          </cell>
          <cell r="F901">
            <v>156.45715000000001</v>
          </cell>
          <cell r="K901">
            <v>40760</v>
          </cell>
          <cell r="M901">
            <v>13.32583</v>
          </cell>
          <cell r="R901">
            <v>40760</v>
          </cell>
          <cell r="T901">
            <v>6.56</v>
          </cell>
          <cell r="Y901">
            <v>40760</v>
          </cell>
          <cell r="AA901">
            <v>202.7</v>
          </cell>
          <cell r="AF901">
            <v>40760</v>
          </cell>
          <cell r="AH901">
            <v>49.697560000000003</v>
          </cell>
          <cell r="AM901">
            <v>40760</v>
          </cell>
          <cell r="AO901">
            <v>36.73489</v>
          </cell>
          <cell r="AT901">
            <v>40760</v>
          </cell>
          <cell r="AV901">
            <v>29.246259999999999</v>
          </cell>
          <cell r="BA901">
            <v>40760</v>
          </cell>
          <cell r="BC901">
            <v>21.037800000000001</v>
          </cell>
          <cell r="BH901">
            <v>40760</v>
          </cell>
          <cell r="BJ901">
            <v>14.263629999999999</v>
          </cell>
        </row>
        <row r="902">
          <cell r="D902">
            <v>40759</v>
          </cell>
          <cell r="F902">
            <v>155.10042000000001</v>
          </cell>
          <cell r="K902">
            <v>40759</v>
          </cell>
          <cell r="M902">
            <v>13.21879</v>
          </cell>
          <cell r="R902">
            <v>40759</v>
          </cell>
          <cell r="T902">
            <v>6.5</v>
          </cell>
          <cell r="Y902">
            <v>40759</v>
          </cell>
          <cell r="AA902">
            <v>201.48</v>
          </cell>
          <cell r="AF902">
            <v>40759</v>
          </cell>
          <cell r="AH902">
            <v>50.196370000000002</v>
          </cell>
          <cell r="AM902">
            <v>40759</v>
          </cell>
          <cell r="AO902">
            <v>36.890509999999999</v>
          </cell>
          <cell r="AT902">
            <v>40759</v>
          </cell>
          <cell r="AV902">
            <v>28.83015</v>
          </cell>
          <cell r="BA902">
            <v>40759</v>
          </cell>
          <cell r="BC902">
            <v>21.47888</v>
          </cell>
          <cell r="BH902">
            <v>40759</v>
          </cell>
          <cell r="BJ902">
            <v>14.22907</v>
          </cell>
        </row>
        <row r="903">
          <cell r="D903">
            <v>40758</v>
          </cell>
          <cell r="F903">
            <v>161.74835999999999</v>
          </cell>
          <cell r="K903">
            <v>40758</v>
          </cell>
          <cell r="M903">
            <v>13.8164</v>
          </cell>
          <cell r="R903">
            <v>40758</v>
          </cell>
          <cell r="T903">
            <v>7.16</v>
          </cell>
          <cell r="Y903">
            <v>40758</v>
          </cell>
          <cell r="AA903">
            <v>209.96</v>
          </cell>
          <cell r="AF903">
            <v>40758</v>
          </cell>
          <cell r="AH903">
            <v>52.218220000000002</v>
          </cell>
          <cell r="AM903">
            <v>40758</v>
          </cell>
          <cell r="AO903">
            <v>38.620609999999999</v>
          </cell>
          <cell r="AT903">
            <v>40758</v>
          </cell>
          <cell r="AV903">
            <v>29.960229999999999</v>
          </cell>
          <cell r="BA903">
            <v>40758</v>
          </cell>
          <cell r="BC903">
            <v>23.108969999999999</v>
          </cell>
          <cell r="BH903">
            <v>40758</v>
          </cell>
          <cell r="BJ903">
            <v>15.09301</v>
          </cell>
        </row>
        <row r="904">
          <cell r="D904">
            <v>40757</v>
          </cell>
          <cell r="F904">
            <v>161.04286999999999</v>
          </cell>
          <cell r="K904">
            <v>40757</v>
          </cell>
          <cell r="M904">
            <v>13.78964</v>
          </cell>
          <cell r="R904">
            <v>40757</v>
          </cell>
          <cell r="T904">
            <v>7.11</v>
          </cell>
          <cell r="Y904">
            <v>40757</v>
          </cell>
          <cell r="AA904">
            <v>211.7</v>
          </cell>
          <cell r="AF904">
            <v>40757</v>
          </cell>
          <cell r="AH904">
            <v>51.731380000000001</v>
          </cell>
          <cell r="AM904">
            <v>40757</v>
          </cell>
          <cell r="AO904">
            <v>38.574840000000002</v>
          </cell>
          <cell r="AT904">
            <v>40757</v>
          </cell>
          <cell r="AV904">
            <v>29.377669999999998</v>
          </cell>
          <cell r="BA904">
            <v>40757</v>
          </cell>
          <cell r="BC904">
            <v>18.966619999999999</v>
          </cell>
          <cell r="BH904">
            <v>40757</v>
          </cell>
          <cell r="BJ904">
            <v>14.86838</v>
          </cell>
        </row>
        <row r="905">
          <cell r="D905">
            <v>40756</v>
          </cell>
          <cell r="F905">
            <v>163.48496</v>
          </cell>
          <cell r="K905">
            <v>40756</v>
          </cell>
          <cell r="M905">
            <v>14.119669999999999</v>
          </cell>
          <cell r="R905">
            <v>40756</v>
          </cell>
          <cell r="T905">
            <v>7.22</v>
          </cell>
          <cell r="Y905">
            <v>40756</v>
          </cell>
          <cell r="AA905">
            <v>221.32</v>
          </cell>
          <cell r="AF905">
            <v>40756</v>
          </cell>
          <cell r="AH905">
            <v>52.77422</v>
          </cell>
          <cell r="AM905">
            <v>40756</v>
          </cell>
          <cell r="AO905">
            <v>39.160699999999999</v>
          </cell>
          <cell r="AT905">
            <v>40756</v>
          </cell>
          <cell r="AV905">
            <v>29.66676</v>
          </cell>
          <cell r="BA905">
            <v>40756</v>
          </cell>
          <cell r="BC905">
            <v>20.059740000000001</v>
          </cell>
          <cell r="BH905">
            <v>40756</v>
          </cell>
          <cell r="BJ905">
            <v>15.524979999999999</v>
          </cell>
        </row>
        <row r="906">
          <cell r="D906">
            <v>40753</v>
          </cell>
          <cell r="F906">
            <v>164.47989000000001</v>
          </cell>
          <cell r="K906">
            <v>40753</v>
          </cell>
          <cell r="M906">
            <v>14.244540000000001</v>
          </cell>
          <cell r="R906">
            <v>40753</v>
          </cell>
          <cell r="T906">
            <v>7.34</v>
          </cell>
          <cell r="Y906">
            <v>40753</v>
          </cell>
          <cell r="AA906">
            <v>222.52</v>
          </cell>
          <cell r="AF906">
            <v>40753</v>
          </cell>
          <cell r="AH906">
            <v>51.94021</v>
          </cell>
          <cell r="AM906">
            <v>40753</v>
          </cell>
          <cell r="AO906">
            <v>40.057789999999997</v>
          </cell>
          <cell r="AT906">
            <v>40753</v>
          </cell>
          <cell r="AV906">
            <v>29.789400000000001</v>
          </cell>
          <cell r="BA906">
            <v>40753</v>
          </cell>
          <cell r="BC906">
            <v>20.328230000000001</v>
          </cell>
          <cell r="BH906">
            <v>40753</v>
          </cell>
          <cell r="BJ906">
            <v>15.473140000000001</v>
          </cell>
        </row>
        <row r="907">
          <cell r="D907">
            <v>40752</v>
          </cell>
          <cell r="F907">
            <v>164.43467000000001</v>
          </cell>
          <cell r="K907">
            <v>40752</v>
          </cell>
          <cell r="M907">
            <v>14.28022</v>
          </cell>
          <cell r="R907">
            <v>40752</v>
          </cell>
          <cell r="T907">
            <v>7.42</v>
          </cell>
          <cell r="Y907">
            <v>40752</v>
          </cell>
          <cell r="AA907">
            <v>223.9</v>
          </cell>
          <cell r="AF907">
            <v>40752</v>
          </cell>
          <cell r="AH907">
            <v>52.118450000000003</v>
          </cell>
          <cell r="AM907">
            <v>40752</v>
          </cell>
          <cell r="AO907">
            <v>39.746549999999999</v>
          </cell>
          <cell r="AT907">
            <v>40752</v>
          </cell>
          <cell r="AV907">
            <v>30.139810000000001</v>
          </cell>
          <cell r="BA907">
            <v>40752</v>
          </cell>
          <cell r="BC907">
            <v>20.539180000000002</v>
          </cell>
          <cell r="BH907">
            <v>40752</v>
          </cell>
          <cell r="BJ907">
            <v>15.64593</v>
          </cell>
        </row>
        <row r="908">
          <cell r="D908">
            <v>40751</v>
          </cell>
          <cell r="F908">
            <v>164.02764999999999</v>
          </cell>
          <cell r="K908">
            <v>40751</v>
          </cell>
          <cell r="M908">
            <v>13.99479</v>
          </cell>
          <cell r="R908">
            <v>40751</v>
          </cell>
          <cell r="T908">
            <v>7.51</v>
          </cell>
          <cell r="Y908">
            <v>40751</v>
          </cell>
          <cell r="AA908">
            <v>222.518</v>
          </cell>
          <cell r="AF908">
            <v>40751</v>
          </cell>
          <cell r="AH908">
            <v>52.220880000000001</v>
          </cell>
          <cell r="AM908">
            <v>40751</v>
          </cell>
          <cell r="AO908">
            <v>39.99371</v>
          </cell>
          <cell r="AT908">
            <v>40751</v>
          </cell>
          <cell r="AV908">
            <v>30.087250000000001</v>
          </cell>
          <cell r="BA908">
            <v>40751</v>
          </cell>
          <cell r="BC908">
            <v>20.337810000000001</v>
          </cell>
          <cell r="BH908">
            <v>40751</v>
          </cell>
          <cell r="BJ908">
            <v>15.64593</v>
          </cell>
        </row>
        <row r="909">
          <cell r="D909">
            <v>40750</v>
          </cell>
          <cell r="F909">
            <v>165.45672999999999</v>
          </cell>
          <cell r="K909">
            <v>40750</v>
          </cell>
          <cell r="M909">
            <v>14.52997</v>
          </cell>
          <cell r="R909">
            <v>40750</v>
          </cell>
          <cell r="T909">
            <v>7.66</v>
          </cell>
          <cell r="Y909">
            <v>40750</v>
          </cell>
          <cell r="AA909">
            <v>214.18</v>
          </cell>
          <cell r="AF909">
            <v>40750</v>
          </cell>
          <cell r="AH909">
            <v>53.660110000000003</v>
          </cell>
          <cell r="AM909">
            <v>40750</v>
          </cell>
          <cell r="AO909">
            <v>40.854179999999999</v>
          </cell>
          <cell r="AT909">
            <v>40750</v>
          </cell>
          <cell r="AV909">
            <v>30.306260000000002</v>
          </cell>
          <cell r="BA909">
            <v>40750</v>
          </cell>
          <cell r="BC909">
            <v>20.94191</v>
          </cell>
          <cell r="BH909">
            <v>40750</v>
          </cell>
          <cell r="BJ909">
            <v>16.034700000000001</v>
          </cell>
        </row>
        <row r="910">
          <cell r="D910">
            <v>40749</v>
          </cell>
          <cell r="F910">
            <v>166.15317999999999</v>
          </cell>
          <cell r="K910">
            <v>40749</v>
          </cell>
          <cell r="M910">
            <v>14.521050000000001</v>
          </cell>
          <cell r="R910">
            <v>40749</v>
          </cell>
          <cell r="T910">
            <v>7.63</v>
          </cell>
          <cell r="Y910">
            <v>40749</v>
          </cell>
          <cell r="AA910">
            <v>213.49</v>
          </cell>
          <cell r="AF910">
            <v>40749</v>
          </cell>
          <cell r="AH910">
            <v>53.006999999999998</v>
          </cell>
          <cell r="AM910">
            <v>40749</v>
          </cell>
          <cell r="AO910">
            <v>41.549880000000002</v>
          </cell>
          <cell r="AT910">
            <v>40749</v>
          </cell>
          <cell r="AV910">
            <v>30.336919999999999</v>
          </cell>
          <cell r="BA910">
            <v>40749</v>
          </cell>
          <cell r="BC910">
            <v>21.25834</v>
          </cell>
          <cell r="BH910">
            <v>40749</v>
          </cell>
          <cell r="BJ910">
            <v>16.380279999999999</v>
          </cell>
        </row>
        <row r="911">
          <cell r="D911">
            <v>40746</v>
          </cell>
          <cell r="F911">
            <v>167.49181999999999</v>
          </cell>
          <cell r="K911">
            <v>40746</v>
          </cell>
          <cell r="M911">
            <v>14.6816</v>
          </cell>
          <cell r="R911">
            <v>40746</v>
          </cell>
          <cell r="T911">
            <v>7.75</v>
          </cell>
          <cell r="Y911">
            <v>40746</v>
          </cell>
          <cell r="AA911">
            <v>216.52</v>
          </cell>
          <cell r="AF911">
            <v>40746</v>
          </cell>
          <cell r="AH911">
            <v>52.31532</v>
          </cell>
          <cell r="AM911">
            <v>40746</v>
          </cell>
          <cell r="AO911">
            <v>42.144889999999997</v>
          </cell>
          <cell r="AT911">
            <v>40746</v>
          </cell>
          <cell r="AV911">
            <v>30.54279</v>
          </cell>
          <cell r="BA911">
            <v>40746</v>
          </cell>
          <cell r="BC911">
            <v>21.689830000000001</v>
          </cell>
          <cell r="BH911">
            <v>40746</v>
          </cell>
          <cell r="BJ911">
            <v>16.449390000000001</v>
          </cell>
        </row>
        <row r="912">
          <cell r="D912">
            <v>40745</v>
          </cell>
          <cell r="F912">
            <v>167.23856000000001</v>
          </cell>
          <cell r="K912">
            <v>40745</v>
          </cell>
          <cell r="M912">
            <v>14.58348</v>
          </cell>
          <cell r="R912">
            <v>40745</v>
          </cell>
          <cell r="T912">
            <v>6.5</v>
          </cell>
          <cell r="Y912">
            <v>40745</v>
          </cell>
          <cell r="AA912">
            <v>213.21</v>
          </cell>
          <cell r="AF912">
            <v>40745</v>
          </cell>
          <cell r="AH912">
            <v>51.515889999999999</v>
          </cell>
          <cell r="AM912">
            <v>40745</v>
          </cell>
          <cell r="AO912">
            <v>42.099119999999999</v>
          </cell>
          <cell r="AT912">
            <v>40745</v>
          </cell>
          <cell r="AV912">
            <v>30.371960000000001</v>
          </cell>
          <cell r="BA912">
            <v>40745</v>
          </cell>
          <cell r="BC912">
            <v>21.785720000000001</v>
          </cell>
          <cell r="BH912">
            <v>40745</v>
          </cell>
          <cell r="BJ912">
            <v>16.553059999999999</v>
          </cell>
        </row>
        <row r="913">
          <cell r="D913">
            <v>40744</v>
          </cell>
          <cell r="F913">
            <v>166.10795999999999</v>
          </cell>
          <cell r="K913">
            <v>40744</v>
          </cell>
          <cell r="M913">
            <v>14.110749999999999</v>
          </cell>
          <cell r="R913">
            <v>40744</v>
          </cell>
          <cell r="T913">
            <v>6.6</v>
          </cell>
          <cell r="Y913">
            <v>40744</v>
          </cell>
          <cell r="AA913">
            <v>215.55</v>
          </cell>
          <cell r="AF913">
            <v>40744</v>
          </cell>
          <cell r="AH913">
            <v>51.464010000000002</v>
          </cell>
          <cell r="AM913">
            <v>40744</v>
          </cell>
          <cell r="AO913">
            <v>41.668889999999998</v>
          </cell>
          <cell r="AT913">
            <v>40744</v>
          </cell>
          <cell r="AV913">
            <v>30.166090000000001</v>
          </cell>
          <cell r="BA913">
            <v>40744</v>
          </cell>
          <cell r="BC913">
            <v>21.737780000000001</v>
          </cell>
          <cell r="BH913">
            <v>40744</v>
          </cell>
          <cell r="BJ913">
            <v>16.233409999999999</v>
          </cell>
        </row>
        <row r="914">
          <cell r="D914">
            <v>40743</v>
          </cell>
          <cell r="F914">
            <v>167.51894999999999</v>
          </cell>
          <cell r="K914">
            <v>40743</v>
          </cell>
          <cell r="M914">
            <v>13.968030000000001</v>
          </cell>
          <cell r="R914">
            <v>40743</v>
          </cell>
          <cell r="T914">
            <v>6.48</v>
          </cell>
          <cell r="Y914">
            <v>40743</v>
          </cell>
          <cell r="AA914">
            <v>218.06</v>
          </cell>
          <cell r="AF914">
            <v>40743</v>
          </cell>
          <cell r="AH914">
            <v>50.127200000000002</v>
          </cell>
          <cell r="AM914">
            <v>40743</v>
          </cell>
          <cell r="AO914">
            <v>41.934350000000002</v>
          </cell>
          <cell r="AT914">
            <v>40743</v>
          </cell>
          <cell r="AV914">
            <v>30.363199999999999</v>
          </cell>
          <cell r="BA914">
            <v>40743</v>
          </cell>
          <cell r="BC914">
            <v>21.96791</v>
          </cell>
          <cell r="BH914">
            <v>40743</v>
          </cell>
          <cell r="BJ914">
            <v>16.05198</v>
          </cell>
        </row>
        <row r="915">
          <cell r="D915">
            <v>40742</v>
          </cell>
          <cell r="F915">
            <v>158.53745000000001</v>
          </cell>
          <cell r="K915">
            <v>40742</v>
          </cell>
          <cell r="M915">
            <v>13.767340000000001</v>
          </cell>
          <cell r="R915">
            <v>40742</v>
          </cell>
          <cell r="T915">
            <v>6.18</v>
          </cell>
          <cell r="Y915">
            <v>40742</v>
          </cell>
          <cell r="AA915">
            <v>211.53</v>
          </cell>
          <cell r="AF915">
            <v>40742</v>
          </cell>
          <cell r="AH915">
            <v>49.721499999999999</v>
          </cell>
          <cell r="AM915">
            <v>40742</v>
          </cell>
          <cell r="AO915">
            <v>41.84281</v>
          </cell>
          <cell r="AT915">
            <v>40742</v>
          </cell>
          <cell r="AV915">
            <v>29.399570000000001</v>
          </cell>
          <cell r="BA915">
            <v>40742</v>
          </cell>
          <cell r="BC915">
            <v>21.21998</v>
          </cell>
          <cell r="BH915">
            <v>40742</v>
          </cell>
          <cell r="BJ915">
            <v>15.801439999999999</v>
          </cell>
        </row>
        <row r="916">
          <cell r="D916">
            <v>40739</v>
          </cell>
          <cell r="F916">
            <v>158.77261999999999</v>
          </cell>
          <cell r="K916">
            <v>40739</v>
          </cell>
          <cell r="M916">
            <v>13.9056</v>
          </cell>
          <cell r="R916">
            <v>40739</v>
          </cell>
          <cell r="T916">
            <v>6.43</v>
          </cell>
          <cell r="Y916">
            <v>40739</v>
          </cell>
          <cell r="AA916">
            <v>212.87</v>
          </cell>
          <cell r="AF916">
            <v>40739</v>
          </cell>
          <cell r="AH916">
            <v>48.540309999999998</v>
          </cell>
          <cell r="AM916">
            <v>40739</v>
          </cell>
          <cell r="AO916">
            <v>42.36459</v>
          </cell>
          <cell r="AT916">
            <v>40739</v>
          </cell>
          <cell r="AV916">
            <v>29.579149999999998</v>
          </cell>
          <cell r="BA916">
            <v>40739</v>
          </cell>
          <cell r="BC916">
            <v>21.277519999999999</v>
          </cell>
          <cell r="BH916">
            <v>40739</v>
          </cell>
          <cell r="BJ916">
            <v>15.905110000000001</v>
          </cell>
        </row>
        <row r="917">
          <cell r="D917">
            <v>40738</v>
          </cell>
          <cell r="F917">
            <v>157.58775</v>
          </cell>
          <cell r="K917">
            <v>40738</v>
          </cell>
          <cell r="M917">
            <v>13.762879999999999</v>
          </cell>
          <cell r="R917">
            <v>40738</v>
          </cell>
          <cell r="T917">
            <v>6.44</v>
          </cell>
          <cell r="Y917">
            <v>40738</v>
          </cell>
          <cell r="AA917">
            <v>210.38</v>
          </cell>
          <cell r="AF917">
            <v>40738</v>
          </cell>
          <cell r="AH917">
            <v>47.58925</v>
          </cell>
          <cell r="AM917">
            <v>40738</v>
          </cell>
          <cell r="AO917">
            <v>42.273049999999998</v>
          </cell>
          <cell r="AT917">
            <v>40738</v>
          </cell>
          <cell r="AV917">
            <v>29.64048</v>
          </cell>
          <cell r="BA917">
            <v>40738</v>
          </cell>
          <cell r="BC917">
            <v>21.037800000000001</v>
          </cell>
          <cell r="BH917">
            <v>40738</v>
          </cell>
          <cell r="BJ917">
            <v>16.008780000000002</v>
          </cell>
        </row>
        <row r="918">
          <cell r="D918">
            <v>40737</v>
          </cell>
          <cell r="F918">
            <v>157.66915</v>
          </cell>
          <cell r="K918">
            <v>40737</v>
          </cell>
          <cell r="M918">
            <v>13.88776</v>
          </cell>
          <cell r="R918">
            <v>40737</v>
          </cell>
          <cell r="T918">
            <v>6.48</v>
          </cell>
          <cell r="Y918">
            <v>40737</v>
          </cell>
          <cell r="AA918">
            <v>213.5</v>
          </cell>
          <cell r="AF918">
            <v>40737</v>
          </cell>
          <cell r="AH918">
            <v>47.622500000000002</v>
          </cell>
          <cell r="AM918">
            <v>40737</v>
          </cell>
          <cell r="AO918">
            <v>42.46528</v>
          </cell>
          <cell r="AT918">
            <v>40737</v>
          </cell>
          <cell r="AV918">
            <v>29.811299999999999</v>
          </cell>
          <cell r="BA918">
            <v>40737</v>
          </cell>
          <cell r="BC918">
            <v>21.402170000000002</v>
          </cell>
          <cell r="BH918">
            <v>40737</v>
          </cell>
          <cell r="BJ918">
            <v>15.9915</v>
          </cell>
        </row>
        <row r="919">
          <cell r="D919">
            <v>40736</v>
          </cell>
          <cell r="F919">
            <v>157.42493999999999</v>
          </cell>
          <cell r="K919">
            <v>40736</v>
          </cell>
          <cell r="M919">
            <v>13.91452</v>
          </cell>
          <cell r="R919">
            <v>40736</v>
          </cell>
          <cell r="T919">
            <v>6.43</v>
          </cell>
          <cell r="Y919">
            <v>40736</v>
          </cell>
          <cell r="AA919">
            <v>211.23</v>
          </cell>
          <cell r="AF919">
            <v>40736</v>
          </cell>
          <cell r="AH919">
            <v>47.054519999999997</v>
          </cell>
          <cell r="AM919">
            <v>40736</v>
          </cell>
          <cell r="AO919">
            <v>42.318820000000002</v>
          </cell>
          <cell r="AT919">
            <v>40736</v>
          </cell>
          <cell r="AV919">
            <v>29.71932</v>
          </cell>
          <cell r="BA919">
            <v>40736</v>
          </cell>
          <cell r="BC919">
            <v>21.26793</v>
          </cell>
          <cell r="BH919">
            <v>40736</v>
          </cell>
          <cell r="BJ919">
            <v>15.879189999999999</v>
          </cell>
        </row>
        <row r="920">
          <cell r="D920">
            <v>40735</v>
          </cell>
          <cell r="F920">
            <v>158.27515</v>
          </cell>
          <cell r="K920">
            <v>40735</v>
          </cell>
          <cell r="M920">
            <v>13.762879999999999</v>
          </cell>
          <cell r="R920">
            <v>40735</v>
          </cell>
          <cell r="T920">
            <v>6.76</v>
          </cell>
          <cell r="Y920">
            <v>40735</v>
          </cell>
          <cell r="AA920">
            <v>212.55</v>
          </cell>
          <cell r="AF920">
            <v>40735</v>
          </cell>
          <cell r="AH920">
            <v>47.087780000000002</v>
          </cell>
          <cell r="AM920">
            <v>40735</v>
          </cell>
          <cell r="AO920">
            <v>41.84281</v>
          </cell>
          <cell r="AT920">
            <v>40735</v>
          </cell>
          <cell r="AV920">
            <v>29.82882</v>
          </cell>
          <cell r="BA920">
            <v>40735</v>
          </cell>
          <cell r="BC920">
            <v>21.191220000000001</v>
          </cell>
          <cell r="BH920">
            <v>40735</v>
          </cell>
          <cell r="BJ920">
            <v>16.095179999999999</v>
          </cell>
        </row>
        <row r="921">
          <cell r="D921">
            <v>40732</v>
          </cell>
          <cell r="F921">
            <v>159.63188</v>
          </cell>
          <cell r="K921">
            <v>40732</v>
          </cell>
          <cell r="M921">
            <v>14.039389999999999</v>
          </cell>
          <cell r="R921">
            <v>40732</v>
          </cell>
          <cell r="T921">
            <v>6.95</v>
          </cell>
          <cell r="Y921">
            <v>40732</v>
          </cell>
          <cell r="AA921">
            <v>218.28</v>
          </cell>
          <cell r="AF921">
            <v>40732</v>
          </cell>
          <cell r="AH921">
            <v>47.847299999999997</v>
          </cell>
          <cell r="AM921">
            <v>40732</v>
          </cell>
          <cell r="AO921">
            <v>42.520209999999999</v>
          </cell>
          <cell r="AT921">
            <v>40732</v>
          </cell>
          <cell r="AV921">
            <v>30.08287</v>
          </cell>
          <cell r="BA921">
            <v>40732</v>
          </cell>
          <cell r="BC921">
            <v>22.313099999999999</v>
          </cell>
          <cell r="BH921">
            <v>40732</v>
          </cell>
          <cell r="BJ921">
            <v>16.406189999999999</v>
          </cell>
        </row>
        <row r="922">
          <cell r="D922">
            <v>40731</v>
          </cell>
          <cell r="F922">
            <v>159.62282999999999</v>
          </cell>
          <cell r="K922">
            <v>40731</v>
          </cell>
          <cell r="M922">
            <v>14.1821</v>
          </cell>
          <cell r="R922">
            <v>40731</v>
          </cell>
          <cell r="T922">
            <v>7.15</v>
          </cell>
          <cell r="Y922">
            <v>40731</v>
          </cell>
          <cell r="AA922">
            <v>216.74</v>
          </cell>
          <cell r="AF922">
            <v>40731</v>
          </cell>
          <cell r="AH922">
            <v>47.51343</v>
          </cell>
          <cell r="AM922">
            <v>40731</v>
          </cell>
          <cell r="AO922">
            <v>42.86806</v>
          </cell>
          <cell r="AT922">
            <v>40731</v>
          </cell>
          <cell r="AV922">
            <v>30.113530000000001</v>
          </cell>
          <cell r="BA922">
            <v>40731</v>
          </cell>
          <cell r="BC922">
            <v>23.070620000000002</v>
          </cell>
          <cell r="BH922">
            <v>40731</v>
          </cell>
          <cell r="BJ922">
            <v>16.674019999999999</v>
          </cell>
        </row>
        <row r="923">
          <cell r="D923">
            <v>40730</v>
          </cell>
          <cell r="F923">
            <v>160.73534000000001</v>
          </cell>
          <cell r="K923">
            <v>40730</v>
          </cell>
          <cell r="M923">
            <v>13.87884</v>
          </cell>
          <cell r="R923">
            <v>40730</v>
          </cell>
          <cell r="T923">
            <v>7</v>
          </cell>
          <cell r="Y923">
            <v>40730</v>
          </cell>
          <cell r="AA923">
            <v>214.19</v>
          </cell>
          <cell r="AF923">
            <v>40730</v>
          </cell>
          <cell r="AH923">
            <v>46.789819999999999</v>
          </cell>
          <cell r="AM923">
            <v>40730</v>
          </cell>
          <cell r="AO923">
            <v>42.776519999999998</v>
          </cell>
          <cell r="AT923">
            <v>40730</v>
          </cell>
          <cell r="AV923">
            <v>30.01717</v>
          </cell>
          <cell r="BA923">
            <v>40730</v>
          </cell>
          <cell r="BC923">
            <v>22.370640000000002</v>
          </cell>
          <cell r="BH923">
            <v>40730</v>
          </cell>
          <cell r="BJ923">
            <v>16.458030000000001</v>
          </cell>
        </row>
        <row r="924">
          <cell r="D924">
            <v>40729</v>
          </cell>
          <cell r="F924">
            <v>158.67312999999999</v>
          </cell>
          <cell r="K924">
            <v>40729</v>
          </cell>
          <cell r="M924">
            <v>13.97695</v>
          </cell>
          <cell r="R924">
            <v>40729</v>
          </cell>
          <cell r="T924">
            <v>7.14</v>
          </cell>
          <cell r="Y924">
            <v>40729</v>
          </cell>
          <cell r="AA924">
            <v>213.19</v>
          </cell>
          <cell r="AF924">
            <v>40729</v>
          </cell>
          <cell r="AH924">
            <v>46.479889999999997</v>
          </cell>
          <cell r="AM924">
            <v>40729</v>
          </cell>
          <cell r="AO924">
            <v>42.456130000000002</v>
          </cell>
          <cell r="AT924">
            <v>40729</v>
          </cell>
          <cell r="AV924">
            <v>29.916429999999998</v>
          </cell>
          <cell r="BA924">
            <v>40729</v>
          </cell>
          <cell r="BC924">
            <v>22.18845</v>
          </cell>
          <cell r="BH924">
            <v>40729</v>
          </cell>
          <cell r="BJ924">
            <v>16.449390000000001</v>
          </cell>
        </row>
        <row r="925">
          <cell r="D925">
            <v>40725</v>
          </cell>
          <cell r="F925">
            <v>157.86814000000001</v>
          </cell>
          <cell r="K925">
            <v>40725</v>
          </cell>
          <cell r="M925">
            <v>14.09291</v>
          </cell>
          <cell r="R925">
            <v>40725</v>
          </cell>
          <cell r="T925">
            <v>7.11</v>
          </cell>
          <cell r="Y925">
            <v>40725</v>
          </cell>
          <cell r="AA925">
            <v>209.49</v>
          </cell>
          <cell r="AF925">
            <v>40725</v>
          </cell>
          <cell r="AH925">
            <v>45.659179999999999</v>
          </cell>
          <cell r="AM925">
            <v>40725</v>
          </cell>
          <cell r="AO925">
            <v>42.401200000000003</v>
          </cell>
          <cell r="AT925">
            <v>40725</v>
          </cell>
          <cell r="AV925">
            <v>29.824439999999999</v>
          </cell>
          <cell r="BA925">
            <v>40725</v>
          </cell>
          <cell r="BC925">
            <v>22.08297</v>
          </cell>
          <cell r="BH925">
            <v>40725</v>
          </cell>
          <cell r="BJ925">
            <v>16.587620000000001</v>
          </cell>
        </row>
        <row r="926">
          <cell r="D926">
            <v>40724</v>
          </cell>
          <cell r="F926">
            <v>155.16373999999999</v>
          </cell>
          <cell r="K926">
            <v>40724</v>
          </cell>
          <cell r="M926">
            <v>13.870760000000001</v>
          </cell>
          <cell r="R926">
            <v>40724</v>
          </cell>
          <cell r="T926">
            <v>6.99</v>
          </cell>
          <cell r="Y926">
            <v>40724</v>
          </cell>
          <cell r="AA926">
            <v>204.49</v>
          </cell>
          <cell r="AF926">
            <v>40724</v>
          </cell>
          <cell r="AH926">
            <v>44.649590000000003</v>
          </cell>
          <cell r="AM926">
            <v>40724</v>
          </cell>
          <cell r="AO926">
            <v>41.577350000000003</v>
          </cell>
          <cell r="AT926">
            <v>40724</v>
          </cell>
          <cell r="AV926">
            <v>29.474029999999999</v>
          </cell>
          <cell r="BA926">
            <v>40724</v>
          </cell>
          <cell r="BC926">
            <v>21.498059999999999</v>
          </cell>
          <cell r="BH926">
            <v>40724</v>
          </cell>
          <cell r="BJ926">
            <v>16.293880000000001</v>
          </cell>
        </row>
        <row r="927">
          <cell r="D927">
            <v>40723</v>
          </cell>
          <cell r="F927">
            <v>154.25021000000001</v>
          </cell>
          <cell r="K927">
            <v>40723</v>
          </cell>
          <cell r="M927">
            <v>13.6264</v>
          </cell>
          <cell r="R927">
            <v>40723</v>
          </cell>
          <cell r="T927">
            <v>6.89</v>
          </cell>
          <cell r="Y927">
            <v>40723</v>
          </cell>
          <cell r="AA927">
            <v>204.18</v>
          </cell>
          <cell r="AF927">
            <v>40723</v>
          </cell>
          <cell r="AH927">
            <v>44.432769999999998</v>
          </cell>
          <cell r="AM927">
            <v>40723</v>
          </cell>
          <cell r="AO927">
            <v>41.202030000000001</v>
          </cell>
          <cell r="AT927">
            <v>40723</v>
          </cell>
          <cell r="AV927">
            <v>29.21998</v>
          </cell>
          <cell r="BA927">
            <v>40723</v>
          </cell>
          <cell r="BC927">
            <v>20.989850000000001</v>
          </cell>
          <cell r="BH927">
            <v>40723</v>
          </cell>
          <cell r="BJ927">
            <v>16.034700000000001</v>
          </cell>
        </row>
        <row r="928">
          <cell r="D928">
            <v>40722</v>
          </cell>
          <cell r="F928">
            <v>153.77083999999999</v>
          </cell>
          <cell r="K928">
            <v>40722</v>
          </cell>
          <cell r="M928">
            <v>13.444240000000001</v>
          </cell>
          <cell r="R928">
            <v>40722</v>
          </cell>
          <cell r="T928">
            <v>6.95</v>
          </cell>
          <cell r="Y928">
            <v>40722</v>
          </cell>
          <cell r="AA928">
            <v>202.35</v>
          </cell>
          <cell r="AF928">
            <v>40722</v>
          </cell>
          <cell r="AH928">
            <v>44.595050000000001</v>
          </cell>
          <cell r="AM928">
            <v>40722</v>
          </cell>
          <cell r="AO928">
            <v>41.014380000000003</v>
          </cell>
          <cell r="AT928">
            <v>40722</v>
          </cell>
          <cell r="AV928">
            <v>28.922129999999999</v>
          </cell>
          <cell r="BA928">
            <v>40722</v>
          </cell>
          <cell r="BC928">
            <v>20.56795</v>
          </cell>
          <cell r="BH928">
            <v>40722</v>
          </cell>
          <cell r="BJ928">
            <v>15.93103</v>
          </cell>
        </row>
        <row r="929">
          <cell r="D929">
            <v>40721</v>
          </cell>
          <cell r="F929">
            <v>151.60912999999999</v>
          </cell>
          <cell r="K929">
            <v>40721</v>
          </cell>
          <cell r="M929">
            <v>13.37316</v>
          </cell>
          <cell r="R929">
            <v>40721</v>
          </cell>
          <cell r="T929">
            <v>6.92</v>
          </cell>
          <cell r="Y929">
            <v>40721</v>
          </cell>
          <cell r="AA929">
            <v>201.25</v>
          </cell>
          <cell r="AF929">
            <v>40721</v>
          </cell>
          <cell r="AH929">
            <v>44.166739999999997</v>
          </cell>
          <cell r="AM929">
            <v>40721</v>
          </cell>
          <cell r="AO929">
            <v>40.030470000000001</v>
          </cell>
          <cell r="AT929">
            <v>40721</v>
          </cell>
          <cell r="AV929">
            <v>28.56296</v>
          </cell>
          <cell r="BA929">
            <v>40721</v>
          </cell>
          <cell r="BC929">
            <v>20.481649999999998</v>
          </cell>
          <cell r="BH929">
            <v>40721</v>
          </cell>
          <cell r="BJ929">
            <v>15.7928</v>
          </cell>
        </row>
        <row r="930">
          <cell r="D930">
            <v>40718</v>
          </cell>
          <cell r="F930">
            <v>149.30269999999999</v>
          </cell>
          <cell r="K930">
            <v>40718</v>
          </cell>
          <cell r="M930">
            <v>13.266529999999999</v>
          </cell>
          <cell r="R930">
            <v>40718</v>
          </cell>
          <cell r="T930">
            <v>6.9</v>
          </cell>
          <cell r="Y930">
            <v>40718</v>
          </cell>
          <cell r="AA930">
            <v>192.55</v>
          </cell>
          <cell r="AF930">
            <v>40718</v>
          </cell>
          <cell r="AH930">
            <v>43.409869999999998</v>
          </cell>
          <cell r="AM930">
            <v>40718</v>
          </cell>
          <cell r="AO930">
            <v>40.085129999999999</v>
          </cell>
          <cell r="AT930">
            <v>40718</v>
          </cell>
          <cell r="AV930">
            <v>28.44032</v>
          </cell>
          <cell r="BA930">
            <v>40718</v>
          </cell>
          <cell r="BC930">
            <v>20.14667</v>
          </cell>
          <cell r="BH930">
            <v>40718</v>
          </cell>
          <cell r="BJ930">
            <v>15.524979999999999</v>
          </cell>
        </row>
        <row r="931">
          <cell r="D931">
            <v>40717</v>
          </cell>
          <cell r="F931">
            <v>150.25241</v>
          </cell>
          <cell r="K931">
            <v>40717</v>
          </cell>
          <cell r="M931">
            <v>13.746359999999999</v>
          </cell>
          <cell r="R931">
            <v>40717</v>
          </cell>
          <cell r="T931">
            <v>7.06</v>
          </cell>
          <cell r="Y931">
            <v>40717</v>
          </cell>
          <cell r="AA931">
            <v>194.16</v>
          </cell>
          <cell r="AF931">
            <v>40717</v>
          </cell>
          <cell r="AH931">
            <v>44.058990000000001</v>
          </cell>
          <cell r="AM931">
            <v>40717</v>
          </cell>
          <cell r="AO931">
            <v>40.367550000000001</v>
          </cell>
          <cell r="AT931">
            <v>40717</v>
          </cell>
          <cell r="AV931">
            <v>28.462219999999999</v>
          </cell>
          <cell r="BA931">
            <v>40717</v>
          </cell>
          <cell r="BC931">
            <v>20.74006</v>
          </cell>
          <cell r="BH931">
            <v>40717</v>
          </cell>
          <cell r="BJ931">
            <v>15.879189999999999</v>
          </cell>
        </row>
        <row r="932">
          <cell r="D932">
            <v>40716</v>
          </cell>
          <cell r="F932">
            <v>149.85443000000001</v>
          </cell>
          <cell r="K932">
            <v>40716</v>
          </cell>
          <cell r="M932">
            <v>13.648619999999999</v>
          </cell>
          <cell r="R932">
            <v>40716</v>
          </cell>
          <cell r="T932">
            <v>7.06</v>
          </cell>
          <cell r="Y932">
            <v>40716</v>
          </cell>
          <cell r="AA932">
            <v>191.63</v>
          </cell>
          <cell r="AF932">
            <v>40716</v>
          </cell>
          <cell r="AH932">
            <v>42.912390000000002</v>
          </cell>
          <cell r="AM932">
            <v>40716</v>
          </cell>
          <cell r="AO932">
            <v>40.549750000000003</v>
          </cell>
          <cell r="AT932">
            <v>40716</v>
          </cell>
          <cell r="AV932">
            <v>29.084199999999999</v>
          </cell>
          <cell r="BA932">
            <v>40716</v>
          </cell>
          <cell r="BC932">
            <v>20.644349999999999</v>
          </cell>
          <cell r="BH932">
            <v>40716</v>
          </cell>
          <cell r="BJ932">
            <v>16.034700000000001</v>
          </cell>
        </row>
        <row r="933">
          <cell r="D933">
            <v>40715</v>
          </cell>
          <cell r="F933">
            <v>150.34285</v>
          </cell>
          <cell r="K933">
            <v>40715</v>
          </cell>
          <cell r="M933">
            <v>13.7819</v>
          </cell>
          <cell r="R933">
            <v>40715</v>
          </cell>
          <cell r="T933">
            <v>7.22</v>
          </cell>
          <cell r="Y933">
            <v>40715</v>
          </cell>
          <cell r="AA933">
            <v>194.23</v>
          </cell>
          <cell r="AF933">
            <v>40715</v>
          </cell>
          <cell r="AH933">
            <v>43.270209999999999</v>
          </cell>
          <cell r="AM933">
            <v>40715</v>
          </cell>
          <cell r="AO933">
            <v>41.059930000000001</v>
          </cell>
          <cell r="AT933">
            <v>40715</v>
          </cell>
          <cell r="AV933">
            <v>29.022880000000001</v>
          </cell>
          <cell r="BA933">
            <v>40715</v>
          </cell>
          <cell r="BC933">
            <v>20.950620000000001</v>
          </cell>
          <cell r="BH933">
            <v>40715</v>
          </cell>
          <cell r="BJ933">
            <v>16.250689999999999</v>
          </cell>
        </row>
        <row r="934">
          <cell r="D934">
            <v>40714</v>
          </cell>
          <cell r="F934">
            <v>149.25747999999999</v>
          </cell>
          <cell r="K934">
            <v>40714</v>
          </cell>
          <cell r="M934">
            <v>13.45313</v>
          </cell>
          <cell r="R934">
            <v>40714</v>
          </cell>
          <cell r="T934">
            <v>6.89</v>
          </cell>
          <cell r="Y934">
            <v>40714</v>
          </cell>
          <cell r="AA934">
            <v>187.72</v>
          </cell>
          <cell r="AF934">
            <v>40714</v>
          </cell>
          <cell r="AH934">
            <v>41.942709999999998</v>
          </cell>
          <cell r="AM934">
            <v>40714</v>
          </cell>
          <cell r="AO934">
            <v>40.504199999999997</v>
          </cell>
          <cell r="AT934">
            <v>40714</v>
          </cell>
          <cell r="AV934">
            <v>28.834530000000001</v>
          </cell>
          <cell r="BA934">
            <v>40714</v>
          </cell>
          <cell r="BC934">
            <v>20.634779999999999</v>
          </cell>
          <cell r="BH934">
            <v>40714</v>
          </cell>
          <cell r="BJ934">
            <v>15.965590000000001</v>
          </cell>
        </row>
        <row r="935">
          <cell r="D935">
            <v>40711</v>
          </cell>
          <cell r="F935">
            <v>148.73287999999999</v>
          </cell>
          <cell r="K935">
            <v>40711</v>
          </cell>
          <cell r="M935">
            <v>13.302070000000001</v>
          </cell>
          <cell r="R935">
            <v>40711</v>
          </cell>
          <cell r="T935">
            <v>7</v>
          </cell>
          <cell r="Y935">
            <v>40711</v>
          </cell>
          <cell r="AA935">
            <v>186.37</v>
          </cell>
          <cell r="AF935">
            <v>40711</v>
          </cell>
          <cell r="AH935">
            <v>42.599809999999998</v>
          </cell>
          <cell r="AM935">
            <v>40711</v>
          </cell>
          <cell r="AO935">
            <v>39.975810000000003</v>
          </cell>
          <cell r="AT935">
            <v>40711</v>
          </cell>
          <cell r="AV935">
            <v>28.742550000000001</v>
          </cell>
          <cell r="BA935">
            <v>40711</v>
          </cell>
          <cell r="BC935">
            <v>20.76877</v>
          </cell>
          <cell r="BH935">
            <v>40711</v>
          </cell>
          <cell r="BJ935">
            <v>15.97423</v>
          </cell>
        </row>
        <row r="936">
          <cell r="D936">
            <v>40710</v>
          </cell>
          <cell r="F936">
            <v>147.13194999999999</v>
          </cell>
          <cell r="K936">
            <v>40710</v>
          </cell>
          <cell r="M936">
            <v>13.37316</v>
          </cell>
          <cell r="R936">
            <v>40710</v>
          </cell>
          <cell r="T936">
            <v>7.19</v>
          </cell>
          <cell r="Y936">
            <v>40710</v>
          </cell>
          <cell r="AA936">
            <v>183.65</v>
          </cell>
          <cell r="AF936">
            <v>40710</v>
          </cell>
          <cell r="AH936">
            <v>43.25159</v>
          </cell>
          <cell r="AM936">
            <v>40710</v>
          </cell>
          <cell r="AO936">
            <v>39.593179999999997</v>
          </cell>
          <cell r="AT936">
            <v>40710</v>
          </cell>
          <cell r="AV936">
            <v>28.685600000000001</v>
          </cell>
          <cell r="BA936">
            <v>40710</v>
          </cell>
          <cell r="BC936">
            <v>20.271090000000001</v>
          </cell>
          <cell r="BH936">
            <v>40710</v>
          </cell>
          <cell r="BJ936">
            <v>15.93103</v>
          </cell>
        </row>
        <row r="937">
          <cell r="D937">
            <v>40709</v>
          </cell>
          <cell r="F937">
            <v>146.82442</v>
          </cell>
          <cell r="K937">
            <v>40709</v>
          </cell>
          <cell r="M937">
            <v>13.18655</v>
          </cell>
          <cell r="R937">
            <v>40709</v>
          </cell>
          <cell r="T937">
            <v>7.5</v>
          </cell>
          <cell r="Y937">
            <v>40709</v>
          </cell>
          <cell r="AA937">
            <v>185.98</v>
          </cell>
          <cell r="AF937">
            <v>40709</v>
          </cell>
          <cell r="AH937">
            <v>43.463079999999998</v>
          </cell>
          <cell r="AM937">
            <v>40709</v>
          </cell>
          <cell r="AO937">
            <v>39.693390000000001</v>
          </cell>
          <cell r="AT937">
            <v>40709</v>
          </cell>
          <cell r="AV937">
            <v>28.457840000000001</v>
          </cell>
          <cell r="BA937">
            <v>40709</v>
          </cell>
          <cell r="BC937">
            <v>20.04139</v>
          </cell>
          <cell r="BH937">
            <v>40709</v>
          </cell>
          <cell r="BJ937">
            <v>15.758240000000001</v>
          </cell>
        </row>
        <row r="938">
          <cell r="D938">
            <v>40708</v>
          </cell>
          <cell r="F938">
            <v>148.44344000000001</v>
          </cell>
          <cell r="K938">
            <v>40708</v>
          </cell>
          <cell r="M938">
            <v>13.39981</v>
          </cell>
          <cell r="R938">
            <v>40708</v>
          </cell>
          <cell r="T938">
            <v>7.67</v>
          </cell>
          <cell r="Y938">
            <v>40708</v>
          </cell>
          <cell r="AA938">
            <v>189.96</v>
          </cell>
          <cell r="AF938">
            <v>40708</v>
          </cell>
          <cell r="AH938">
            <v>44.219940000000001</v>
          </cell>
          <cell r="AM938">
            <v>40708</v>
          </cell>
          <cell r="AO938">
            <v>39.994030000000002</v>
          </cell>
          <cell r="AT938">
            <v>40708</v>
          </cell>
          <cell r="AV938">
            <v>28.73817</v>
          </cell>
          <cell r="BA938">
            <v>40708</v>
          </cell>
          <cell r="BC938">
            <v>20.289750000000002</v>
          </cell>
          <cell r="BH938">
            <v>40708</v>
          </cell>
          <cell r="BJ938">
            <v>15.938190000000001</v>
          </cell>
        </row>
        <row r="939">
          <cell r="D939">
            <v>40707</v>
          </cell>
          <cell r="F939">
            <v>147.58419000000001</v>
          </cell>
          <cell r="K939">
            <v>40707</v>
          </cell>
          <cell r="M939">
            <v>13.38204</v>
          </cell>
          <cell r="R939">
            <v>40707</v>
          </cell>
          <cell r="T939">
            <v>7.54</v>
          </cell>
          <cell r="Y939">
            <v>40707</v>
          </cell>
          <cell r="AA939">
            <v>186.29</v>
          </cell>
          <cell r="AF939">
            <v>40707</v>
          </cell>
          <cell r="AH939">
            <v>43.443129999999996</v>
          </cell>
          <cell r="AM939">
            <v>40707</v>
          </cell>
          <cell r="AO939">
            <v>39.775379999999998</v>
          </cell>
          <cell r="AT939">
            <v>40707</v>
          </cell>
          <cell r="AV939">
            <v>28.523540000000001</v>
          </cell>
          <cell r="BA939">
            <v>40707</v>
          </cell>
          <cell r="BC939">
            <v>19.629840000000002</v>
          </cell>
          <cell r="BH939">
            <v>40707</v>
          </cell>
          <cell r="BJ939">
            <v>15.758240000000001</v>
          </cell>
        </row>
        <row r="940">
          <cell r="D940">
            <v>40704</v>
          </cell>
          <cell r="F940">
            <v>147.59323000000001</v>
          </cell>
          <cell r="K940">
            <v>40704</v>
          </cell>
          <cell r="M940">
            <v>13.435359999999999</v>
          </cell>
          <cell r="R940">
            <v>40704</v>
          </cell>
          <cell r="T940">
            <v>7.59</v>
          </cell>
          <cell r="Y940">
            <v>40704</v>
          </cell>
          <cell r="AA940">
            <v>186.53</v>
          </cell>
          <cell r="AF940">
            <v>40704</v>
          </cell>
          <cell r="AH940">
            <v>43.350020000000001</v>
          </cell>
          <cell r="AM940">
            <v>40704</v>
          </cell>
          <cell r="AO940">
            <v>39.410969999999999</v>
          </cell>
          <cell r="AT940">
            <v>40704</v>
          </cell>
          <cell r="AV940">
            <v>28.435939999999999</v>
          </cell>
          <cell r="BA940">
            <v>40704</v>
          </cell>
          <cell r="BC940">
            <v>19.601130000000001</v>
          </cell>
          <cell r="BH940">
            <v>40704</v>
          </cell>
          <cell r="BJ940">
            <v>15.698259999999999</v>
          </cell>
        </row>
        <row r="941">
          <cell r="D941">
            <v>40703</v>
          </cell>
          <cell r="F941">
            <v>149.09467000000001</v>
          </cell>
          <cell r="K941">
            <v>40703</v>
          </cell>
          <cell r="M941">
            <v>13.604189999999999</v>
          </cell>
          <cell r="R941">
            <v>40703</v>
          </cell>
          <cell r="T941">
            <v>7.64</v>
          </cell>
          <cell r="Y941">
            <v>40703</v>
          </cell>
          <cell r="AA941">
            <v>189.68</v>
          </cell>
          <cell r="AF941">
            <v>40703</v>
          </cell>
          <cell r="AH941">
            <v>44.093580000000003</v>
          </cell>
          <cell r="AM941">
            <v>40703</v>
          </cell>
          <cell r="AO941">
            <v>40.485979999999998</v>
          </cell>
          <cell r="AT941">
            <v>40703</v>
          </cell>
          <cell r="AV941">
            <v>28.653369999999999</v>
          </cell>
          <cell r="BA941">
            <v>40703</v>
          </cell>
          <cell r="BC941">
            <v>19.687259999999998</v>
          </cell>
          <cell r="BH941">
            <v>40703</v>
          </cell>
          <cell r="BJ941">
            <v>15.921049999999999</v>
          </cell>
        </row>
        <row r="942">
          <cell r="D942">
            <v>40702</v>
          </cell>
          <cell r="F942">
            <v>148.64242999999999</v>
          </cell>
          <cell r="K942">
            <v>40702</v>
          </cell>
          <cell r="M942">
            <v>13.5953</v>
          </cell>
          <cell r="R942">
            <v>40702</v>
          </cell>
          <cell r="T942">
            <v>7.62</v>
          </cell>
          <cell r="Y942">
            <v>40702</v>
          </cell>
          <cell r="AA942">
            <v>188.05</v>
          </cell>
          <cell r="AF942">
            <v>40702</v>
          </cell>
          <cell r="AH942">
            <v>44.193339999999999</v>
          </cell>
          <cell r="AM942">
            <v>40702</v>
          </cell>
          <cell r="AO942">
            <v>40.06691</v>
          </cell>
          <cell r="AT942">
            <v>40702</v>
          </cell>
          <cell r="AV942">
            <v>28.440280000000001</v>
          </cell>
          <cell r="BA942">
            <v>40702</v>
          </cell>
          <cell r="BC942">
            <v>19.32357</v>
          </cell>
          <cell r="BH942">
            <v>40702</v>
          </cell>
          <cell r="BJ942">
            <v>15.86107</v>
          </cell>
        </row>
        <row r="943">
          <cell r="D943">
            <v>40701</v>
          </cell>
          <cell r="F943">
            <v>148.05452</v>
          </cell>
          <cell r="K943">
            <v>40701</v>
          </cell>
          <cell r="M943">
            <v>13.7819</v>
          </cell>
          <cell r="R943">
            <v>40701</v>
          </cell>
          <cell r="T943">
            <v>7.71</v>
          </cell>
          <cell r="Y943">
            <v>40701</v>
          </cell>
          <cell r="AA943">
            <v>187.55</v>
          </cell>
          <cell r="AF943">
            <v>40701</v>
          </cell>
          <cell r="AH943">
            <v>44.166739999999997</v>
          </cell>
          <cell r="AM943">
            <v>40701</v>
          </cell>
          <cell r="AO943">
            <v>40.130679999999998</v>
          </cell>
          <cell r="AT943">
            <v>40701</v>
          </cell>
          <cell r="AV943">
            <v>28.35331</v>
          </cell>
          <cell r="BA943">
            <v>40701</v>
          </cell>
          <cell r="BC943">
            <v>19.706410000000002</v>
          </cell>
          <cell r="BH943">
            <v>40701</v>
          </cell>
          <cell r="BJ943">
            <v>15.83536</v>
          </cell>
        </row>
        <row r="944">
          <cell r="D944">
            <v>40700</v>
          </cell>
          <cell r="F944">
            <v>149.01327000000001</v>
          </cell>
          <cell r="K944">
            <v>40700</v>
          </cell>
          <cell r="M944">
            <v>14.20842</v>
          </cell>
          <cell r="R944">
            <v>40700</v>
          </cell>
          <cell r="T944">
            <v>7.8</v>
          </cell>
          <cell r="Y944">
            <v>40700</v>
          </cell>
          <cell r="AA944">
            <v>185.69</v>
          </cell>
          <cell r="AF944">
            <v>40700</v>
          </cell>
          <cell r="AH944">
            <v>44.964840000000002</v>
          </cell>
          <cell r="AM944">
            <v>40700</v>
          </cell>
          <cell r="AO944">
            <v>40.194450000000003</v>
          </cell>
          <cell r="AT944">
            <v>40700</v>
          </cell>
          <cell r="AV944">
            <v>28.448979999999999</v>
          </cell>
          <cell r="BA944">
            <v>40700</v>
          </cell>
          <cell r="BC944">
            <v>19.792539999999999</v>
          </cell>
          <cell r="BH944">
            <v>40700</v>
          </cell>
          <cell r="BJ944">
            <v>15.81822</v>
          </cell>
        </row>
        <row r="945">
          <cell r="D945">
            <v>40697</v>
          </cell>
          <cell r="F945">
            <v>149.28460999999999</v>
          </cell>
          <cell r="K945">
            <v>40697</v>
          </cell>
          <cell r="M945">
            <v>14.226190000000001</v>
          </cell>
          <cell r="R945">
            <v>40697</v>
          </cell>
          <cell r="T945">
            <v>7.97</v>
          </cell>
          <cell r="Y945">
            <v>40697</v>
          </cell>
          <cell r="AA945">
            <v>188.32</v>
          </cell>
          <cell r="AF945">
            <v>40697</v>
          </cell>
          <cell r="AH945">
            <v>45.683120000000002</v>
          </cell>
          <cell r="AM945">
            <v>40697</v>
          </cell>
          <cell r="AO945">
            <v>40.130679999999998</v>
          </cell>
          <cell r="AT945">
            <v>40697</v>
          </cell>
          <cell r="AV945">
            <v>28.49682</v>
          </cell>
          <cell r="BA945">
            <v>40697</v>
          </cell>
          <cell r="BC945">
            <v>19.601130000000001</v>
          </cell>
          <cell r="BH945">
            <v>40697</v>
          </cell>
          <cell r="BJ945">
            <v>16.1267</v>
          </cell>
        </row>
        <row r="946">
          <cell r="D946">
            <v>40696</v>
          </cell>
          <cell r="F946">
            <v>150.22526999999999</v>
          </cell>
          <cell r="K946">
            <v>40696</v>
          </cell>
          <cell r="M946">
            <v>14.439450000000001</v>
          </cell>
          <cell r="R946">
            <v>40696</v>
          </cell>
          <cell r="T946">
            <v>8.2349999999999994</v>
          </cell>
          <cell r="Y946">
            <v>40696</v>
          </cell>
          <cell r="AA946">
            <v>193.65</v>
          </cell>
          <cell r="AF946">
            <v>40696</v>
          </cell>
          <cell r="AH946">
            <v>46.037210000000002</v>
          </cell>
          <cell r="AM946">
            <v>40696</v>
          </cell>
          <cell r="AO946">
            <v>40.458649999999999</v>
          </cell>
          <cell r="AT946">
            <v>40696</v>
          </cell>
          <cell r="AV946">
            <v>28.718599999999999</v>
          </cell>
          <cell r="BA946">
            <v>40696</v>
          </cell>
          <cell r="BC946">
            <v>20.309370000000001</v>
          </cell>
          <cell r="BH946">
            <v>40696</v>
          </cell>
          <cell r="BJ946">
            <v>16.358059999999998</v>
          </cell>
        </row>
        <row r="947">
          <cell r="D947">
            <v>40695</v>
          </cell>
          <cell r="F947">
            <v>150.65038000000001</v>
          </cell>
          <cell r="K947">
            <v>40695</v>
          </cell>
          <cell r="M947">
            <v>14.554970000000001</v>
          </cell>
          <cell r="R947">
            <v>40695</v>
          </cell>
          <cell r="T947">
            <v>8.3699999999999992</v>
          </cell>
          <cell r="Y947">
            <v>40695</v>
          </cell>
          <cell r="AA947">
            <v>192.39500000000001</v>
          </cell>
          <cell r="AF947">
            <v>40695</v>
          </cell>
          <cell r="AH947">
            <v>45.958469999999998</v>
          </cell>
          <cell r="AM947">
            <v>40695</v>
          </cell>
          <cell r="AO947">
            <v>40.549750000000003</v>
          </cell>
          <cell r="AT947">
            <v>40695</v>
          </cell>
          <cell r="AV947">
            <v>29.031700000000001</v>
          </cell>
          <cell r="BA947">
            <v>40695</v>
          </cell>
          <cell r="BC947">
            <v>20.376370000000001</v>
          </cell>
          <cell r="BH947">
            <v>40695</v>
          </cell>
          <cell r="BJ947">
            <v>16.392340000000001</v>
          </cell>
        </row>
        <row r="948">
          <cell r="D948">
            <v>40694</v>
          </cell>
          <cell r="F948">
            <v>152.79400000000001</v>
          </cell>
          <cell r="K948">
            <v>40694</v>
          </cell>
          <cell r="M948">
            <v>14.92817</v>
          </cell>
          <cell r="R948">
            <v>40694</v>
          </cell>
          <cell r="T948">
            <v>8.68</v>
          </cell>
          <cell r="Y948">
            <v>40694</v>
          </cell>
          <cell r="AA948">
            <v>196.69</v>
          </cell>
          <cell r="AF948">
            <v>40694</v>
          </cell>
          <cell r="AH948">
            <v>46.267069999999997</v>
          </cell>
          <cell r="AM948">
            <v>40694</v>
          </cell>
          <cell r="AO948">
            <v>41.378790000000002</v>
          </cell>
          <cell r="AT948">
            <v>40694</v>
          </cell>
          <cell r="AV948">
            <v>29.053450000000002</v>
          </cell>
          <cell r="BA948">
            <v>40694</v>
          </cell>
          <cell r="BC948">
            <v>21.55358</v>
          </cell>
          <cell r="BH948">
            <v>40694</v>
          </cell>
          <cell r="BJ948">
            <v>16.829360000000001</v>
          </cell>
        </row>
        <row r="949">
          <cell r="D949">
            <v>40690</v>
          </cell>
          <cell r="F949">
            <v>151.50058999999999</v>
          </cell>
          <cell r="K949">
            <v>40690</v>
          </cell>
          <cell r="M949">
            <v>14.626060000000001</v>
          </cell>
          <cell r="R949">
            <v>40690</v>
          </cell>
          <cell r="T949">
            <v>8.49</v>
          </cell>
          <cell r="Y949">
            <v>40690</v>
          </cell>
          <cell r="AA949">
            <v>194.13</v>
          </cell>
          <cell r="AF949">
            <v>40690</v>
          </cell>
          <cell r="AH949">
            <v>44.881039999999999</v>
          </cell>
          <cell r="AM949">
            <v>40690</v>
          </cell>
          <cell r="AO949">
            <v>41.315019999999997</v>
          </cell>
          <cell r="AT949">
            <v>40690</v>
          </cell>
          <cell r="AV949">
            <v>28.922989999999999</v>
          </cell>
          <cell r="BA949">
            <v>40690</v>
          </cell>
          <cell r="BC949">
            <v>21.42916</v>
          </cell>
          <cell r="BH949">
            <v>40690</v>
          </cell>
          <cell r="BJ949">
            <v>16.657979999999998</v>
          </cell>
        </row>
        <row r="950">
          <cell r="D950">
            <v>40689</v>
          </cell>
          <cell r="F950">
            <v>151.21116000000001</v>
          </cell>
          <cell r="K950">
            <v>40689</v>
          </cell>
          <cell r="M950">
            <v>14.439450000000001</v>
          </cell>
          <cell r="R950">
            <v>40689</v>
          </cell>
          <cell r="T950">
            <v>8.48</v>
          </cell>
          <cell r="Y950">
            <v>40689</v>
          </cell>
          <cell r="AA950">
            <v>195</v>
          </cell>
          <cell r="AF950">
            <v>40689</v>
          </cell>
          <cell r="AH950">
            <v>44.560470000000002</v>
          </cell>
          <cell r="AM950">
            <v>40689</v>
          </cell>
          <cell r="AO950">
            <v>41.324129999999997</v>
          </cell>
          <cell r="AT950">
            <v>40689</v>
          </cell>
          <cell r="AV950">
            <v>29.005610000000001</v>
          </cell>
          <cell r="BA950">
            <v>40689</v>
          </cell>
          <cell r="BC950">
            <v>20.979330000000001</v>
          </cell>
          <cell r="BH950">
            <v>40689</v>
          </cell>
          <cell r="BJ950">
            <v>16.640840000000001</v>
          </cell>
        </row>
        <row r="951">
          <cell r="D951">
            <v>40688</v>
          </cell>
          <cell r="F951">
            <v>151.72671</v>
          </cell>
          <cell r="K951">
            <v>40688</v>
          </cell>
          <cell r="M951">
            <v>14.386139999999999</v>
          </cell>
          <cell r="R951">
            <v>40688</v>
          </cell>
          <cell r="T951">
            <v>8.43</v>
          </cell>
          <cell r="Y951">
            <v>40688</v>
          </cell>
          <cell r="AA951">
            <v>192.26</v>
          </cell>
          <cell r="AF951">
            <v>40688</v>
          </cell>
          <cell r="AH951">
            <v>44.797229999999999</v>
          </cell>
          <cell r="AM951">
            <v>40688</v>
          </cell>
          <cell r="AO951">
            <v>41.032600000000002</v>
          </cell>
          <cell r="AT951">
            <v>40688</v>
          </cell>
          <cell r="AV951">
            <v>29.09693</v>
          </cell>
          <cell r="BA951">
            <v>40688</v>
          </cell>
          <cell r="BC951">
            <v>20.653919999999999</v>
          </cell>
          <cell r="BH951">
            <v>40688</v>
          </cell>
          <cell r="BJ951">
            <v>16.469460000000002</v>
          </cell>
        </row>
        <row r="952">
          <cell r="D952">
            <v>40687</v>
          </cell>
          <cell r="F952">
            <v>151.94379000000001</v>
          </cell>
          <cell r="K952">
            <v>40687</v>
          </cell>
          <cell r="M952">
            <v>14.457229999999999</v>
          </cell>
          <cell r="R952">
            <v>40687</v>
          </cell>
          <cell r="T952">
            <v>8.39</v>
          </cell>
          <cell r="Y952">
            <v>40687</v>
          </cell>
          <cell r="AA952">
            <v>193.27</v>
          </cell>
          <cell r="AF952">
            <v>40687</v>
          </cell>
          <cell r="AH952">
            <v>44.186689999999999</v>
          </cell>
          <cell r="AM952">
            <v>40687</v>
          </cell>
          <cell r="AO952">
            <v>40.741070000000001</v>
          </cell>
          <cell r="AT952">
            <v>40687</v>
          </cell>
          <cell r="AV952">
            <v>29.34046</v>
          </cell>
          <cell r="BA952">
            <v>40687</v>
          </cell>
          <cell r="BC952">
            <v>20.567779999999999</v>
          </cell>
          <cell r="BH952">
            <v>40687</v>
          </cell>
          <cell r="BJ952">
            <v>16.366630000000001</v>
          </cell>
        </row>
        <row r="953">
          <cell r="D953">
            <v>40686</v>
          </cell>
          <cell r="F953">
            <v>152.18799999999999</v>
          </cell>
          <cell r="K953">
            <v>40686</v>
          </cell>
          <cell r="M953">
            <v>14.528309999999999</v>
          </cell>
          <cell r="R953">
            <v>40686</v>
          </cell>
          <cell r="T953">
            <v>8.49</v>
          </cell>
          <cell r="Y953">
            <v>40686</v>
          </cell>
          <cell r="AA953">
            <v>196.22</v>
          </cell>
          <cell r="AF953">
            <v>40686</v>
          </cell>
          <cell r="AH953">
            <v>44.48066</v>
          </cell>
          <cell r="AM953">
            <v>40686</v>
          </cell>
          <cell r="AO953">
            <v>40.476869999999998</v>
          </cell>
          <cell r="AT953">
            <v>40686</v>
          </cell>
          <cell r="AV953">
            <v>29.349160000000001</v>
          </cell>
          <cell r="BA953">
            <v>40686</v>
          </cell>
          <cell r="BC953">
            <v>20.519929999999999</v>
          </cell>
          <cell r="BH953">
            <v>40686</v>
          </cell>
          <cell r="BJ953">
            <v>16.615130000000001</v>
          </cell>
        </row>
        <row r="954">
          <cell r="D954">
            <v>40683</v>
          </cell>
          <cell r="F954">
            <v>153.90651</v>
          </cell>
          <cell r="K954">
            <v>40683</v>
          </cell>
          <cell r="M954">
            <v>14.68826</v>
          </cell>
          <cell r="R954">
            <v>40683</v>
          </cell>
          <cell r="T954">
            <v>8.6199999999999992</v>
          </cell>
          <cell r="Y954">
            <v>40683</v>
          </cell>
          <cell r="AA954">
            <v>198.65</v>
          </cell>
          <cell r="AF954">
            <v>40683</v>
          </cell>
          <cell r="AH954">
            <v>44.589730000000003</v>
          </cell>
          <cell r="AM954">
            <v>40683</v>
          </cell>
          <cell r="AO954">
            <v>40.923270000000002</v>
          </cell>
          <cell r="AT954">
            <v>40683</v>
          </cell>
          <cell r="AV954">
            <v>29.7014</v>
          </cell>
          <cell r="BA954">
            <v>40683</v>
          </cell>
          <cell r="BC954">
            <v>20.74006</v>
          </cell>
          <cell r="BH954">
            <v>40683</v>
          </cell>
          <cell r="BJ954">
            <v>16.81222</v>
          </cell>
        </row>
        <row r="955">
          <cell r="D955">
            <v>40682</v>
          </cell>
          <cell r="F955">
            <v>154.29544000000001</v>
          </cell>
          <cell r="K955">
            <v>40682</v>
          </cell>
          <cell r="M955">
            <v>14.80377</v>
          </cell>
          <cell r="R955">
            <v>40682</v>
          </cell>
          <cell r="T955">
            <v>8.64</v>
          </cell>
          <cell r="Y955">
            <v>40682</v>
          </cell>
          <cell r="AA955">
            <v>198.80500000000001</v>
          </cell>
          <cell r="AF955">
            <v>40682</v>
          </cell>
          <cell r="AH955">
            <v>45.296050000000001</v>
          </cell>
          <cell r="AM955">
            <v>40682</v>
          </cell>
          <cell r="AO955">
            <v>41.223909999999997</v>
          </cell>
          <cell r="AT955">
            <v>40682</v>
          </cell>
          <cell r="AV955">
            <v>29.770980000000002</v>
          </cell>
          <cell r="BA955">
            <v>40682</v>
          </cell>
          <cell r="BC955">
            <v>20.969760000000001</v>
          </cell>
          <cell r="BH955">
            <v>40682</v>
          </cell>
          <cell r="BJ955">
            <v>17.103560000000002</v>
          </cell>
        </row>
        <row r="956">
          <cell r="D956">
            <v>40681</v>
          </cell>
          <cell r="F956">
            <v>154.15976000000001</v>
          </cell>
          <cell r="K956">
            <v>40681</v>
          </cell>
          <cell r="M956">
            <v>14.794890000000001</v>
          </cell>
          <cell r="R956">
            <v>40681</v>
          </cell>
          <cell r="T956">
            <v>8.67</v>
          </cell>
          <cell r="Y956">
            <v>40681</v>
          </cell>
          <cell r="AA956">
            <v>197.09</v>
          </cell>
          <cell r="AF956">
            <v>40681</v>
          </cell>
          <cell r="AH956">
            <v>45.208260000000003</v>
          </cell>
          <cell r="AM956">
            <v>40681</v>
          </cell>
          <cell r="AO956">
            <v>41.488109999999999</v>
          </cell>
          <cell r="AT956">
            <v>40681</v>
          </cell>
          <cell r="AV956">
            <v>29.7014</v>
          </cell>
          <cell r="BA956">
            <v>40681</v>
          </cell>
          <cell r="BC956">
            <v>20.883620000000001</v>
          </cell>
          <cell r="BH956">
            <v>40681</v>
          </cell>
          <cell r="BJ956">
            <v>16.932179999999999</v>
          </cell>
        </row>
        <row r="957">
          <cell r="D957">
            <v>40680</v>
          </cell>
          <cell r="F957">
            <v>154.21403000000001</v>
          </cell>
          <cell r="K957">
            <v>40680</v>
          </cell>
          <cell r="M957">
            <v>14.786</v>
          </cell>
          <cell r="R957">
            <v>40680</v>
          </cell>
          <cell r="T957">
            <v>8.5399999999999991</v>
          </cell>
          <cell r="Y957">
            <v>40680</v>
          </cell>
          <cell r="AA957">
            <v>194.81</v>
          </cell>
          <cell r="AF957">
            <v>40680</v>
          </cell>
          <cell r="AH957">
            <v>44.712110000000003</v>
          </cell>
          <cell r="AM957">
            <v>40680</v>
          </cell>
          <cell r="AO957">
            <v>40.795729999999999</v>
          </cell>
          <cell r="AT957">
            <v>40680</v>
          </cell>
          <cell r="AV957">
            <v>29.566590000000001</v>
          </cell>
          <cell r="BA957">
            <v>40680</v>
          </cell>
          <cell r="BC957">
            <v>20.606069999999999</v>
          </cell>
          <cell r="BH957">
            <v>40680</v>
          </cell>
          <cell r="BJ957">
            <v>16.78651</v>
          </cell>
        </row>
        <row r="958">
          <cell r="D958">
            <v>40679</v>
          </cell>
          <cell r="F958">
            <v>152.73068000000001</v>
          </cell>
          <cell r="K958">
            <v>40679</v>
          </cell>
          <cell r="M958">
            <v>14.75046</v>
          </cell>
          <cell r="R958">
            <v>40679</v>
          </cell>
          <cell r="T958">
            <v>8.67</v>
          </cell>
          <cell r="Y958">
            <v>40679</v>
          </cell>
          <cell r="AA958">
            <v>192.51</v>
          </cell>
          <cell r="AF958">
            <v>40679</v>
          </cell>
          <cell r="AH958">
            <v>44.334339999999997</v>
          </cell>
          <cell r="AM958">
            <v>40679</v>
          </cell>
          <cell r="AO958">
            <v>40.941490000000002</v>
          </cell>
          <cell r="AT958">
            <v>40679</v>
          </cell>
          <cell r="AV958">
            <v>29.49701</v>
          </cell>
          <cell r="BA958">
            <v>40679</v>
          </cell>
          <cell r="BC958">
            <v>20.232800000000001</v>
          </cell>
          <cell r="BH958">
            <v>40679</v>
          </cell>
          <cell r="BJ958">
            <v>16.932179999999999</v>
          </cell>
        </row>
        <row r="959">
          <cell r="D959">
            <v>40676</v>
          </cell>
          <cell r="F959">
            <v>153.68942999999999</v>
          </cell>
          <cell r="K959">
            <v>40676</v>
          </cell>
          <cell r="M959">
            <v>14.99926</v>
          </cell>
          <cell r="R959">
            <v>40676</v>
          </cell>
          <cell r="T959">
            <v>8.9</v>
          </cell>
          <cell r="Y959">
            <v>40676</v>
          </cell>
          <cell r="AA959">
            <v>202.56</v>
          </cell>
          <cell r="AF959">
            <v>40676</v>
          </cell>
          <cell r="AH959">
            <v>45.292059999999999</v>
          </cell>
          <cell r="AM959">
            <v>40676</v>
          </cell>
          <cell r="AO959">
            <v>40.495089999999998</v>
          </cell>
          <cell r="AT959">
            <v>40676</v>
          </cell>
          <cell r="AV959">
            <v>29.64921</v>
          </cell>
          <cell r="BA959">
            <v>40676</v>
          </cell>
          <cell r="BC959">
            <v>21.386089999999999</v>
          </cell>
          <cell r="BH959">
            <v>40676</v>
          </cell>
          <cell r="BJ959">
            <v>17.043579999999999</v>
          </cell>
        </row>
        <row r="960">
          <cell r="D960">
            <v>40675</v>
          </cell>
          <cell r="F960">
            <v>155.78783000000001</v>
          </cell>
          <cell r="K960">
            <v>40675</v>
          </cell>
          <cell r="M960">
            <v>15.04369</v>
          </cell>
          <cell r="R960">
            <v>40675</v>
          </cell>
          <cell r="T960">
            <v>8.93</v>
          </cell>
          <cell r="Y960">
            <v>40675</v>
          </cell>
          <cell r="AA960">
            <v>206.07</v>
          </cell>
          <cell r="AF960">
            <v>40675</v>
          </cell>
          <cell r="AH960">
            <v>46.099469999999997</v>
          </cell>
          <cell r="AM960">
            <v>40675</v>
          </cell>
          <cell r="AO960">
            <v>40.886830000000003</v>
          </cell>
          <cell r="AT960">
            <v>40675</v>
          </cell>
          <cell r="AV960">
            <v>29.705749999999998</v>
          </cell>
          <cell r="BA960">
            <v>40675</v>
          </cell>
          <cell r="BC960">
            <v>21.716290000000001</v>
          </cell>
          <cell r="BH960">
            <v>40675</v>
          </cell>
          <cell r="BJ960">
            <v>17.2578</v>
          </cell>
        </row>
        <row r="961">
          <cell r="D961">
            <v>40674</v>
          </cell>
          <cell r="F961">
            <v>153.30955</v>
          </cell>
          <cell r="K961">
            <v>40674</v>
          </cell>
          <cell r="M961">
            <v>15.79898</v>
          </cell>
          <cell r="R961">
            <v>40674</v>
          </cell>
          <cell r="T961">
            <v>8.8800000000000008</v>
          </cell>
          <cell r="Y961">
            <v>40674</v>
          </cell>
          <cell r="AA961">
            <v>204.38</v>
          </cell>
          <cell r="AF961">
            <v>40674</v>
          </cell>
          <cell r="AH961">
            <v>46.187260000000002</v>
          </cell>
          <cell r="AM961">
            <v>40674</v>
          </cell>
          <cell r="AO961">
            <v>40.877719999999997</v>
          </cell>
          <cell r="AT961">
            <v>40674</v>
          </cell>
          <cell r="AV961">
            <v>29.275230000000001</v>
          </cell>
          <cell r="BA961">
            <v>40674</v>
          </cell>
          <cell r="BC961">
            <v>22.568090000000002</v>
          </cell>
          <cell r="BH961">
            <v>40674</v>
          </cell>
          <cell r="BJ961">
            <v>17.214960000000001</v>
          </cell>
        </row>
        <row r="962">
          <cell r="D962">
            <v>40673</v>
          </cell>
          <cell r="F962">
            <v>154.10550000000001</v>
          </cell>
          <cell r="K962">
            <v>40673</v>
          </cell>
          <cell r="M962">
            <v>15.807869999999999</v>
          </cell>
          <cell r="R962">
            <v>40673</v>
          </cell>
          <cell r="T962">
            <v>8.94</v>
          </cell>
          <cell r="Y962">
            <v>40673</v>
          </cell>
          <cell r="AA962">
            <v>203.94</v>
          </cell>
          <cell r="AF962">
            <v>40673</v>
          </cell>
          <cell r="AH962">
            <v>46.482550000000003</v>
          </cell>
          <cell r="AM962">
            <v>40673</v>
          </cell>
          <cell r="AO962">
            <v>41.324129999999997</v>
          </cell>
          <cell r="AT962">
            <v>40673</v>
          </cell>
          <cell r="AV962">
            <v>29.283930000000002</v>
          </cell>
          <cell r="BA962">
            <v>40673</v>
          </cell>
          <cell r="BC962">
            <v>24.376989999999999</v>
          </cell>
          <cell r="BH962">
            <v>40673</v>
          </cell>
          <cell r="BJ962">
            <v>17.3949</v>
          </cell>
        </row>
        <row r="963">
          <cell r="D963">
            <v>40672</v>
          </cell>
          <cell r="F963">
            <v>152.94775999999999</v>
          </cell>
          <cell r="K963">
            <v>40672</v>
          </cell>
          <cell r="M963">
            <v>15.63904</v>
          </cell>
          <cell r="R963">
            <v>40672</v>
          </cell>
          <cell r="T963">
            <v>8.94</v>
          </cell>
          <cell r="Y963">
            <v>40672</v>
          </cell>
          <cell r="AA963">
            <v>200.8</v>
          </cell>
          <cell r="AF963">
            <v>40672</v>
          </cell>
          <cell r="AH963">
            <v>46.236469999999997</v>
          </cell>
          <cell r="AM963">
            <v>40672</v>
          </cell>
          <cell r="AO963">
            <v>41.269460000000002</v>
          </cell>
          <cell r="AT963">
            <v>40672</v>
          </cell>
          <cell r="AV963">
            <v>29.114329999999999</v>
          </cell>
          <cell r="BA963">
            <v>40672</v>
          </cell>
          <cell r="BC963">
            <v>23.305050000000001</v>
          </cell>
          <cell r="BH963">
            <v>40672</v>
          </cell>
          <cell r="BJ963">
            <v>17.19782</v>
          </cell>
        </row>
        <row r="964">
          <cell r="D964">
            <v>40669</v>
          </cell>
          <cell r="F964">
            <v>152.75782000000001</v>
          </cell>
          <cell r="K964">
            <v>40669</v>
          </cell>
          <cell r="M964">
            <v>15.6035</v>
          </cell>
          <cell r="R964">
            <v>40669</v>
          </cell>
          <cell r="T964">
            <v>8.92</v>
          </cell>
          <cell r="Y964">
            <v>40669</v>
          </cell>
          <cell r="AA964">
            <v>197.6</v>
          </cell>
          <cell r="AF964">
            <v>40669</v>
          </cell>
          <cell r="AH964">
            <v>46.111440000000002</v>
          </cell>
          <cell r="AM964">
            <v>40669</v>
          </cell>
          <cell r="AO964">
            <v>40.613529999999997</v>
          </cell>
          <cell r="AT964">
            <v>40669</v>
          </cell>
          <cell r="AV964">
            <v>29.092580000000002</v>
          </cell>
          <cell r="BA964">
            <v>40669</v>
          </cell>
          <cell r="BC964">
            <v>22.625520000000002</v>
          </cell>
          <cell r="BH964">
            <v>40669</v>
          </cell>
          <cell r="BJ964">
            <v>17.146409999999999</v>
          </cell>
        </row>
        <row r="965">
          <cell r="D965">
            <v>40668</v>
          </cell>
          <cell r="F965">
            <v>151.69053</v>
          </cell>
          <cell r="K965">
            <v>40668</v>
          </cell>
          <cell r="M965">
            <v>15.53241</v>
          </cell>
          <cell r="R965">
            <v>40668</v>
          </cell>
          <cell r="T965">
            <v>8.8699999999999992</v>
          </cell>
          <cell r="Y965">
            <v>40668</v>
          </cell>
          <cell r="AA965">
            <v>197.11</v>
          </cell>
          <cell r="AF965">
            <v>40668</v>
          </cell>
          <cell r="AH965">
            <v>46.12341</v>
          </cell>
          <cell r="AM965">
            <v>40668</v>
          </cell>
          <cell r="AO965">
            <v>40.668190000000003</v>
          </cell>
          <cell r="AT965">
            <v>40668</v>
          </cell>
          <cell r="AV965">
            <v>29.005610000000001</v>
          </cell>
          <cell r="BA965">
            <v>40668</v>
          </cell>
          <cell r="BC965">
            <v>23.07535</v>
          </cell>
          <cell r="BH965">
            <v>40668</v>
          </cell>
          <cell r="BJ965">
            <v>17.052150000000001</v>
          </cell>
        </row>
        <row r="966">
          <cell r="D966">
            <v>40667</v>
          </cell>
          <cell r="F966">
            <v>153.63551000000001</v>
          </cell>
          <cell r="K966">
            <v>40667</v>
          </cell>
          <cell r="M966">
            <v>15.52352</v>
          </cell>
          <cell r="R966">
            <v>40667</v>
          </cell>
          <cell r="T966">
            <v>8.7899999999999991</v>
          </cell>
          <cell r="Y966">
            <v>40667</v>
          </cell>
          <cell r="AA966">
            <v>199.97</v>
          </cell>
          <cell r="AF966">
            <v>40667</v>
          </cell>
          <cell r="AH966">
            <v>46.498510000000003</v>
          </cell>
          <cell r="AM966">
            <v>40667</v>
          </cell>
          <cell r="AO966">
            <v>40.595300000000002</v>
          </cell>
          <cell r="AT966">
            <v>40667</v>
          </cell>
          <cell r="AV966">
            <v>29.336110000000001</v>
          </cell>
          <cell r="BA966">
            <v>40667</v>
          </cell>
          <cell r="BC966">
            <v>23.381620000000002</v>
          </cell>
          <cell r="BH966">
            <v>40667</v>
          </cell>
          <cell r="BJ966">
            <v>17.369199999999999</v>
          </cell>
        </row>
        <row r="967">
          <cell r="D967">
            <v>40666</v>
          </cell>
          <cell r="F967">
            <v>155.66153</v>
          </cell>
          <cell r="K967">
            <v>40666</v>
          </cell>
          <cell r="M967">
            <v>15.47021</v>
          </cell>
          <cell r="R967">
            <v>40666</v>
          </cell>
          <cell r="T967">
            <v>8.8000000000000007</v>
          </cell>
          <cell r="Y967">
            <v>40666</v>
          </cell>
          <cell r="AA967">
            <v>198.45</v>
          </cell>
          <cell r="AF967">
            <v>40666</v>
          </cell>
          <cell r="AH967">
            <v>46.316279999999999</v>
          </cell>
          <cell r="AM967">
            <v>40666</v>
          </cell>
          <cell r="AO967">
            <v>40.549750000000003</v>
          </cell>
          <cell r="AT967">
            <v>40666</v>
          </cell>
          <cell r="AV967">
            <v>29.518750000000001</v>
          </cell>
          <cell r="BA967">
            <v>40666</v>
          </cell>
          <cell r="BC967">
            <v>23.984580000000001</v>
          </cell>
          <cell r="BH967">
            <v>40666</v>
          </cell>
          <cell r="BJ967">
            <v>17.686250000000001</v>
          </cell>
        </row>
        <row r="968">
          <cell r="D968">
            <v>40665</v>
          </cell>
          <cell r="F968">
            <v>155.01320999999999</v>
          </cell>
          <cell r="K968">
            <v>40665</v>
          </cell>
          <cell r="M968">
            <v>15.621270000000001</v>
          </cell>
          <cell r="R968">
            <v>40665</v>
          </cell>
          <cell r="T968">
            <v>9.0299999999999994</v>
          </cell>
          <cell r="Y968">
            <v>40665</v>
          </cell>
          <cell r="AA968">
            <v>201.19</v>
          </cell>
          <cell r="AF968">
            <v>40665</v>
          </cell>
          <cell r="AH968">
            <v>46.060890000000001</v>
          </cell>
          <cell r="AM968">
            <v>40665</v>
          </cell>
          <cell r="AO968">
            <v>40.376660000000001</v>
          </cell>
          <cell r="AT968">
            <v>40665</v>
          </cell>
          <cell r="AV968">
            <v>29.449169999999999</v>
          </cell>
          <cell r="BA968">
            <v>40665</v>
          </cell>
          <cell r="BC968">
            <v>24.845960000000002</v>
          </cell>
          <cell r="BH968">
            <v>40665</v>
          </cell>
          <cell r="BJ968">
            <v>17.549140000000001</v>
          </cell>
        </row>
        <row r="969">
          <cell r="D969">
            <v>40662</v>
          </cell>
          <cell r="F969">
            <v>153.59949</v>
          </cell>
          <cell r="K969">
            <v>40662</v>
          </cell>
          <cell r="M969">
            <v>15.56795</v>
          </cell>
          <cell r="R969">
            <v>40662</v>
          </cell>
          <cell r="T969">
            <v>9.1</v>
          </cell>
          <cell r="Y969">
            <v>40662</v>
          </cell>
          <cell r="AA969">
            <v>195.81</v>
          </cell>
          <cell r="AF969">
            <v>40662</v>
          </cell>
          <cell r="AH969">
            <v>46.573</v>
          </cell>
          <cell r="AM969">
            <v>40662</v>
          </cell>
          <cell r="AO969">
            <v>39.802709999999998</v>
          </cell>
          <cell r="AT969">
            <v>40662</v>
          </cell>
          <cell r="AV969">
            <v>29.336110000000001</v>
          </cell>
          <cell r="BA969">
            <v>40662</v>
          </cell>
          <cell r="BC969">
            <v>24.903379999999999</v>
          </cell>
          <cell r="BH969">
            <v>40662</v>
          </cell>
          <cell r="BJ969">
            <v>17.523440000000001</v>
          </cell>
        </row>
        <row r="970">
          <cell r="D970">
            <v>40661</v>
          </cell>
          <cell r="F970">
            <v>153.77958000000001</v>
          </cell>
          <cell r="K970">
            <v>40661</v>
          </cell>
          <cell r="M970">
            <v>15.363580000000001</v>
          </cell>
          <cell r="R970">
            <v>40661</v>
          </cell>
          <cell r="T970">
            <v>9.07</v>
          </cell>
          <cell r="Y970">
            <v>40661</v>
          </cell>
          <cell r="AA970">
            <v>195.07</v>
          </cell>
          <cell r="AF970">
            <v>40661</v>
          </cell>
          <cell r="AH970">
            <v>46.12341</v>
          </cell>
          <cell r="AM970">
            <v>40661</v>
          </cell>
          <cell r="AO970">
            <v>39.620510000000003</v>
          </cell>
          <cell r="AT970">
            <v>40661</v>
          </cell>
          <cell r="AV970">
            <v>29.31437</v>
          </cell>
          <cell r="BA970">
            <v>40661</v>
          </cell>
          <cell r="BC970">
            <v>26.970690000000001</v>
          </cell>
          <cell r="BH970">
            <v>40661</v>
          </cell>
          <cell r="BJ970">
            <v>17.651969999999999</v>
          </cell>
        </row>
        <row r="971">
          <cell r="D971">
            <v>40660</v>
          </cell>
          <cell r="F971">
            <v>153.41040000000001</v>
          </cell>
          <cell r="K971">
            <v>40660</v>
          </cell>
          <cell r="M971">
            <v>15.27472</v>
          </cell>
          <cell r="R971">
            <v>40660</v>
          </cell>
          <cell r="T971">
            <v>8.9499999999999993</v>
          </cell>
          <cell r="Y971">
            <v>40660</v>
          </cell>
          <cell r="AA971">
            <v>196.63</v>
          </cell>
          <cell r="AF971">
            <v>40660</v>
          </cell>
          <cell r="AH971">
            <v>46.575659999999999</v>
          </cell>
          <cell r="AM971">
            <v>40660</v>
          </cell>
          <cell r="AO971">
            <v>40.185339999999997</v>
          </cell>
          <cell r="AT971">
            <v>40660</v>
          </cell>
          <cell r="AV971">
            <v>29.13607</v>
          </cell>
          <cell r="BA971">
            <v>40660</v>
          </cell>
          <cell r="BC971">
            <v>26.597429999999999</v>
          </cell>
          <cell r="BH971">
            <v>40660</v>
          </cell>
          <cell r="BJ971">
            <v>17.69482</v>
          </cell>
        </row>
        <row r="972">
          <cell r="D972">
            <v>40659</v>
          </cell>
          <cell r="F972">
            <v>151.71754000000001</v>
          </cell>
          <cell r="K972">
            <v>40659</v>
          </cell>
          <cell r="M972">
            <v>15.56795</v>
          </cell>
          <cell r="R972">
            <v>40659</v>
          </cell>
          <cell r="T972">
            <v>8.8800000000000008</v>
          </cell>
          <cell r="Y972">
            <v>40659</v>
          </cell>
          <cell r="AA972">
            <v>182.3</v>
          </cell>
          <cell r="AF972">
            <v>40659</v>
          </cell>
          <cell r="AH972">
            <v>46.611579999999996</v>
          </cell>
          <cell r="AM972">
            <v>40659</v>
          </cell>
          <cell r="AO972">
            <v>39.392749999999999</v>
          </cell>
          <cell r="AT972">
            <v>40659</v>
          </cell>
          <cell r="AV972">
            <v>29.105630000000001</v>
          </cell>
          <cell r="BA972">
            <v>40659</v>
          </cell>
          <cell r="BC972">
            <v>26.82713</v>
          </cell>
          <cell r="BH972">
            <v>40659</v>
          </cell>
          <cell r="BJ972">
            <v>17.22353</v>
          </cell>
        </row>
        <row r="973">
          <cell r="D973">
            <v>40658</v>
          </cell>
          <cell r="F973">
            <v>150.97917000000001</v>
          </cell>
          <cell r="K973">
            <v>40658</v>
          </cell>
          <cell r="M973">
            <v>15.194750000000001</v>
          </cell>
          <cell r="R973">
            <v>40658</v>
          </cell>
          <cell r="T973">
            <v>8.6999999999999993</v>
          </cell>
          <cell r="Y973">
            <v>40658</v>
          </cell>
          <cell r="AA973">
            <v>185.42</v>
          </cell>
          <cell r="AF973">
            <v>40658</v>
          </cell>
          <cell r="AH973">
            <v>46.955959999999997</v>
          </cell>
          <cell r="AM973">
            <v>40658</v>
          </cell>
          <cell r="AO973">
            <v>39.073889999999999</v>
          </cell>
          <cell r="AT973">
            <v>40658</v>
          </cell>
          <cell r="AV973">
            <v>29.45787</v>
          </cell>
          <cell r="BA973">
            <v>40658</v>
          </cell>
          <cell r="BC973">
            <v>26.243310000000001</v>
          </cell>
          <cell r="BH973">
            <v>40658</v>
          </cell>
          <cell r="BJ973">
            <v>17.043579999999999</v>
          </cell>
        </row>
        <row r="974">
          <cell r="D974">
            <v>40654</v>
          </cell>
          <cell r="F974">
            <v>151.52844999999999</v>
          </cell>
          <cell r="K974">
            <v>40654</v>
          </cell>
          <cell r="M974">
            <v>15.052580000000001</v>
          </cell>
          <cell r="R974">
            <v>40654</v>
          </cell>
          <cell r="T974">
            <v>8.7100000000000009</v>
          </cell>
          <cell r="Y974">
            <v>40654</v>
          </cell>
          <cell r="AA974">
            <v>185.89</v>
          </cell>
          <cell r="AF974">
            <v>40654</v>
          </cell>
          <cell r="AH974">
            <v>46.648290000000003</v>
          </cell>
          <cell r="AM974">
            <v>40654</v>
          </cell>
          <cell r="AO974">
            <v>39.137659999999997</v>
          </cell>
          <cell r="AT974">
            <v>40654</v>
          </cell>
          <cell r="AV974">
            <v>29.518750000000001</v>
          </cell>
          <cell r="BA974">
            <v>40654</v>
          </cell>
          <cell r="BC974">
            <v>26.090170000000001</v>
          </cell>
          <cell r="BH974">
            <v>40654</v>
          </cell>
          <cell r="BJ974">
            <v>17.094989999999999</v>
          </cell>
        </row>
        <row r="975">
          <cell r="D975">
            <v>40653</v>
          </cell>
          <cell r="F975">
            <v>148.34985</v>
          </cell>
          <cell r="K975">
            <v>40653</v>
          </cell>
          <cell r="M975">
            <v>15.04369</v>
          </cell>
          <cell r="R975">
            <v>40653</v>
          </cell>
          <cell r="T975">
            <v>8.6300000000000008</v>
          </cell>
          <cell r="Y975">
            <v>40653</v>
          </cell>
          <cell r="AA975">
            <v>183.87</v>
          </cell>
          <cell r="AF975">
            <v>40653</v>
          </cell>
          <cell r="AH975">
            <v>45.546120000000002</v>
          </cell>
          <cell r="AM975">
            <v>40653</v>
          </cell>
          <cell r="AO975">
            <v>38.809690000000003</v>
          </cell>
          <cell r="AT975">
            <v>40653</v>
          </cell>
          <cell r="AV975">
            <v>29.505710000000001</v>
          </cell>
          <cell r="BA975">
            <v>40653</v>
          </cell>
          <cell r="BC975">
            <v>25.592490000000002</v>
          </cell>
          <cell r="BH975">
            <v>40653</v>
          </cell>
          <cell r="BJ975">
            <v>17.480589999999999</v>
          </cell>
        </row>
        <row r="976">
          <cell r="D976">
            <v>40652</v>
          </cell>
          <cell r="F976">
            <v>148.93513999999999</v>
          </cell>
          <cell r="K976">
            <v>40652</v>
          </cell>
          <cell r="M976">
            <v>14.75934</v>
          </cell>
          <cell r="R976">
            <v>40652</v>
          </cell>
          <cell r="T976">
            <v>8.27</v>
          </cell>
          <cell r="Y976">
            <v>40652</v>
          </cell>
          <cell r="AA976">
            <v>178.82</v>
          </cell>
          <cell r="AF976">
            <v>40652</v>
          </cell>
          <cell r="AH976">
            <v>44.940890000000003</v>
          </cell>
          <cell r="AM976">
            <v>40652</v>
          </cell>
          <cell r="AO976">
            <v>38.244860000000003</v>
          </cell>
          <cell r="AT976">
            <v>40652</v>
          </cell>
          <cell r="AV976">
            <v>29.175170000000001</v>
          </cell>
          <cell r="BA976">
            <v>40652</v>
          </cell>
          <cell r="BC976">
            <v>24.769390000000001</v>
          </cell>
          <cell r="BH976">
            <v>40652</v>
          </cell>
          <cell r="BJ976">
            <v>17.369109999999999</v>
          </cell>
        </row>
        <row r="977">
          <cell r="D977">
            <v>40651</v>
          </cell>
          <cell r="F977">
            <v>149.42139</v>
          </cell>
          <cell r="K977">
            <v>40651</v>
          </cell>
          <cell r="M977">
            <v>14.865970000000001</v>
          </cell>
          <cell r="R977">
            <v>40651</v>
          </cell>
          <cell r="T977">
            <v>8.1999999999999993</v>
          </cell>
          <cell r="Y977">
            <v>40651</v>
          </cell>
          <cell r="AA977">
            <v>178.34</v>
          </cell>
          <cell r="AF977">
            <v>40651</v>
          </cell>
          <cell r="AH977">
            <v>44.141460000000002</v>
          </cell>
          <cell r="AM977">
            <v>40651</v>
          </cell>
          <cell r="AO977">
            <v>37.588920000000002</v>
          </cell>
          <cell r="AT977">
            <v>40651</v>
          </cell>
          <cell r="AV977">
            <v>29.270879999999998</v>
          </cell>
          <cell r="BA977">
            <v>40651</v>
          </cell>
          <cell r="BC977">
            <v>24.778960000000001</v>
          </cell>
          <cell r="BH977">
            <v>40651</v>
          </cell>
          <cell r="BJ977">
            <v>17.120699999999999</v>
          </cell>
        </row>
        <row r="978">
          <cell r="D978">
            <v>40648</v>
          </cell>
          <cell r="F978">
            <v>149.66451000000001</v>
          </cell>
          <cell r="K978">
            <v>40648</v>
          </cell>
          <cell r="M978">
            <v>15.13255</v>
          </cell>
          <cell r="R978">
            <v>40648</v>
          </cell>
          <cell r="T978">
            <v>8.27</v>
          </cell>
          <cell r="Y978">
            <v>40648</v>
          </cell>
          <cell r="AA978">
            <v>180.01</v>
          </cell>
          <cell r="AF978">
            <v>40648</v>
          </cell>
          <cell r="AH978">
            <v>43.557519999999997</v>
          </cell>
          <cell r="AM978">
            <v>40648</v>
          </cell>
          <cell r="AO978">
            <v>37.324719999999999</v>
          </cell>
          <cell r="AT978">
            <v>40648</v>
          </cell>
          <cell r="AV978">
            <v>29.575289999999999</v>
          </cell>
          <cell r="BA978">
            <v>40648</v>
          </cell>
          <cell r="BC978">
            <v>25.18094</v>
          </cell>
          <cell r="BH978">
            <v>40648</v>
          </cell>
          <cell r="BJ978">
            <v>17.17211</v>
          </cell>
        </row>
        <row r="979">
          <cell r="D979">
            <v>40647</v>
          </cell>
          <cell r="F979">
            <v>148.54794999999999</v>
          </cell>
          <cell r="K979">
            <v>40647</v>
          </cell>
          <cell r="M979">
            <v>15.25695</v>
          </cell>
          <cell r="R979">
            <v>40647</v>
          </cell>
          <cell r="T979">
            <v>8.19</v>
          </cell>
          <cell r="Y979">
            <v>40647</v>
          </cell>
          <cell r="AA979">
            <v>181.82</v>
          </cell>
          <cell r="AF979">
            <v>40647</v>
          </cell>
          <cell r="AH979">
            <v>44.217280000000002</v>
          </cell>
          <cell r="AM979">
            <v>40647</v>
          </cell>
          <cell r="AO979">
            <v>37.033189999999998</v>
          </cell>
          <cell r="AT979">
            <v>40647</v>
          </cell>
          <cell r="AV979">
            <v>29.705749999999998</v>
          </cell>
          <cell r="BA979">
            <v>40647</v>
          </cell>
          <cell r="BC979">
            <v>25.12351</v>
          </cell>
          <cell r="BH979">
            <v>40647</v>
          </cell>
          <cell r="BJ979">
            <v>17.137840000000001</v>
          </cell>
        </row>
        <row r="980">
          <cell r="D980">
            <v>40646</v>
          </cell>
          <cell r="F980">
            <v>147.62948</v>
          </cell>
          <cell r="K980">
            <v>40646</v>
          </cell>
          <cell r="M980">
            <v>15.32804</v>
          </cell>
          <cell r="R980">
            <v>40646</v>
          </cell>
          <cell r="T980">
            <v>8.1999999999999993</v>
          </cell>
          <cell r="Y980">
            <v>40646</v>
          </cell>
          <cell r="AA980">
            <v>182.29</v>
          </cell>
          <cell r="AF980">
            <v>40646</v>
          </cell>
          <cell r="AH980">
            <v>44.710769999999997</v>
          </cell>
          <cell r="AM980">
            <v>40646</v>
          </cell>
          <cell r="AO980">
            <v>37.424939999999999</v>
          </cell>
          <cell r="AT980">
            <v>40646</v>
          </cell>
          <cell r="AV980">
            <v>29.257829999999998</v>
          </cell>
          <cell r="BA980">
            <v>40646</v>
          </cell>
          <cell r="BC980">
            <v>25.008659999999999</v>
          </cell>
          <cell r="BH980">
            <v>40646</v>
          </cell>
          <cell r="BJ980">
            <v>17.08642</v>
          </cell>
        </row>
        <row r="981">
          <cell r="D981">
            <v>40645</v>
          </cell>
          <cell r="F981">
            <v>146.99915999999999</v>
          </cell>
          <cell r="K981">
            <v>40645</v>
          </cell>
          <cell r="M981">
            <v>15.496869999999999</v>
          </cell>
          <cell r="R981">
            <v>40645</v>
          </cell>
          <cell r="T981">
            <v>8.26</v>
          </cell>
          <cell r="Y981">
            <v>40645</v>
          </cell>
          <cell r="AA981">
            <v>180.48</v>
          </cell>
          <cell r="AF981">
            <v>40645</v>
          </cell>
          <cell r="AH981">
            <v>44.214619999999996</v>
          </cell>
          <cell r="AM981">
            <v>40645</v>
          </cell>
          <cell r="AO981">
            <v>37.525149999999996</v>
          </cell>
          <cell r="AT981">
            <v>40645</v>
          </cell>
          <cell r="AV981">
            <v>29.092580000000002</v>
          </cell>
          <cell r="BA981">
            <v>40645</v>
          </cell>
          <cell r="BC981">
            <v>25.688199999999998</v>
          </cell>
          <cell r="BH981">
            <v>40645</v>
          </cell>
          <cell r="BJ981">
            <v>17.146409999999999</v>
          </cell>
        </row>
        <row r="982">
          <cell r="D982">
            <v>40644</v>
          </cell>
          <cell r="F982">
            <v>147.62948</v>
          </cell>
          <cell r="K982">
            <v>40644</v>
          </cell>
          <cell r="M982">
            <v>15.52352</v>
          </cell>
          <cell r="R982">
            <v>40644</v>
          </cell>
          <cell r="T982">
            <v>8.42</v>
          </cell>
          <cell r="Y982">
            <v>40644</v>
          </cell>
          <cell r="AA982">
            <v>184.04</v>
          </cell>
          <cell r="AF982">
            <v>40644</v>
          </cell>
          <cell r="AH982">
            <v>44.001800000000003</v>
          </cell>
          <cell r="AM982">
            <v>40644</v>
          </cell>
          <cell r="AO982">
            <v>38.244860000000003</v>
          </cell>
          <cell r="AT982">
            <v>40644</v>
          </cell>
          <cell r="AV982">
            <v>29.310020000000002</v>
          </cell>
          <cell r="BA982">
            <v>40644</v>
          </cell>
          <cell r="BC982">
            <v>26.03275</v>
          </cell>
          <cell r="BH982">
            <v>40644</v>
          </cell>
          <cell r="BJ982">
            <v>17.292079999999999</v>
          </cell>
        </row>
        <row r="983">
          <cell r="D983">
            <v>40641</v>
          </cell>
          <cell r="F983">
            <v>147.71952999999999</v>
          </cell>
          <cell r="K983">
            <v>40641</v>
          </cell>
          <cell r="M983">
            <v>15.68347</v>
          </cell>
          <cell r="R983">
            <v>40641</v>
          </cell>
          <cell r="T983">
            <v>8.4700000000000006</v>
          </cell>
          <cell r="Y983">
            <v>40641</v>
          </cell>
          <cell r="AA983">
            <v>184.71</v>
          </cell>
          <cell r="AF983">
            <v>40641</v>
          </cell>
          <cell r="AH983">
            <v>44.568449999999999</v>
          </cell>
          <cell r="AM983">
            <v>40641</v>
          </cell>
          <cell r="AO983">
            <v>38.427059999999997</v>
          </cell>
          <cell r="AT983">
            <v>40641</v>
          </cell>
          <cell r="AV983">
            <v>29.25348</v>
          </cell>
          <cell r="BA983">
            <v>40641</v>
          </cell>
          <cell r="BC983">
            <v>26.463439999999999</v>
          </cell>
          <cell r="BH983">
            <v>40641</v>
          </cell>
          <cell r="BJ983">
            <v>17.300650000000001</v>
          </cell>
        </row>
        <row r="984">
          <cell r="D984">
            <v>40640</v>
          </cell>
          <cell r="F984">
            <v>148.01668000000001</v>
          </cell>
          <cell r="K984">
            <v>40640</v>
          </cell>
          <cell r="M984">
            <v>15.9145</v>
          </cell>
          <cell r="R984">
            <v>40640</v>
          </cell>
          <cell r="T984">
            <v>8.41</v>
          </cell>
          <cell r="Y984">
            <v>40640</v>
          </cell>
          <cell r="AA984">
            <v>184.91</v>
          </cell>
          <cell r="AF984">
            <v>40640</v>
          </cell>
          <cell r="AH984">
            <v>44.97016</v>
          </cell>
          <cell r="AM984">
            <v>40640</v>
          </cell>
          <cell r="AO984">
            <v>38.481729999999999</v>
          </cell>
          <cell r="AT984">
            <v>40640</v>
          </cell>
          <cell r="AV984">
            <v>29.32741</v>
          </cell>
          <cell r="BA984">
            <v>40640</v>
          </cell>
          <cell r="BC984">
            <v>27.229099999999999</v>
          </cell>
          <cell r="BH984">
            <v>40640</v>
          </cell>
          <cell r="BJ984">
            <v>17.437750000000001</v>
          </cell>
        </row>
        <row r="985">
          <cell r="D985">
            <v>40639</v>
          </cell>
          <cell r="F985">
            <v>147.71052</v>
          </cell>
          <cell r="K985">
            <v>40639</v>
          </cell>
          <cell r="M985">
            <v>16.05667</v>
          </cell>
          <cell r="R985">
            <v>40639</v>
          </cell>
          <cell r="T985">
            <v>8.43</v>
          </cell>
          <cell r="Y985">
            <v>40639</v>
          </cell>
          <cell r="AA985">
            <v>182.76</v>
          </cell>
          <cell r="AF985">
            <v>40639</v>
          </cell>
          <cell r="AH985">
            <v>44.964840000000002</v>
          </cell>
          <cell r="AM985">
            <v>40639</v>
          </cell>
          <cell r="AO985">
            <v>38.463500000000003</v>
          </cell>
          <cell r="AT985">
            <v>40639</v>
          </cell>
          <cell r="AV985">
            <v>29.410039999999999</v>
          </cell>
          <cell r="BA985">
            <v>40639</v>
          </cell>
          <cell r="BC985">
            <v>28.004339999999999</v>
          </cell>
          <cell r="BH985">
            <v>40639</v>
          </cell>
          <cell r="BJ985">
            <v>17.60913</v>
          </cell>
        </row>
        <row r="986">
          <cell r="D986">
            <v>40638</v>
          </cell>
          <cell r="F986">
            <v>147.66550000000001</v>
          </cell>
          <cell r="K986">
            <v>40638</v>
          </cell>
          <cell r="M986">
            <v>15.30138</v>
          </cell>
          <cell r="R986">
            <v>40638</v>
          </cell>
          <cell r="T986">
            <v>8.11</v>
          </cell>
          <cell r="Y986">
            <v>40638</v>
          </cell>
          <cell r="AA986">
            <v>185.29</v>
          </cell>
          <cell r="AF986">
            <v>40638</v>
          </cell>
          <cell r="AH986">
            <v>45.0779</v>
          </cell>
          <cell r="AM986">
            <v>40638</v>
          </cell>
          <cell r="AO986">
            <v>38.135539999999999</v>
          </cell>
          <cell r="AT986">
            <v>40638</v>
          </cell>
          <cell r="AV986">
            <v>29.34046</v>
          </cell>
          <cell r="BA986">
            <v>40638</v>
          </cell>
          <cell r="BC986">
            <v>27.899059999999999</v>
          </cell>
          <cell r="BH986">
            <v>40638</v>
          </cell>
          <cell r="BJ986">
            <v>17.42061</v>
          </cell>
        </row>
        <row r="987">
          <cell r="D987">
            <v>40637</v>
          </cell>
          <cell r="F987">
            <v>147.89962</v>
          </cell>
          <cell r="K987">
            <v>40637</v>
          </cell>
          <cell r="M987">
            <v>15.15921</v>
          </cell>
          <cell r="R987">
            <v>40637</v>
          </cell>
          <cell r="T987">
            <v>8.1</v>
          </cell>
          <cell r="Y987">
            <v>40637</v>
          </cell>
          <cell r="AA987">
            <v>182.94</v>
          </cell>
          <cell r="AF987">
            <v>40637</v>
          </cell>
          <cell r="AH987">
            <v>45.383839999999999</v>
          </cell>
          <cell r="AM987">
            <v>40637</v>
          </cell>
          <cell r="AO987">
            <v>38.317740000000001</v>
          </cell>
          <cell r="AT987">
            <v>40637</v>
          </cell>
          <cell r="AV987">
            <v>29.423079999999999</v>
          </cell>
          <cell r="BA987">
            <v>40637</v>
          </cell>
          <cell r="BC987">
            <v>27.602370000000001</v>
          </cell>
          <cell r="BH987">
            <v>40637</v>
          </cell>
          <cell r="BJ987">
            <v>17.591989999999999</v>
          </cell>
        </row>
        <row r="988">
          <cell r="D988">
            <v>40634</v>
          </cell>
          <cell r="F988">
            <v>147.91763</v>
          </cell>
          <cell r="K988">
            <v>40634</v>
          </cell>
          <cell r="M988">
            <v>15.14143</v>
          </cell>
          <cell r="R988">
            <v>40634</v>
          </cell>
          <cell r="T988">
            <v>8.36</v>
          </cell>
          <cell r="Y988">
            <v>40634</v>
          </cell>
          <cell r="AA988">
            <v>180.13</v>
          </cell>
          <cell r="AF988">
            <v>40634</v>
          </cell>
          <cell r="AH988">
            <v>45.832099999999997</v>
          </cell>
          <cell r="AM988">
            <v>40634</v>
          </cell>
          <cell r="AO988">
            <v>38.454389999999997</v>
          </cell>
          <cell r="AT988">
            <v>40634</v>
          </cell>
          <cell r="AV988">
            <v>29.231739999999999</v>
          </cell>
          <cell r="BA988">
            <v>40634</v>
          </cell>
          <cell r="BC988">
            <v>27.822500000000002</v>
          </cell>
          <cell r="BH988">
            <v>40634</v>
          </cell>
          <cell r="BJ988">
            <v>17.429179999999999</v>
          </cell>
        </row>
        <row r="989">
          <cell r="D989">
            <v>40633</v>
          </cell>
          <cell r="F989">
            <v>146.83707999999999</v>
          </cell>
          <cell r="K989">
            <v>40633</v>
          </cell>
          <cell r="M989">
            <v>15.239179999999999</v>
          </cell>
          <cell r="R989">
            <v>40633</v>
          </cell>
          <cell r="T989">
            <v>8.6</v>
          </cell>
          <cell r="Y989">
            <v>40633</v>
          </cell>
          <cell r="AA989">
            <v>180.13</v>
          </cell>
          <cell r="AF989">
            <v>40633</v>
          </cell>
          <cell r="AH989">
            <v>46.35718</v>
          </cell>
          <cell r="AM989">
            <v>40633</v>
          </cell>
          <cell r="AO989">
            <v>37.470489999999998</v>
          </cell>
          <cell r="AT989">
            <v>40633</v>
          </cell>
          <cell r="AV989">
            <v>28.849060000000001</v>
          </cell>
          <cell r="BA989">
            <v>40633</v>
          </cell>
          <cell r="BC989">
            <v>26.76013</v>
          </cell>
          <cell r="BH989">
            <v>40633</v>
          </cell>
          <cell r="BJ989">
            <v>17.180679999999999</v>
          </cell>
        </row>
        <row r="990">
          <cell r="D990">
            <v>40632</v>
          </cell>
          <cell r="F990">
            <v>147.31432000000001</v>
          </cell>
          <cell r="K990">
            <v>40632</v>
          </cell>
          <cell r="M990">
            <v>15.39912</v>
          </cell>
          <cell r="R990">
            <v>40632</v>
          </cell>
          <cell r="T990">
            <v>8.7899999999999991</v>
          </cell>
          <cell r="Y990">
            <v>40632</v>
          </cell>
          <cell r="AA990">
            <v>179.42</v>
          </cell>
          <cell r="AF990">
            <v>40632</v>
          </cell>
          <cell r="AH990">
            <v>46.373480000000001</v>
          </cell>
          <cell r="AM990">
            <v>40632</v>
          </cell>
          <cell r="AO990">
            <v>37.853119999999997</v>
          </cell>
          <cell r="AT990">
            <v>40632</v>
          </cell>
          <cell r="AV990">
            <v>28.718599999999999</v>
          </cell>
          <cell r="BA990">
            <v>40632</v>
          </cell>
          <cell r="BC990">
            <v>24.60669</v>
          </cell>
          <cell r="BH990">
            <v>40632</v>
          </cell>
          <cell r="BJ990">
            <v>17.232089999999999</v>
          </cell>
        </row>
        <row r="991">
          <cell r="D991">
            <v>40631</v>
          </cell>
          <cell r="F991">
            <v>146.666</v>
          </cell>
          <cell r="K991">
            <v>40631</v>
          </cell>
          <cell r="M991">
            <v>15.496869999999999</v>
          </cell>
          <cell r="R991">
            <v>40631</v>
          </cell>
          <cell r="T991">
            <v>8.68</v>
          </cell>
          <cell r="Y991">
            <v>40631</v>
          </cell>
          <cell r="AA991">
            <v>174.62</v>
          </cell>
          <cell r="AF991">
            <v>40631</v>
          </cell>
          <cell r="AH991">
            <v>46.683410000000002</v>
          </cell>
          <cell r="AM991">
            <v>40631</v>
          </cell>
          <cell r="AO991">
            <v>37.711910000000003</v>
          </cell>
          <cell r="AT991">
            <v>40631</v>
          </cell>
          <cell r="AV991">
            <v>28.579440000000002</v>
          </cell>
          <cell r="BA991">
            <v>40631</v>
          </cell>
          <cell r="BC991">
            <v>24.080290000000002</v>
          </cell>
          <cell r="BH991">
            <v>40631</v>
          </cell>
          <cell r="BJ991">
            <v>17.017869999999998</v>
          </cell>
        </row>
        <row r="992">
          <cell r="D992">
            <v>40630</v>
          </cell>
          <cell r="F992">
            <v>145.30631</v>
          </cell>
          <cell r="K992">
            <v>40630</v>
          </cell>
          <cell r="M992">
            <v>15.221410000000001</v>
          </cell>
          <cell r="R992">
            <v>40630</v>
          </cell>
          <cell r="T992">
            <v>8.69</v>
          </cell>
          <cell r="Y992">
            <v>40630</v>
          </cell>
          <cell r="AA992">
            <v>169.35</v>
          </cell>
          <cell r="AF992">
            <v>40630</v>
          </cell>
          <cell r="AH992">
            <v>46.614240000000002</v>
          </cell>
          <cell r="AM992">
            <v>40630</v>
          </cell>
          <cell r="AO992">
            <v>37.621229999999997</v>
          </cell>
          <cell r="AT992">
            <v>40630</v>
          </cell>
          <cell r="AV992">
            <v>28.27938</v>
          </cell>
          <cell r="BA992">
            <v>40630</v>
          </cell>
          <cell r="BC992">
            <v>23.888870000000001</v>
          </cell>
          <cell r="BH992">
            <v>40630</v>
          </cell>
          <cell r="BJ992">
            <v>16.92361</v>
          </cell>
        </row>
        <row r="993">
          <cell r="D993">
            <v>40627</v>
          </cell>
          <cell r="F993">
            <v>146.03568000000001</v>
          </cell>
          <cell r="K993">
            <v>40627</v>
          </cell>
          <cell r="M993">
            <v>15.3011</v>
          </cell>
          <cell r="R993">
            <v>40627</v>
          </cell>
          <cell r="T993">
            <v>8.8800000000000008</v>
          </cell>
          <cell r="Y993">
            <v>40627</v>
          </cell>
          <cell r="AA993">
            <v>170.98</v>
          </cell>
          <cell r="AF993">
            <v>40627</v>
          </cell>
          <cell r="AH993">
            <v>46.760559999999998</v>
          </cell>
          <cell r="AM993">
            <v>40627</v>
          </cell>
          <cell r="AO993">
            <v>37.467080000000003</v>
          </cell>
          <cell r="AT993">
            <v>40627</v>
          </cell>
          <cell r="AV993">
            <v>28.362010000000001</v>
          </cell>
          <cell r="BA993">
            <v>40627</v>
          </cell>
          <cell r="BC993">
            <v>24.113430000000001</v>
          </cell>
          <cell r="BH993">
            <v>40627</v>
          </cell>
          <cell r="BJ993">
            <v>16.92361</v>
          </cell>
        </row>
        <row r="994">
          <cell r="D994">
            <v>40626</v>
          </cell>
          <cell r="F994">
            <v>144.10871</v>
          </cell>
          <cell r="K994">
            <v>40626</v>
          </cell>
          <cell r="M994">
            <v>15.37194</v>
          </cell>
          <cell r="R994">
            <v>40626</v>
          </cell>
          <cell r="T994">
            <v>8.83</v>
          </cell>
          <cell r="Y994">
            <v>40626</v>
          </cell>
          <cell r="AA994">
            <v>171.1</v>
          </cell>
          <cell r="AF994">
            <v>40626</v>
          </cell>
          <cell r="AH994">
            <v>45.88664</v>
          </cell>
          <cell r="AM994">
            <v>40626</v>
          </cell>
          <cell r="AO994">
            <v>36.923029999999997</v>
          </cell>
          <cell r="AT994">
            <v>40626</v>
          </cell>
          <cell r="AV994">
            <v>28.131530000000001</v>
          </cell>
          <cell r="BA994">
            <v>40626</v>
          </cell>
          <cell r="BC994">
            <v>24.624649999999999</v>
          </cell>
          <cell r="BH994">
            <v>40626</v>
          </cell>
          <cell r="BJ994">
            <v>16.94932</v>
          </cell>
        </row>
        <row r="995">
          <cell r="D995">
            <v>40625</v>
          </cell>
          <cell r="F995">
            <v>143.64947000000001</v>
          </cell>
          <cell r="K995">
            <v>40625</v>
          </cell>
          <cell r="M995">
            <v>15.566739999999999</v>
          </cell>
          <cell r="R995">
            <v>40625</v>
          </cell>
          <cell r="T995">
            <v>8.59</v>
          </cell>
          <cell r="Y995">
            <v>40625</v>
          </cell>
          <cell r="AA995">
            <v>165.32</v>
          </cell>
          <cell r="AF995">
            <v>40625</v>
          </cell>
          <cell r="AH995">
            <v>45.117800000000003</v>
          </cell>
          <cell r="AM995">
            <v>40625</v>
          </cell>
          <cell r="AO995">
            <v>36.369909999999997</v>
          </cell>
          <cell r="AT995">
            <v>40625</v>
          </cell>
          <cell r="AV995">
            <v>27.948879999999999</v>
          </cell>
          <cell r="BA995">
            <v>40625</v>
          </cell>
          <cell r="BC995">
            <v>24.280650000000001</v>
          </cell>
          <cell r="BH995">
            <v>40625</v>
          </cell>
          <cell r="BJ995">
            <v>16.735099999999999</v>
          </cell>
        </row>
        <row r="996">
          <cell r="D996">
            <v>40624</v>
          </cell>
          <cell r="F996">
            <v>142.27178000000001</v>
          </cell>
          <cell r="K996">
            <v>40624</v>
          </cell>
          <cell r="M996">
            <v>15.45163</v>
          </cell>
          <cell r="R996">
            <v>40624</v>
          </cell>
          <cell r="T996">
            <v>8.36</v>
          </cell>
          <cell r="Y996">
            <v>40624</v>
          </cell>
          <cell r="AA996">
            <v>162.6</v>
          </cell>
          <cell r="AF996">
            <v>40624</v>
          </cell>
          <cell r="AH996">
            <v>45.385170000000002</v>
          </cell>
          <cell r="AM996">
            <v>40624</v>
          </cell>
          <cell r="AO996">
            <v>37.059049999999999</v>
          </cell>
          <cell r="AT996">
            <v>40624</v>
          </cell>
          <cell r="AV996">
            <v>27.618390000000002</v>
          </cell>
          <cell r="BA996">
            <v>40624</v>
          </cell>
          <cell r="BC996">
            <v>24.132539999999999</v>
          </cell>
          <cell r="BH996">
            <v>40624</v>
          </cell>
          <cell r="BJ996">
            <v>16.70082</v>
          </cell>
        </row>
        <row r="997">
          <cell r="D997">
            <v>40623</v>
          </cell>
          <cell r="F997">
            <v>141.98363000000001</v>
          </cell>
          <cell r="K997">
            <v>40623</v>
          </cell>
          <cell r="M997">
            <v>15.39629</v>
          </cell>
          <cell r="R997">
            <v>40623</v>
          </cell>
          <cell r="T997">
            <v>8.5500000000000007</v>
          </cell>
          <cell r="Y997">
            <v>40623</v>
          </cell>
          <cell r="AA997">
            <v>164.52500000000001</v>
          </cell>
          <cell r="AF997">
            <v>40623</v>
          </cell>
          <cell r="AH997">
            <v>45.132440000000003</v>
          </cell>
          <cell r="AM997">
            <v>40623</v>
          </cell>
          <cell r="AO997">
            <v>37.08625</v>
          </cell>
          <cell r="AT997">
            <v>40623</v>
          </cell>
          <cell r="AV997">
            <v>27.644480000000001</v>
          </cell>
          <cell r="BA997">
            <v>40623</v>
          </cell>
          <cell r="BC997">
            <v>24.25198</v>
          </cell>
          <cell r="BH997">
            <v>40623</v>
          </cell>
          <cell r="BJ997">
            <v>16.89791</v>
          </cell>
        </row>
        <row r="998">
          <cell r="D998">
            <v>40620</v>
          </cell>
          <cell r="F998">
            <v>140.37182000000001</v>
          </cell>
          <cell r="K998">
            <v>40620</v>
          </cell>
          <cell r="M998">
            <v>15.17713</v>
          </cell>
          <cell r="R998">
            <v>40620</v>
          </cell>
          <cell r="T998">
            <v>8.5500000000000007</v>
          </cell>
          <cell r="Y998">
            <v>40620</v>
          </cell>
          <cell r="AA998">
            <v>161.82</v>
          </cell>
          <cell r="AF998">
            <v>40620</v>
          </cell>
          <cell r="AH998">
            <v>43.98451</v>
          </cell>
          <cell r="AM998">
            <v>40620</v>
          </cell>
          <cell r="AO998">
            <v>36.67821</v>
          </cell>
          <cell r="AT998">
            <v>40620</v>
          </cell>
          <cell r="AV998">
            <v>27.26614</v>
          </cell>
          <cell r="BA998">
            <v>40620</v>
          </cell>
          <cell r="BC998">
            <v>23.640429999999999</v>
          </cell>
          <cell r="BH998">
            <v>40620</v>
          </cell>
          <cell r="BJ998">
            <v>16.495170000000002</v>
          </cell>
        </row>
        <row r="999">
          <cell r="D999">
            <v>40619</v>
          </cell>
          <cell r="F999">
            <v>138.83204000000001</v>
          </cell>
          <cell r="K999">
            <v>40619</v>
          </cell>
          <cell r="M999">
            <v>15.05316</v>
          </cell>
          <cell r="R999">
            <v>40619</v>
          </cell>
          <cell r="T999">
            <v>8.31</v>
          </cell>
          <cell r="Y999">
            <v>40619</v>
          </cell>
          <cell r="AA999">
            <v>160.97</v>
          </cell>
          <cell r="AF999">
            <v>40619</v>
          </cell>
          <cell r="AH999">
            <v>44.51258</v>
          </cell>
          <cell r="AM999">
            <v>40619</v>
          </cell>
          <cell r="AO999">
            <v>36.514989999999997</v>
          </cell>
          <cell r="AT999">
            <v>40619</v>
          </cell>
          <cell r="AV999">
            <v>27.083500000000001</v>
          </cell>
          <cell r="BA999">
            <v>40619</v>
          </cell>
          <cell r="BC999">
            <v>23.047979999999999</v>
          </cell>
          <cell r="BH999">
            <v>40619</v>
          </cell>
          <cell r="BJ999">
            <v>16.469460000000002</v>
          </cell>
        </row>
        <row r="1000">
          <cell r="D1000">
            <v>40618</v>
          </cell>
          <cell r="F1000">
            <v>137.76951</v>
          </cell>
          <cell r="K1000">
            <v>40618</v>
          </cell>
          <cell r="M1000">
            <v>15.097440000000001</v>
          </cell>
          <cell r="R1000">
            <v>40618</v>
          </cell>
          <cell r="T1000">
            <v>8.1199999999999992</v>
          </cell>
          <cell r="Y1000">
            <v>40618</v>
          </cell>
          <cell r="AA1000">
            <v>164.7</v>
          </cell>
          <cell r="AF1000">
            <v>40618</v>
          </cell>
          <cell r="AH1000">
            <v>43.896709999999999</v>
          </cell>
          <cell r="AM1000">
            <v>40618</v>
          </cell>
          <cell r="AO1000">
            <v>35.617310000000003</v>
          </cell>
          <cell r="AT1000">
            <v>40618</v>
          </cell>
          <cell r="AV1000">
            <v>26.787790000000001</v>
          </cell>
          <cell r="BA1000">
            <v>40618</v>
          </cell>
          <cell r="BC1000">
            <v>22.933319999999998</v>
          </cell>
          <cell r="BH1000">
            <v>40618</v>
          </cell>
          <cell r="BJ1000">
            <v>16.238099999999999</v>
          </cell>
        </row>
        <row r="1001">
          <cell r="D1001">
            <v>40617</v>
          </cell>
          <cell r="F1001">
            <v>143.19023999999999</v>
          </cell>
          <cell r="K1001">
            <v>40617</v>
          </cell>
          <cell r="M1001">
            <v>15.3985</v>
          </cell>
          <cell r="R1001">
            <v>40617</v>
          </cell>
          <cell r="T1001">
            <v>8.2799999999999994</v>
          </cell>
          <cell r="Y1001">
            <v>40617</v>
          </cell>
          <cell r="AA1001">
            <v>165.08</v>
          </cell>
          <cell r="AF1001">
            <v>40617</v>
          </cell>
          <cell r="AH1001">
            <v>45.947830000000003</v>
          </cell>
          <cell r="AM1001">
            <v>40617</v>
          </cell>
          <cell r="AO1001">
            <v>36.360840000000003</v>
          </cell>
          <cell r="AT1001">
            <v>40617</v>
          </cell>
          <cell r="AV1001">
            <v>27.409649999999999</v>
          </cell>
          <cell r="BA1001">
            <v>40617</v>
          </cell>
          <cell r="BC1001">
            <v>23.047979999999999</v>
          </cell>
          <cell r="BH1001">
            <v>40617</v>
          </cell>
          <cell r="BJ1001">
            <v>16.803650000000001</v>
          </cell>
        </row>
        <row r="1002">
          <cell r="D1002">
            <v>40616</v>
          </cell>
          <cell r="F1002">
            <v>145.32432</v>
          </cell>
          <cell r="K1002">
            <v>40616</v>
          </cell>
          <cell r="M1002">
            <v>15.805820000000001</v>
          </cell>
          <cell r="R1002">
            <v>40616</v>
          </cell>
          <cell r="T1002">
            <v>8.43</v>
          </cell>
          <cell r="Y1002">
            <v>40616</v>
          </cell>
          <cell r="AA1002">
            <v>166.73</v>
          </cell>
          <cell r="AF1002">
            <v>40616</v>
          </cell>
          <cell r="AH1002">
            <v>47.029249999999998</v>
          </cell>
          <cell r="AM1002">
            <v>40616</v>
          </cell>
          <cell r="AO1002">
            <v>36.53313</v>
          </cell>
          <cell r="AT1002">
            <v>40616</v>
          </cell>
          <cell r="AV1002">
            <v>27.80538</v>
          </cell>
          <cell r="BA1002">
            <v>40616</v>
          </cell>
          <cell r="BC1002">
            <v>23.12443</v>
          </cell>
          <cell r="BH1002">
            <v>40616</v>
          </cell>
          <cell r="BJ1002">
            <v>17.069279999999999</v>
          </cell>
        </row>
        <row r="1003">
          <cell r="D1003">
            <v>40613</v>
          </cell>
          <cell r="F1003">
            <v>146.26078999999999</v>
          </cell>
          <cell r="K1003">
            <v>40613</v>
          </cell>
          <cell r="M1003">
            <v>15.89437</v>
          </cell>
          <cell r="R1003">
            <v>40613</v>
          </cell>
          <cell r="T1003">
            <v>8.65</v>
          </cell>
          <cell r="Y1003">
            <v>40613</v>
          </cell>
          <cell r="AA1003">
            <v>168.07</v>
          </cell>
          <cell r="AF1003">
            <v>40613</v>
          </cell>
          <cell r="AH1003">
            <v>46.820410000000003</v>
          </cell>
          <cell r="AM1003">
            <v>40613</v>
          </cell>
          <cell r="AO1003">
            <v>36.841419999999999</v>
          </cell>
          <cell r="AT1003">
            <v>40613</v>
          </cell>
          <cell r="AV1003">
            <v>28.183710000000001</v>
          </cell>
          <cell r="BA1003">
            <v>40613</v>
          </cell>
          <cell r="BC1003">
            <v>23.27732</v>
          </cell>
          <cell r="BH1003">
            <v>40613</v>
          </cell>
          <cell r="BJ1003">
            <v>17.44632</v>
          </cell>
        </row>
        <row r="1004">
          <cell r="D1004">
            <v>40612</v>
          </cell>
          <cell r="F1004">
            <v>145.89161000000001</v>
          </cell>
          <cell r="K1004">
            <v>40612</v>
          </cell>
          <cell r="M1004">
            <v>15.86781</v>
          </cell>
          <cell r="R1004">
            <v>40612</v>
          </cell>
          <cell r="T1004">
            <v>8.42</v>
          </cell>
          <cell r="Y1004">
            <v>40612</v>
          </cell>
          <cell r="AA1004">
            <v>166.14</v>
          </cell>
          <cell r="AF1004">
            <v>40612</v>
          </cell>
          <cell r="AH1004">
            <v>46.112769999999998</v>
          </cell>
          <cell r="AM1004">
            <v>40612</v>
          </cell>
          <cell r="AO1004">
            <v>37.331069999999997</v>
          </cell>
          <cell r="AT1004">
            <v>40612</v>
          </cell>
          <cell r="AV1004">
            <v>28.18806</v>
          </cell>
          <cell r="BA1004">
            <v>40612</v>
          </cell>
          <cell r="BC1004">
            <v>23.076650000000001</v>
          </cell>
          <cell r="BH1004">
            <v>40612</v>
          </cell>
          <cell r="BJ1004">
            <v>17.22353</v>
          </cell>
        </row>
        <row r="1005">
          <cell r="D1005">
            <v>40611</v>
          </cell>
          <cell r="F1005">
            <v>149.34934999999999</v>
          </cell>
          <cell r="K1005">
            <v>40611</v>
          </cell>
          <cell r="M1005">
            <v>16.044899999999998</v>
          </cell>
          <cell r="R1005">
            <v>40611</v>
          </cell>
          <cell r="T1005">
            <v>8.67</v>
          </cell>
          <cell r="Y1005">
            <v>40611</v>
          </cell>
          <cell r="AA1005">
            <v>169.05</v>
          </cell>
          <cell r="AF1005">
            <v>40611</v>
          </cell>
          <cell r="AH1005">
            <v>46.884259999999998</v>
          </cell>
          <cell r="AM1005">
            <v>40611</v>
          </cell>
          <cell r="AO1005">
            <v>38.437309999999997</v>
          </cell>
          <cell r="AT1005">
            <v>40611</v>
          </cell>
          <cell r="AV1005">
            <v>28.33053</v>
          </cell>
          <cell r="BA1005">
            <v>40611</v>
          </cell>
          <cell r="BC1005">
            <v>23.83154</v>
          </cell>
          <cell r="BH1005">
            <v>40611</v>
          </cell>
          <cell r="BJ1005">
            <v>17.677679999999999</v>
          </cell>
        </row>
        <row r="1006">
          <cell r="D1006">
            <v>40610</v>
          </cell>
          <cell r="F1006">
            <v>146.12572</v>
          </cell>
          <cell r="K1006">
            <v>40610</v>
          </cell>
          <cell r="M1006">
            <v>16.13345</v>
          </cell>
          <cell r="R1006">
            <v>40610</v>
          </cell>
          <cell r="T1006">
            <v>8.99</v>
          </cell>
          <cell r="Y1006">
            <v>40610</v>
          </cell>
          <cell r="AA1006">
            <v>166.89</v>
          </cell>
          <cell r="AF1006">
            <v>40610</v>
          </cell>
          <cell r="AH1006">
            <v>47.321890000000003</v>
          </cell>
          <cell r="AM1006">
            <v>40610</v>
          </cell>
          <cell r="AO1006">
            <v>38.274099999999997</v>
          </cell>
          <cell r="AT1006">
            <v>40610</v>
          </cell>
          <cell r="AV1006">
            <v>28.339169999999999</v>
          </cell>
          <cell r="BA1006">
            <v>40610</v>
          </cell>
          <cell r="BC1006">
            <v>24.04176</v>
          </cell>
          <cell r="BH1006">
            <v>40610</v>
          </cell>
          <cell r="BJ1006">
            <v>17.675540000000002</v>
          </cell>
        </row>
        <row r="1007">
          <cell r="D1007">
            <v>40609</v>
          </cell>
          <cell r="F1007">
            <v>144.00966</v>
          </cell>
          <cell r="K1007">
            <v>40609</v>
          </cell>
          <cell r="M1007">
            <v>16.115739999999999</v>
          </cell>
          <cell r="R1007">
            <v>40609</v>
          </cell>
          <cell r="T1007">
            <v>8.84</v>
          </cell>
          <cell r="Y1007">
            <v>40609</v>
          </cell>
          <cell r="AA1007">
            <v>169.08</v>
          </cell>
          <cell r="AF1007">
            <v>40609</v>
          </cell>
          <cell r="AH1007">
            <v>47.268680000000003</v>
          </cell>
          <cell r="AM1007">
            <v>40609</v>
          </cell>
          <cell r="AO1007">
            <v>38.056480000000001</v>
          </cell>
          <cell r="AT1007">
            <v>40609</v>
          </cell>
          <cell r="AV1007">
            <v>28.15784</v>
          </cell>
          <cell r="BA1007">
            <v>40609</v>
          </cell>
          <cell r="BC1007">
            <v>24.032209999999999</v>
          </cell>
          <cell r="BH1007">
            <v>40609</v>
          </cell>
          <cell r="BJ1007">
            <v>17.463460000000001</v>
          </cell>
        </row>
        <row r="1008">
          <cell r="D1008">
            <v>40606</v>
          </cell>
          <cell r="F1008">
            <v>145.72051999999999</v>
          </cell>
          <cell r="K1008">
            <v>40606</v>
          </cell>
          <cell r="M1008">
            <v>16.292840000000002</v>
          </cell>
          <cell r="R1008">
            <v>40606</v>
          </cell>
          <cell r="T1008">
            <v>9.2249999999999996</v>
          </cell>
          <cell r="Y1008">
            <v>40606</v>
          </cell>
          <cell r="AA1008">
            <v>171.67</v>
          </cell>
          <cell r="AF1008">
            <v>40606</v>
          </cell>
          <cell r="AH1008">
            <v>47.885869999999997</v>
          </cell>
          <cell r="AM1008">
            <v>40606</v>
          </cell>
          <cell r="AO1008">
            <v>38.564259999999997</v>
          </cell>
          <cell r="AT1008">
            <v>40606</v>
          </cell>
          <cell r="AV1008">
            <v>28.15352</v>
          </cell>
          <cell r="BA1008">
            <v>40606</v>
          </cell>
          <cell r="BC1008">
            <v>24.185099999999998</v>
          </cell>
          <cell r="BH1008">
            <v>40606</v>
          </cell>
          <cell r="BJ1008">
            <v>17.454889999999999</v>
          </cell>
        </row>
        <row r="1009">
          <cell r="D1009">
            <v>40605</v>
          </cell>
          <cell r="F1009">
            <v>147.20626999999999</v>
          </cell>
          <cell r="K1009">
            <v>40605</v>
          </cell>
          <cell r="M1009">
            <v>16.40795</v>
          </cell>
          <cell r="R1009">
            <v>40605</v>
          </cell>
          <cell r="T1009">
            <v>9.2799999999999994</v>
          </cell>
          <cell r="Y1009">
            <v>40605</v>
          </cell>
          <cell r="AA1009">
            <v>172.79</v>
          </cell>
          <cell r="AF1009">
            <v>40605</v>
          </cell>
          <cell r="AH1009">
            <v>47.827350000000003</v>
          </cell>
          <cell r="AM1009">
            <v>40605</v>
          </cell>
          <cell r="AO1009">
            <v>38.845350000000003</v>
          </cell>
          <cell r="AT1009">
            <v>40605</v>
          </cell>
          <cell r="AV1009">
            <v>28.308949999999999</v>
          </cell>
          <cell r="BA1009">
            <v>40605</v>
          </cell>
          <cell r="BC1009">
            <v>24.271100000000001</v>
          </cell>
          <cell r="BH1009">
            <v>40605</v>
          </cell>
          <cell r="BJ1009">
            <v>17.78051</v>
          </cell>
        </row>
        <row r="1010">
          <cell r="D1010">
            <v>40604</v>
          </cell>
          <cell r="F1010">
            <v>144.21675999999999</v>
          </cell>
          <cell r="K1010">
            <v>40604</v>
          </cell>
          <cell r="M1010">
            <v>16.38139</v>
          </cell>
          <cell r="R1010">
            <v>40604</v>
          </cell>
          <cell r="T1010">
            <v>9.17</v>
          </cell>
          <cell r="Y1010">
            <v>40604</v>
          </cell>
          <cell r="AA1010">
            <v>172.02</v>
          </cell>
          <cell r="AF1010">
            <v>40604</v>
          </cell>
          <cell r="AH1010">
            <v>46.837710000000001</v>
          </cell>
          <cell r="AM1010">
            <v>40604</v>
          </cell>
          <cell r="AO1010">
            <v>37.303870000000003</v>
          </cell>
          <cell r="AT1010">
            <v>40604</v>
          </cell>
          <cell r="AV1010">
            <v>27.816770000000002</v>
          </cell>
          <cell r="BA1010">
            <v>40604</v>
          </cell>
          <cell r="BC1010">
            <v>24.385760000000001</v>
          </cell>
          <cell r="BH1010">
            <v>40604</v>
          </cell>
          <cell r="BJ1010">
            <v>17.412040000000001</v>
          </cell>
        </row>
        <row r="1011">
          <cell r="D1011">
            <v>40603</v>
          </cell>
          <cell r="F1011">
            <v>144.04567</v>
          </cell>
          <cell r="K1011">
            <v>40603</v>
          </cell>
          <cell r="M1011">
            <v>16.43451</v>
          </cell>
          <cell r="R1011">
            <v>40603</v>
          </cell>
          <cell r="T1011">
            <v>9.0250000000000004</v>
          </cell>
          <cell r="Y1011">
            <v>40603</v>
          </cell>
          <cell r="AA1011">
            <v>169.44</v>
          </cell>
          <cell r="AF1011">
            <v>40603</v>
          </cell>
          <cell r="AH1011">
            <v>46.463929999999998</v>
          </cell>
          <cell r="AM1011">
            <v>40603</v>
          </cell>
          <cell r="AO1011">
            <v>37.512419999999999</v>
          </cell>
          <cell r="AT1011">
            <v>40603</v>
          </cell>
          <cell r="AV1011">
            <v>28.024000000000001</v>
          </cell>
          <cell r="BA1011">
            <v>40603</v>
          </cell>
          <cell r="BC1011">
            <v>24.901759999999999</v>
          </cell>
          <cell r="BH1011">
            <v>40603</v>
          </cell>
          <cell r="BJ1011">
            <v>17.352060000000002</v>
          </cell>
        </row>
        <row r="1012">
          <cell r="D1012">
            <v>40602</v>
          </cell>
          <cell r="F1012">
            <v>145.76553999999999</v>
          </cell>
          <cell r="K1012">
            <v>40602</v>
          </cell>
          <cell r="M1012">
            <v>16.43451</v>
          </cell>
          <cell r="R1012">
            <v>40602</v>
          </cell>
          <cell r="T1012">
            <v>9.2100000000000009</v>
          </cell>
          <cell r="Y1012">
            <v>40602</v>
          </cell>
          <cell r="AA1012">
            <v>173.29</v>
          </cell>
          <cell r="AF1012">
            <v>40602</v>
          </cell>
          <cell r="AH1012">
            <v>46.982689999999998</v>
          </cell>
          <cell r="AM1012">
            <v>40602</v>
          </cell>
          <cell r="AO1012">
            <v>37.757249999999999</v>
          </cell>
          <cell r="AT1012">
            <v>40602</v>
          </cell>
          <cell r="AV1012">
            <v>27.596579999999999</v>
          </cell>
          <cell r="BA1012">
            <v>40602</v>
          </cell>
          <cell r="BC1012">
            <v>25.255320000000001</v>
          </cell>
          <cell r="BH1012">
            <v>40602</v>
          </cell>
          <cell r="BJ1012">
            <v>17.926179999999999</v>
          </cell>
        </row>
        <row r="1013">
          <cell r="D1013">
            <v>40599</v>
          </cell>
          <cell r="F1013">
            <v>146.12572</v>
          </cell>
          <cell r="K1013">
            <v>40599</v>
          </cell>
          <cell r="M1013">
            <v>16.50535</v>
          </cell>
          <cell r="R1013">
            <v>40599</v>
          </cell>
          <cell r="T1013">
            <v>9.2899999999999991</v>
          </cell>
          <cell r="Y1013">
            <v>40599</v>
          </cell>
          <cell r="AA1013">
            <v>177.24</v>
          </cell>
          <cell r="AF1013">
            <v>40599</v>
          </cell>
          <cell r="AH1013">
            <v>46.310960000000001</v>
          </cell>
          <cell r="AM1013">
            <v>40599</v>
          </cell>
          <cell r="AO1013">
            <v>37.412680000000002</v>
          </cell>
          <cell r="AT1013">
            <v>40599</v>
          </cell>
          <cell r="AV1013">
            <v>27.764959999999999</v>
          </cell>
          <cell r="BA1013">
            <v>40599</v>
          </cell>
          <cell r="BC1013">
            <v>23.745539999999998</v>
          </cell>
          <cell r="BH1013">
            <v>40599</v>
          </cell>
          <cell r="BJ1013">
            <v>17.840489999999999</v>
          </cell>
        </row>
        <row r="1014">
          <cell r="D1014">
            <v>40598</v>
          </cell>
          <cell r="F1014">
            <v>144.76604</v>
          </cell>
          <cell r="K1014">
            <v>40598</v>
          </cell>
          <cell r="M1014">
            <v>16.25742</v>
          </cell>
          <cell r="R1014">
            <v>40598</v>
          </cell>
          <cell r="T1014">
            <v>9.1</v>
          </cell>
          <cell r="Y1014">
            <v>40598</v>
          </cell>
          <cell r="AA1014">
            <v>177.75</v>
          </cell>
          <cell r="AF1014">
            <v>40598</v>
          </cell>
          <cell r="AH1014">
            <v>45.608629999999998</v>
          </cell>
          <cell r="AM1014">
            <v>40598</v>
          </cell>
          <cell r="AO1014">
            <v>36.714480000000002</v>
          </cell>
          <cell r="AT1014">
            <v>40598</v>
          </cell>
          <cell r="AV1014">
            <v>27.57931</v>
          </cell>
          <cell r="BA1014">
            <v>40598</v>
          </cell>
          <cell r="BC1014">
            <v>20.706880000000002</v>
          </cell>
          <cell r="BH1014">
            <v>40598</v>
          </cell>
          <cell r="BJ1014">
            <v>17.634830000000001</v>
          </cell>
        </row>
        <row r="1015">
          <cell r="D1015">
            <v>40597</v>
          </cell>
          <cell r="F1015">
            <v>144.23477</v>
          </cell>
          <cell r="K1015">
            <v>40597</v>
          </cell>
          <cell r="M1015">
            <v>16.292840000000002</v>
          </cell>
          <cell r="R1015">
            <v>40597</v>
          </cell>
          <cell r="T1015">
            <v>8.5500000000000007</v>
          </cell>
          <cell r="Y1015">
            <v>40597</v>
          </cell>
          <cell r="AA1015">
            <v>176.68</v>
          </cell>
          <cell r="AF1015">
            <v>40597</v>
          </cell>
          <cell r="AH1015">
            <v>45.57405</v>
          </cell>
          <cell r="AM1015">
            <v>40597</v>
          </cell>
          <cell r="AO1015">
            <v>36.696339999999999</v>
          </cell>
          <cell r="AT1015">
            <v>40597</v>
          </cell>
          <cell r="AV1015">
            <v>27.592269999999999</v>
          </cell>
          <cell r="BA1015">
            <v>40597</v>
          </cell>
          <cell r="BC1015">
            <v>19.693989999999999</v>
          </cell>
          <cell r="BH1015">
            <v>40597</v>
          </cell>
          <cell r="BJ1015">
            <v>17.33492</v>
          </cell>
        </row>
        <row r="1016">
          <cell r="D1016">
            <v>40596</v>
          </cell>
          <cell r="F1016">
            <v>145.82857000000001</v>
          </cell>
          <cell r="K1016">
            <v>40596</v>
          </cell>
          <cell r="M1016">
            <v>16.461079999999999</v>
          </cell>
          <cell r="R1016">
            <v>40596</v>
          </cell>
          <cell r="T1016">
            <v>8.85</v>
          </cell>
          <cell r="Y1016">
            <v>40596</v>
          </cell>
          <cell r="AA1016">
            <v>180.42</v>
          </cell>
          <cell r="AF1016">
            <v>40596</v>
          </cell>
          <cell r="AH1016">
            <v>45.040660000000003</v>
          </cell>
          <cell r="AM1016">
            <v>40596</v>
          </cell>
          <cell r="AO1016">
            <v>37.222259999999999</v>
          </cell>
          <cell r="AT1016">
            <v>40596</v>
          </cell>
          <cell r="AV1016">
            <v>27.5275</v>
          </cell>
          <cell r="BA1016">
            <v>40596</v>
          </cell>
          <cell r="BC1016">
            <v>20.324649999999998</v>
          </cell>
          <cell r="BH1016">
            <v>40596</v>
          </cell>
          <cell r="BJ1016">
            <v>17.717870000000001</v>
          </cell>
        </row>
        <row r="1017">
          <cell r="D1017">
            <v>40592</v>
          </cell>
          <cell r="F1017">
            <v>148.43089000000001</v>
          </cell>
          <cell r="K1017">
            <v>40592</v>
          </cell>
          <cell r="M1017">
            <v>16.691299999999998</v>
          </cell>
          <cell r="R1017">
            <v>40592</v>
          </cell>
          <cell r="T1017">
            <v>9.18</v>
          </cell>
          <cell r="Y1017">
            <v>40592</v>
          </cell>
          <cell r="AA1017">
            <v>186.5</v>
          </cell>
          <cell r="AF1017">
            <v>40592</v>
          </cell>
          <cell r="AH1017">
            <v>46.630200000000002</v>
          </cell>
          <cell r="AM1017">
            <v>40592</v>
          </cell>
          <cell r="AO1017">
            <v>38.210619999999999</v>
          </cell>
          <cell r="AT1017">
            <v>40592</v>
          </cell>
          <cell r="AV1017">
            <v>27.868580000000001</v>
          </cell>
          <cell r="BA1017">
            <v>40592</v>
          </cell>
          <cell r="BC1017">
            <v>21.37576</v>
          </cell>
          <cell r="BH1017">
            <v>40592</v>
          </cell>
          <cell r="BJ1017">
            <v>18.24549</v>
          </cell>
        </row>
        <row r="1018">
          <cell r="D1018">
            <v>40591</v>
          </cell>
          <cell r="F1018">
            <v>147.89061000000001</v>
          </cell>
          <cell r="K1018">
            <v>40591</v>
          </cell>
          <cell r="M1018">
            <v>16.540769999999998</v>
          </cell>
          <cell r="R1018">
            <v>40591</v>
          </cell>
          <cell r="T1018">
            <v>9.44</v>
          </cell>
          <cell r="Y1018">
            <v>40591</v>
          </cell>
          <cell r="AA1018">
            <v>187.76</v>
          </cell>
          <cell r="AF1018">
            <v>40591</v>
          </cell>
          <cell r="AH1018">
            <v>47.659750000000003</v>
          </cell>
          <cell r="AM1018">
            <v>40591</v>
          </cell>
          <cell r="AO1018">
            <v>37.95673</v>
          </cell>
          <cell r="AT1018">
            <v>40591</v>
          </cell>
          <cell r="AV1018">
            <v>27.868580000000001</v>
          </cell>
          <cell r="BA1018">
            <v>40591</v>
          </cell>
          <cell r="BC1018">
            <v>21.452210000000001</v>
          </cell>
          <cell r="BH1018">
            <v>40591</v>
          </cell>
          <cell r="BJ1018">
            <v>18.313569999999999</v>
          </cell>
        </row>
        <row r="1019">
          <cell r="D1019">
            <v>40590</v>
          </cell>
          <cell r="F1019">
            <v>147.13423</v>
          </cell>
          <cell r="K1019">
            <v>40590</v>
          </cell>
          <cell r="M1019">
            <v>16.452220000000001</v>
          </cell>
          <cell r="R1019">
            <v>40590</v>
          </cell>
          <cell r="T1019">
            <v>8.99</v>
          </cell>
          <cell r="Y1019">
            <v>40590</v>
          </cell>
          <cell r="AA1019">
            <v>186.62</v>
          </cell>
          <cell r="AF1019">
            <v>40590</v>
          </cell>
          <cell r="AH1019">
            <v>48.302219999999998</v>
          </cell>
          <cell r="AM1019">
            <v>40590</v>
          </cell>
          <cell r="AO1019">
            <v>37.847920000000002</v>
          </cell>
          <cell r="AT1019">
            <v>40590</v>
          </cell>
          <cell r="AV1019">
            <v>27.37208</v>
          </cell>
          <cell r="BA1019">
            <v>40590</v>
          </cell>
          <cell r="BC1019">
            <v>21.404430000000001</v>
          </cell>
          <cell r="BH1019">
            <v>40590</v>
          </cell>
          <cell r="BJ1019">
            <v>18.24549</v>
          </cell>
        </row>
        <row r="1020">
          <cell r="D1020">
            <v>40589</v>
          </cell>
          <cell r="F1020">
            <v>146.62997999999999</v>
          </cell>
          <cell r="K1020">
            <v>40589</v>
          </cell>
          <cell r="M1020">
            <v>16.53192</v>
          </cell>
          <cell r="R1020">
            <v>40589</v>
          </cell>
          <cell r="T1020">
            <v>8.6</v>
          </cell>
          <cell r="Y1020">
            <v>40589</v>
          </cell>
          <cell r="AA1020">
            <v>189.03</v>
          </cell>
          <cell r="AF1020">
            <v>40589</v>
          </cell>
          <cell r="AH1020">
            <v>47.872570000000003</v>
          </cell>
          <cell r="AM1020">
            <v>40589</v>
          </cell>
          <cell r="AO1020">
            <v>37.938600000000001</v>
          </cell>
          <cell r="AT1020">
            <v>40589</v>
          </cell>
          <cell r="AV1020">
            <v>27.281420000000001</v>
          </cell>
          <cell r="BA1020">
            <v>40589</v>
          </cell>
          <cell r="BC1020">
            <v>21.32799</v>
          </cell>
          <cell r="BH1020">
            <v>40589</v>
          </cell>
          <cell r="BJ1020">
            <v>18.262509999999999</v>
          </cell>
        </row>
        <row r="1021">
          <cell r="D1021">
            <v>40588</v>
          </cell>
          <cell r="F1021">
            <v>146.97215</v>
          </cell>
          <cell r="K1021">
            <v>40588</v>
          </cell>
          <cell r="M1021">
            <v>16.65588</v>
          </cell>
          <cell r="R1021">
            <v>40588</v>
          </cell>
          <cell r="T1021">
            <v>8.6300000000000008</v>
          </cell>
          <cell r="Y1021">
            <v>40588</v>
          </cell>
          <cell r="AA1021">
            <v>190.42</v>
          </cell>
          <cell r="AF1021">
            <v>40588</v>
          </cell>
          <cell r="AH1021">
            <v>47.776800000000001</v>
          </cell>
          <cell r="AM1021">
            <v>40588</v>
          </cell>
          <cell r="AO1021">
            <v>38.056480000000001</v>
          </cell>
          <cell r="AT1021">
            <v>40588</v>
          </cell>
          <cell r="AV1021">
            <v>27.259830000000001</v>
          </cell>
          <cell r="BA1021">
            <v>40588</v>
          </cell>
          <cell r="BC1021">
            <v>21.10821</v>
          </cell>
          <cell r="BH1021">
            <v>40588</v>
          </cell>
          <cell r="BJ1021">
            <v>18.29655</v>
          </cell>
        </row>
        <row r="1022">
          <cell r="D1022">
            <v>40585</v>
          </cell>
          <cell r="F1022">
            <v>147.53944000000001</v>
          </cell>
          <cell r="K1022">
            <v>40585</v>
          </cell>
          <cell r="M1022">
            <v>16.558479999999999</v>
          </cell>
          <cell r="R1022">
            <v>40585</v>
          </cell>
          <cell r="T1022">
            <v>8.2799999999999994</v>
          </cell>
          <cell r="Y1022">
            <v>40585</v>
          </cell>
          <cell r="AA1022">
            <v>189.25</v>
          </cell>
          <cell r="AF1022">
            <v>40585</v>
          </cell>
          <cell r="AH1022">
            <v>47.46687</v>
          </cell>
          <cell r="AM1022">
            <v>40585</v>
          </cell>
          <cell r="AO1022">
            <v>37.693770000000001</v>
          </cell>
          <cell r="AT1022">
            <v>40585</v>
          </cell>
          <cell r="AV1022">
            <v>27.44548</v>
          </cell>
          <cell r="BA1022">
            <v>40585</v>
          </cell>
          <cell r="BC1022">
            <v>20.926649999999999</v>
          </cell>
          <cell r="BH1022">
            <v>40585</v>
          </cell>
          <cell r="BJ1022">
            <v>18.151879999999998</v>
          </cell>
        </row>
        <row r="1023">
          <cell r="D1023">
            <v>40584</v>
          </cell>
          <cell r="F1023">
            <v>147.75555</v>
          </cell>
          <cell r="K1023">
            <v>40584</v>
          </cell>
          <cell r="M1023">
            <v>16.75329</v>
          </cell>
          <cell r="R1023">
            <v>40584</v>
          </cell>
          <cell r="T1023">
            <v>8.2200000000000006</v>
          </cell>
          <cell r="Y1023">
            <v>40584</v>
          </cell>
          <cell r="AA1023">
            <v>186.21</v>
          </cell>
          <cell r="AF1023">
            <v>40584</v>
          </cell>
          <cell r="AH1023">
            <v>47.159599999999998</v>
          </cell>
          <cell r="AM1023">
            <v>40584</v>
          </cell>
          <cell r="AO1023">
            <v>37.37641</v>
          </cell>
          <cell r="AT1023">
            <v>40584</v>
          </cell>
          <cell r="AV1023">
            <v>27.43252</v>
          </cell>
          <cell r="BA1023">
            <v>40584</v>
          </cell>
          <cell r="BC1023">
            <v>20.697320000000001</v>
          </cell>
          <cell r="BH1023">
            <v>40584</v>
          </cell>
          <cell r="BJ1023">
            <v>18.100819999999999</v>
          </cell>
        </row>
        <row r="1024">
          <cell r="D1024">
            <v>40583</v>
          </cell>
          <cell r="F1024">
            <v>148.25980000000001</v>
          </cell>
          <cell r="K1024">
            <v>40583</v>
          </cell>
          <cell r="M1024">
            <v>19.515989999999999</v>
          </cell>
          <cell r="R1024">
            <v>40583</v>
          </cell>
          <cell r="T1024">
            <v>8.23</v>
          </cell>
          <cell r="Y1024">
            <v>40583</v>
          </cell>
          <cell r="AA1024">
            <v>185.3</v>
          </cell>
          <cell r="AF1024">
            <v>40583</v>
          </cell>
          <cell r="AH1024">
            <v>47.641120000000001</v>
          </cell>
          <cell r="AM1024">
            <v>40583</v>
          </cell>
          <cell r="AO1024">
            <v>37.548690000000001</v>
          </cell>
          <cell r="AT1024">
            <v>40583</v>
          </cell>
          <cell r="AV1024">
            <v>27.264150000000001</v>
          </cell>
          <cell r="BA1024">
            <v>40583</v>
          </cell>
          <cell r="BC1024">
            <v>20.697320000000001</v>
          </cell>
          <cell r="BH1024">
            <v>40583</v>
          </cell>
          <cell r="BJ1024">
            <v>18.13486</v>
          </cell>
        </row>
        <row r="1025">
          <cell r="D1025">
            <v>40582</v>
          </cell>
          <cell r="F1025">
            <v>149.52044000000001</v>
          </cell>
          <cell r="K1025">
            <v>40582</v>
          </cell>
          <cell r="M1025">
            <v>19.471710000000002</v>
          </cell>
          <cell r="R1025">
            <v>40582</v>
          </cell>
          <cell r="T1025">
            <v>8.24</v>
          </cell>
          <cell r="Y1025">
            <v>40582</v>
          </cell>
          <cell r="AA1025">
            <v>183.06</v>
          </cell>
          <cell r="AF1025">
            <v>40582</v>
          </cell>
          <cell r="AH1025">
            <v>47.247399999999999</v>
          </cell>
          <cell r="AM1025">
            <v>40582</v>
          </cell>
          <cell r="AO1025">
            <v>37.739109999999997</v>
          </cell>
          <cell r="AT1025">
            <v>40582</v>
          </cell>
          <cell r="AV1025">
            <v>27.143260000000001</v>
          </cell>
          <cell r="BA1025">
            <v>40582</v>
          </cell>
          <cell r="BC1025">
            <v>20.334209999999999</v>
          </cell>
          <cell r="BH1025">
            <v>40582</v>
          </cell>
          <cell r="BJ1025">
            <v>18.10933</v>
          </cell>
        </row>
        <row r="1026">
          <cell r="D1026">
            <v>40581</v>
          </cell>
          <cell r="F1026">
            <v>147.82758000000001</v>
          </cell>
          <cell r="K1026">
            <v>40581</v>
          </cell>
          <cell r="M1026">
            <v>19.50713</v>
          </cell>
          <cell r="R1026">
            <v>40581</v>
          </cell>
          <cell r="T1026">
            <v>8.33</v>
          </cell>
          <cell r="Y1026">
            <v>40581</v>
          </cell>
          <cell r="AA1026">
            <v>176.43</v>
          </cell>
          <cell r="AF1026">
            <v>40581</v>
          </cell>
          <cell r="AH1026">
            <v>46.805779999999999</v>
          </cell>
          <cell r="AM1026">
            <v>40581</v>
          </cell>
          <cell r="AO1026">
            <v>37.847920000000002</v>
          </cell>
          <cell r="AT1026">
            <v>40581</v>
          </cell>
          <cell r="AV1026">
            <v>26.992149999999999</v>
          </cell>
          <cell r="BA1026">
            <v>40581</v>
          </cell>
          <cell r="BC1026">
            <v>20.429760000000002</v>
          </cell>
          <cell r="BH1026">
            <v>40581</v>
          </cell>
          <cell r="BJ1026">
            <v>17.76042</v>
          </cell>
        </row>
        <row r="1027">
          <cell r="D1027">
            <v>40578</v>
          </cell>
          <cell r="F1027">
            <v>147.09211999999999</v>
          </cell>
          <cell r="K1027">
            <v>40578</v>
          </cell>
          <cell r="M1027">
            <v>19.524840000000001</v>
          </cell>
          <cell r="R1027">
            <v>40578</v>
          </cell>
          <cell r="T1027">
            <v>8.4</v>
          </cell>
          <cell r="Y1027">
            <v>40578</v>
          </cell>
          <cell r="AA1027">
            <v>175.93</v>
          </cell>
          <cell r="AF1027">
            <v>40578</v>
          </cell>
          <cell r="AH1027">
            <v>46.090150000000001</v>
          </cell>
          <cell r="AM1027">
            <v>40578</v>
          </cell>
          <cell r="AO1027">
            <v>37.95673</v>
          </cell>
          <cell r="AT1027">
            <v>40578</v>
          </cell>
          <cell r="AV1027">
            <v>27.009419999999999</v>
          </cell>
          <cell r="BA1027">
            <v>40578</v>
          </cell>
          <cell r="BC1027">
            <v>19.894649999999999</v>
          </cell>
          <cell r="BH1027">
            <v>40578</v>
          </cell>
          <cell r="BJ1027">
            <v>17.49661</v>
          </cell>
        </row>
        <row r="1028">
          <cell r="D1028">
            <v>40577</v>
          </cell>
          <cell r="F1028">
            <v>146.67058</v>
          </cell>
          <cell r="K1028">
            <v>40577</v>
          </cell>
          <cell r="M1028">
            <v>19.400870000000001</v>
          </cell>
          <cell r="R1028">
            <v>40577</v>
          </cell>
          <cell r="T1028">
            <v>8.33</v>
          </cell>
          <cell r="Y1028">
            <v>40577</v>
          </cell>
          <cell r="AA1028">
            <v>173.71</v>
          </cell>
          <cell r="AF1028">
            <v>40577</v>
          </cell>
          <cell r="AH1028">
            <v>45.683120000000002</v>
          </cell>
          <cell r="AM1028">
            <v>40577</v>
          </cell>
          <cell r="AO1028">
            <v>38.36477</v>
          </cell>
          <cell r="AT1028">
            <v>40577</v>
          </cell>
          <cell r="AV1028">
            <v>27.013739999999999</v>
          </cell>
          <cell r="BA1028">
            <v>40577</v>
          </cell>
          <cell r="BC1028">
            <v>19.894649999999999</v>
          </cell>
          <cell r="BH1028">
            <v>40577</v>
          </cell>
          <cell r="BJ1028">
            <v>17.658300000000001</v>
          </cell>
        </row>
        <row r="1029">
          <cell r="D1029">
            <v>40576</v>
          </cell>
          <cell r="F1029">
            <v>146.46429000000001</v>
          </cell>
          <cell r="K1029">
            <v>40576</v>
          </cell>
          <cell r="M1029">
            <v>19.144079999999999</v>
          </cell>
          <cell r="R1029">
            <v>40576</v>
          </cell>
          <cell r="T1029">
            <v>8.2899999999999991</v>
          </cell>
          <cell r="Y1029">
            <v>40576</v>
          </cell>
          <cell r="AA1029">
            <v>173.53</v>
          </cell>
          <cell r="AF1029">
            <v>40576</v>
          </cell>
          <cell r="AH1029">
            <v>45.800179999999997</v>
          </cell>
          <cell r="AM1029">
            <v>40576</v>
          </cell>
          <cell r="AO1029">
            <v>37.802579999999999</v>
          </cell>
          <cell r="AT1029">
            <v>40576</v>
          </cell>
          <cell r="AV1029">
            <v>27.138940000000002</v>
          </cell>
          <cell r="BA1029">
            <v>40576</v>
          </cell>
          <cell r="BC1029">
            <v>19.340430000000001</v>
          </cell>
          <cell r="BH1029">
            <v>40576</v>
          </cell>
          <cell r="BJ1029">
            <v>17.62426</v>
          </cell>
        </row>
        <row r="1030">
          <cell r="D1030">
            <v>40575</v>
          </cell>
          <cell r="F1030">
            <v>146.69748000000001</v>
          </cell>
          <cell r="K1030">
            <v>40575</v>
          </cell>
          <cell r="M1030">
            <v>19.01126</v>
          </cell>
          <cell r="R1030">
            <v>40575</v>
          </cell>
          <cell r="T1030">
            <v>8.2200000000000006</v>
          </cell>
          <cell r="Y1030">
            <v>40575</v>
          </cell>
          <cell r="AA1030">
            <v>172.11</v>
          </cell>
          <cell r="AF1030">
            <v>40575</v>
          </cell>
          <cell r="AH1030">
            <v>45.894620000000003</v>
          </cell>
          <cell r="AM1030">
            <v>40575</v>
          </cell>
          <cell r="AO1030">
            <v>38.038339999999998</v>
          </cell>
          <cell r="AT1030">
            <v>40575</v>
          </cell>
          <cell r="AV1030">
            <v>27.220970000000001</v>
          </cell>
          <cell r="BA1030">
            <v>40575</v>
          </cell>
          <cell r="BC1030">
            <v>19.722650000000002</v>
          </cell>
          <cell r="BH1030">
            <v>40575</v>
          </cell>
          <cell r="BJ1030">
            <v>17.700849999999999</v>
          </cell>
        </row>
        <row r="1031">
          <cell r="D1031">
            <v>40574</v>
          </cell>
          <cell r="F1031">
            <v>145.29831999999999</v>
          </cell>
          <cell r="K1031">
            <v>40574</v>
          </cell>
          <cell r="M1031">
            <v>18.727910000000001</v>
          </cell>
          <cell r="R1031">
            <v>40574</v>
          </cell>
          <cell r="T1031">
            <v>7.83</v>
          </cell>
          <cell r="Y1031">
            <v>40574</v>
          </cell>
          <cell r="AA1031">
            <v>169.64</v>
          </cell>
          <cell r="AF1031">
            <v>40574</v>
          </cell>
          <cell r="AH1031">
            <v>45.135100000000001</v>
          </cell>
          <cell r="AM1031">
            <v>40574</v>
          </cell>
          <cell r="AO1031">
            <v>37.63937</v>
          </cell>
          <cell r="AT1031">
            <v>40574</v>
          </cell>
          <cell r="AV1031">
            <v>27.134620000000002</v>
          </cell>
          <cell r="BA1031">
            <v>40574</v>
          </cell>
          <cell r="BC1031">
            <v>18.872209999999999</v>
          </cell>
          <cell r="BH1031">
            <v>40574</v>
          </cell>
          <cell r="BJ1031">
            <v>17.139189999999999</v>
          </cell>
        </row>
        <row r="1032">
          <cell r="D1032">
            <v>40571</v>
          </cell>
          <cell r="F1032">
            <v>142.79596000000001</v>
          </cell>
          <cell r="K1032">
            <v>40571</v>
          </cell>
          <cell r="M1032">
            <v>18.533100000000001</v>
          </cell>
          <cell r="R1032">
            <v>40571</v>
          </cell>
          <cell r="T1032">
            <v>7.49</v>
          </cell>
          <cell r="Y1032">
            <v>40571</v>
          </cell>
          <cell r="AA1032">
            <v>171.14</v>
          </cell>
          <cell r="AF1032">
            <v>40571</v>
          </cell>
          <cell r="AH1032">
            <v>44.706780000000002</v>
          </cell>
          <cell r="AM1032">
            <v>40571</v>
          </cell>
          <cell r="AO1032">
            <v>37.240400000000001</v>
          </cell>
          <cell r="AT1032">
            <v>40571</v>
          </cell>
          <cell r="AV1032">
            <v>26.858309999999999</v>
          </cell>
          <cell r="BA1032">
            <v>40571</v>
          </cell>
          <cell r="BC1032">
            <v>19.063320000000001</v>
          </cell>
          <cell r="BH1032">
            <v>40571</v>
          </cell>
          <cell r="BJ1032">
            <v>17.190249999999999</v>
          </cell>
        </row>
        <row r="1033">
          <cell r="D1033">
            <v>40570</v>
          </cell>
          <cell r="F1033">
            <v>144.46420000000001</v>
          </cell>
          <cell r="K1033">
            <v>40570</v>
          </cell>
          <cell r="M1033">
            <v>18.9847</v>
          </cell>
          <cell r="R1033">
            <v>40570</v>
          </cell>
          <cell r="T1033">
            <v>7.75</v>
          </cell>
          <cell r="Y1033">
            <v>40570</v>
          </cell>
          <cell r="AA1033">
            <v>184.45</v>
          </cell>
          <cell r="AF1033">
            <v>40570</v>
          </cell>
          <cell r="AH1033">
            <v>45.652529999999999</v>
          </cell>
          <cell r="AM1033">
            <v>40570</v>
          </cell>
          <cell r="AO1033">
            <v>38.056480000000001</v>
          </cell>
          <cell r="AT1033">
            <v>40570</v>
          </cell>
          <cell r="AV1033">
            <v>27.069859999999998</v>
          </cell>
          <cell r="BA1033">
            <v>40570</v>
          </cell>
          <cell r="BC1033">
            <v>19.91376</v>
          </cell>
          <cell r="BH1033">
            <v>40570</v>
          </cell>
          <cell r="BJ1033">
            <v>17.258330000000001</v>
          </cell>
        </row>
        <row r="1034">
          <cell r="D1034">
            <v>40569</v>
          </cell>
          <cell r="F1034">
            <v>144.43728999999999</v>
          </cell>
          <cell r="K1034">
            <v>40569</v>
          </cell>
          <cell r="M1034">
            <v>18.966989999999999</v>
          </cell>
          <cell r="R1034">
            <v>40569</v>
          </cell>
          <cell r="T1034">
            <v>7.4909999999999997</v>
          </cell>
          <cell r="Y1034">
            <v>40569</v>
          </cell>
          <cell r="AA1034">
            <v>175.39</v>
          </cell>
          <cell r="AF1034">
            <v>40569</v>
          </cell>
          <cell r="AH1034">
            <v>45.737659999999998</v>
          </cell>
          <cell r="AM1034">
            <v>40569</v>
          </cell>
          <cell r="AO1034">
            <v>37.920459999999999</v>
          </cell>
          <cell r="AT1034">
            <v>40569</v>
          </cell>
          <cell r="AV1034">
            <v>27.182120000000001</v>
          </cell>
          <cell r="BA1034">
            <v>40569</v>
          </cell>
          <cell r="BC1034">
            <v>20.19088</v>
          </cell>
          <cell r="BH1034">
            <v>40569</v>
          </cell>
          <cell r="BJ1034">
            <v>16.951969999999999</v>
          </cell>
        </row>
        <row r="1035">
          <cell r="D1035">
            <v>40568</v>
          </cell>
          <cell r="F1035">
            <v>144.79605000000001</v>
          </cell>
          <cell r="K1035">
            <v>40568</v>
          </cell>
          <cell r="M1035">
            <v>19.073250000000002</v>
          </cell>
          <cell r="R1035">
            <v>40568</v>
          </cell>
          <cell r="T1035">
            <v>7.48</v>
          </cell>
          <cell r="Y1035">
            <v>40568</v>
          </cell>
          <cell r="AA1035">
            <v>176.7</v>
          </cell>
          <cell r="AF1035">
            <v>40568</v>
          </cell>
          <cell r="AH1035">
            <v>45.411769999999997</v>
          </cell>
          <cell r="AM1035">
            <v>40568</v>
          </cell>
          <cell r="AO1035">
            <v>37.458019999999998</v>
          </cell>
          <cell r="AT1035">
            <v>40568</v>
          </cell>
          <cell r="AV1035">
            <v>27.182120000000001</v>
          </cell>
          <cell r="BA1035">
            <v>40568</v>
          </cell>
          <cell r="BC1035">
            <v>19.464649999999999</v>
          </cell>
          <cell r="BH1035">
            <v>40568</v>
          </cell>
          <cell r="BJ1035">
            <v>17.003029999999999</v>
          </cell>
        </row>
        <row r="1036">
          <cell r="D1036">
            <v>40567</v>
          </cell>
          <cell r="F1036">
            <v>143.17265</v>
          </cell>
          <cell r="K1036">
            <v>40567</v>
          </cell>
          <cell r="M1036">
            <v>18.745619999999999</v>
          </cell>
          <cell r="R1036">
            <v>40567</v>
          </cell>
          <cell r="T1036">
            <v>7.68</v>
          </cell>
          <cell r="Y1036">
            <v>40567</v>
          </cell>
          <cell r="AA1036">
            <v>176.85</v>
          </cell>
          <cell r="AF1036">
            <v>40567</v>
          </cell>
          <cell r="AH1036">
            <v>44.886360000000003</v>
          </cell>
          <cell r="AM1036">
            <v>40567</v>
          </cell>
          <cell r="AO1036">
            <v>37.603099999999998</v>
          </cell>
          <cell r="AT1036">
            <v>40567</v>
          </cell>
          <cell r="AV1036">
            <v>27.307320000000001</v>
          </cell>
          <cell r="BA1036">
            <v>40567</v>
          </cell>
          <cell r="BC1036">
            <v>19.58888</v>
          </cell>
          <cell r="BH1036">
            <v>40567</v>
          </cell>
          <cell r="BJ1036">
            <v>17.054089999999999</v>
          </cell>
        </row>
        <row r="1037">
          <cell r="D1037">
            <v>40564</v>
          </cell>
          <cell r="F1037">
            <v>139.46843999999999</v>
          </cell>
          <cell r="K1037">
            <v>40564</v>
          </cell>
          <cell r="M1037">
            <v>18.351579999999998</v>
          </cell>
          <cell r="R1037">
            <v>40564</v>
          </cell>
          <cell r="T1037">
            <v>7.54</v>
          </cell>
          <cell r="Y1037">
            <v>40564</v>
          </cell>
          <cell r="AA1037">
            <v>177.42</v>
          </cell>
          <cell r="AF1037">
            <v>40564</v>
          </cell>
          <cell r="AH1037">
            <v>43.459090000000003</v>
          </cell>
          <cell r="AM1037">
            <v>40564</v>
          </cell>
          <cell r="AO1037">
            <v>37.448950000000004</v>
          </cell>
          <cell r="AT1037">
            <v>40564</v>
          </cell>
          <cell r="AV1037">
            <v>27.100090000000002</v>
          </cell>
          <cell r="BA1037">
            <v>40564</v>
          </cell>
          <cell r="BC1037">
            <v>19.37865</v>
          </cell>
          <cell r="BH1037">
            <v>40564</v>
          </cell>
          <cell r="BJ1037">
            <v>16.79879</v>
          </cell>
        </row>
        <row r="1038">
          <cell r="D1038">
            <v>40563</v>
          </cell>
          <cell r="F1038">
            <v>139.73751999999999</v>
          </cell>
          <cell r="K1038">
            <v>40563</v>
          </cell>
          <cell r="M1038">
            <v>18.39143</v>
          </cell>
          <cell r="R1038">
            <v>40563</v>
          </cell>
          <cell r="T1038">
            <v>8.02</v>
          </cell>
          <cell r="Y1038">
            <v>40563</v>
          </cell>
          <cell r="AA1038">
            <v>181.96</v>
          </cell>
          <cell r="AF1038">
            <v>40563</v>
          </cell>
          <cell r="AH1038">
            <v>44.251869999999997</v>
          </cell>
          <cell r="AM1038">
            <v>40563</v>
          </cell>
          <cell r="AO1038">
            <v>36.67821</v>
          </cell>
          <cell r="AT1038">
            <v>40563</v>
          </cell>
          <cell r="AV1038">
            <v>27.169160000000002</v>
          </cell>
          <cell r="BA1038">
            <v>40563</v>
          </cell>
          <cell r="BC1038">
            <v>19.627099999999999</v>
          </cell>
          <cell r="BH1038">
            <v>40563</v>
          </cell>
          <cell r="BJ1038">
            <v>15.68398</v>
          </cell>
        </row>
        <row r="1039">
          <cell r="D1039">
            <v>40562</v>
          </cell>
          <cell r="F1039">
            <v>139.63885999999999</v>
          </cell>
          <cell r="K1039">
            <v>40562</v>
          </cell>
          <cell r="M1039">
            <v>18.435700000000001</v>
          </cell>
          <cell r="R1039">
            <v>40562</v>
          </cell>
          <cell r="T1039">
            <v>7.93</v>
          </cell>
          <cell r="Y1039">
            <v>40562</v>
          </cell>
          <cell r="AA1039">
            <v>186.87</v>
          </cell>
          <cell r="AF1039">
            <v>40562</v>
          </cell>
          <cell r="AH1039">
            <v>45.071249999999999</v>
          </cell>
          <cell r="AM1039">
            <v>40562</v>
          </cell>
          <cell r="AO1039">
            <v>37.022779999999997</v>
          </cell>
          <cell r="AT1039">
            <v>40562</v>
          </cell>
          <cell r="AV1039">
            <v>27.380710000000001</v>
          </cell>
          <cell r="BA1039">
            <v>40562</v>
          </cell>
          <cell r="BC1039">
            <v>19.9711</v>
          </cell>
          <cell r="BH1039">
            <v>40562</v>
          </cell>
          <cell r="BJ1039">
            <v>15.598879999999999</v>
          </cell>
        </row>
        <row r="1040">
          <cell r="D1040">
            <v>40561</v>
          </cell>
          <cell r="F1040">
            <v>135.11846</v>
          </cell>
          <cell r="K1040">
            <v>40561</v>
          </cell>
          <cell r="M1040">
            <v>18.78546</v>
          </cell>
          <cell r="R1040">
            <v>40561</v>
          </cell>
          <cell r="T1040">
            <v>8.1024999999999991</v>
          </cell>
          <cell r="Y1040">
            <v>40561</v>
          </cell>
          <cell r="AA1040">
            <v>191.25</v>
          </cell>
          <cell r="AF1040">
            <v>40561</v>
          </cell>
          <cell r="AH1040">
            <v>45.312010000000001</v>
          </cell>
          <cell r="AM1040">
            <v>40561</v>
          </cell>
          <cell r="AO1040">
            <v>37.494289999999999</v>
          </cell>
          <cell r="AT1040">
            <v>40561</v>
          </cell>
          <cell r="AV1040">
            <v>27.40662</v>
          </cell>
          <cell r="BA1040">
            <v>40561</v>
          </cell>
          <cell r="BC1040">
            <v>21.136869999999998</v>
          </cell>
          <cell r="BH1040">
            <v>40561</v>
          </cell>
          <cell r="BJ1040">
            <v>15.82865</v>
          </cell>
        </row>
        <row r="1041">
          <cell r="D1041">
            <v>40557</v>
          </cell>
          <cell r="F1041">
            <v>134.53548000000001</v>
          </cell>
          <cell r="K1041">
            <v>40557</v>
          </cell>
          <cell r="M1041">
            <v>18.781040000000001</v>
          </cell>
          <cell r="R1041">
            <v>40557</v>
          </cell>
          <cell r="T1041">
            <v>8.1999999999999993</v>
          </cell>
          <cell r="Y1041">
            <v>40557</v>
          </cell>
          <cell r="AA1041">
            <v>188.75</v>
          </cell>
          <cell r="AF1041">
            <v>40557</v>
          </cell>
          <cell r="AH1041">
            <v>46.353529999999999</v>
          </cell>
          <cell r="AM1041">
            <v>40557</v>
          </cell>
          <cell r="AO1041">
            <v>36.805149999999998</v>
          </cell>
          <cell r="AT1041">
            <v>40557</v>
          </cell>
          <cell r="AV1041">
            <v>27.255510000000001</v>
          </cell>
          <cell r="BA1041">
            <v>40557</v>
          </cell>
          <cell r="BC1041">
            <v>21.184650000000001</v>
          </cell>
          <cell r="BH1041">
            <v>40557</v>
          </cell>
          <cell r="BJ1041">
            <v>16.013739999999999</v>
          </cell>
        </row>
        <row r="1042">
          <cell r="D1042">
            <v>40556</v>
          </cell>
          <cell r="F1042">
            <v>133.47712999999999</v>
          </cell>
          <cell r="K1042">
            <v>40556</v>
          </cell>
          <cell r="M1042">
            <v>18.66592</v>
          </cell>
          <cell r="R1042">
            <v>40556</v>
          </cell>
          <cell r="T1042">
            <v>8.26</v>
          </cell>
          <cell r="Y1042">
            <v>40556</v>
          </cell>
          <cell r="AA1042">
            <v>185.53</v>
          </cell>
          <cell r="AF1042">
            <v>40556</v>
          </cell>
          <cell r="AH1042">
            <v>45.981079999999999</v>
          </cell>
          <cell r="AM1042">
            <v>40556</v>
          </cell>
          <cell r="AO1042">
            <v>36.841419999999999</v>
          </cell>
          <cell r="AT1042">
            <v>40556</v>
          </cell>
          <cell r="AV1042">
            <v>27.37208</v>
          </cell>
          <cell r="BA1042">
            <v>40556</v>
          </cell>
          <cell r="BC1042">
            <v>20.706880000000002</v>
          </cell>
          <cell r="BH1042">
            <v>40556</v>
          </cell>
          <cell r="BJ1042">
            <v>15.82865</v>
          </cell>
        </row>
        <row r="1043">
          <cell r="D1043">
            <v>40555</v>
          </cell>
          <cell r="F1043">
            <v>133.72826000000001</v>
          </cell>
          <cell r="K1043">
            <v>40555</v>
          </cell>
          <cell r="M1043">
            <v>18.701339999999998</v>
          </cell>
          <cell r="R1043">
            <v>40555</v>
          </cell>
          <cell r="T1043">
            <v>8.39</v>
          </cell>
          <cell r="Y1043">
            <v>40555</v>
          </cell>
          <cell r="AA1043">
            <v>184.08</v>
          </cell>
          <cell r="AF1043">
            <v>40555</v>
          </cell>
          <cell r="AH1043">
            <v>45.813479999999998</v>
          </cell>
          <cell r="AM1043">
            <v>40555</v>
          </cell>
          <cell r="AO1043">
            <v>36.496859999999998</v>
          </cell>
          <cell r="AT1043">
            <v>40555</v>
          </cell>
          <cell r="AV1043">
            <v>27.216650000000001</v>
          </cell>
          <cell r="BA1043">
            <v>40555</v>
          </cell>
          <cell r="BC1043">
            <v>20.706880000000002</v>
          </cell>
          <cell r="BH1043">
            <v>40555</v>
          </cell>
          <cell r="BJ1043">
            <v>15.88822</v>
          </cell>
        </row>
        <row r="1044">
          <cell r="D1044">
            <v>40554</v>
          </cell>
          <cell r="F1044">
            <v>132.0959</v>
          </cell>
          <cell r="K1044">
            <v>40554</v>
          </cell>
          <cell r="M1044">
            <v>18.48883</v>
          </cell>
          <cell r="R1044">
            <v>40554</v>
          </cell>
          <cell r="T1044">
            <v>8.36</v>
          </cell>
          <cell r="Y1044">
            <v>40554</v>
          </cell>
          <cell r="AA1044">
            <v>184.34</v>
          </cell>
          <cell r="AF1044">
            <v>40554</v>
          </cell>
          <cell r="AH1044">
            <v>45.443689999999997</v>
          </cell>
          <cell r="AM1044">
            <v>40554</v>
          </cell>
          <cell r="AO1044">
            <v>36.179490000000001</v>
          </cell>
          <cell r="AT1044">
            <v>40554</v>
          </cell>
          <cell r="AV1044">
            <v>27.065550000000002</v>
          </cell>
          <cell r="BA1044">
            <v>40554</v>
          </cell>
          <cell r="BC1044">
            <v>20.850210000000001</v>
          </cell>
          <cell r="BH1044">
            <v>40554</v>
          </cell>
          <cell r="BJ1044">
            <v>15.854179999999999</v>
          </cell>
        </row>
        <row r="1045">
          <cell r="D1045">
            <v>40553</v>
          </cell>
          <cell r="F1045">
            <v>132.41879</v>
          </cell>
          <cell r="K1045">
            <v>40553</v>
          </cell>
          <cell r="M1045">
            <v>18.409140000000001</v>
          </cell>
          <cell r="R1045">
            <v>40553</v>
          </cell>
          <cell r="T1045">
            <v>9.19</v>
          </cell>
          <cell r="Y1045">
            <v>40553</v>
          </cell>
          <cell r="AA1045">
            <v>184.68</v>
          </cell>
          <cell r="AF1045">
            <v>40553</v>
          </cell>
          <cell r="AH1045">
            <v>45.552100000000003</v>
          </cell>
          <cell r="AM1045">
            <v>40553</v>
          </cell>
          <cell r="AO1045">
            <v>35.581040000000002</v>
          </cell>
          <cell r="AT1045">
            <v>40553</v>
          </cell>
          <cell r="AV1045">
            <v>27.225290000000001</v>
          </cell>
          <cell r="BA1045">
            <v>40553</v>
          </cell>
          <cell r="BC1045">
            <v>20.706880000000002</v>
          </cell>
          <cell r="BH1045">
            <v>40553</v>
          </cell>
          <cell r="BJ1045">
            <v>15.75206</v>
          </cell>
        </row>
        <row r="1046">
          <cell r="D1046">
            <v>40550</v>
          </cell>
          <cell r="F1046">
            <v>132.67889</v>
          </cell>
          <cell r="K1046">
            <v>40550</v>
          </cell>
          <cell r="M1046">
            <v>18.568519999999999</v>
          </cell>
          <cell r="R1046">
            <v>40550</v>
          </cell>
          <cell r="T1046">
            <v>8.83</v>
          </cell>
          <cell r="Y1046">
            <v>40550</v>
          </cell>
          <cell r="AA1046">
            <v>185.49</v>
          </cell>
          <cell r="AF1046">
            <v>40550</v>
          </cell>
          <cell r="AH1046">
            <v>44.709440000000001</v>
          </cell>
          <cell r="AM1046">
            <v>40550</v>
          </cell>
          <cell r="AO1046">
            <v>35.18206</v>
          </cell>
          <cell r="AT1046">
            <v>40550</v>
          </cell>
          <cell r="AV1046">
            <v>27.164850000000001</v>
          </cell>
          <cell r="BA1046">
            <v>40550</v>
          </cell>
          <cell r="BC1046">
            <v>20.859760000000001</v>
          </cell>
          <cell r="BH1046">
            <v>40550</v>
          </cell>
          <cell r="BJ1046">
            <v>15.68398</v>
          </cell>
        </row>
        <row r="1047">
          <cell r="D1047">
            <v>40549</v>
          </cell>
          <cell r="F1047">
            <v>133.33363</v>
          </cell>
          <cell r="K1047">
            <v>40549</v>
          </cell>
          <cell r="M1047">
            <v>18.550809999999998</v>
          </cell>
          <cell r="R1047">
            <v>40549</v>
          </cell>
          <cell r="T1047">
            <v>8.69</v>
          </cell>
          <cell r="Y1047">
            <v>40549</v>
          </cell>
          <cell r="AA1047">
            <v>185.86</v>
          </cell>
          <cell r="AF1047">
            <v>40549</v>
          </cell>
          <cell r="AH1047">
            <v>44.391539999999999</v>
          </cell>
          <cell r="AM1047">
            <v>40549</v>
          </cell>
          <cell r="AO1047">
            <v>35.680779999999999</v>
          </cell>
          <cell r="AT1047">
            <v>40549</v>
          </cell>
          <cell r="AV1047">
            <v>27.212340000000001</v>
          </cell>
          <cell r="BA1047">
            <v>40549</v>
          </cell>
          <cell r="BC1047">
            <v>21.022210000000001</v>
          </cell>
          <cell r="BH1047">
            <v>40549</v>
          </cell>
          <cell r="BJ1047">
            <v>15.79461</v>
          </cell>
        </row>
        <row r="1048">
          <cell r="D1048">
            <v>40548</v>
          </cell>
          <cell r="F1048">
            <v>131.88961</v>
          </cell>
          <cell r="K1048">
            <v>40548</v>
          </cell>
          <cell r="M1048">
            <v>18.39143</v>
          </cell>
          <cell r="R1048">
            <v>40548</v>
          </cell>
          <cell r="T1048">
            <v>8.91</v>
          </cell>
          <cell r="Y1048">
            <v>40548</v>
          </cell>
          <cell r="AA1048">
            <v>187.42</v>
          </cell>
          <cell r="AF1048">
            <v>40548</v>
          </cell>
          <cell r="AH1048">
            <v>44.42745</v>
          </cell>
          <cell r="AM1048">
            <v>40548</v>
          </cell>
          <cell r="AO1048">
            <v>35.254600000000003</v>
          </cell>
          <cell r="AT1048">
            <v>40548</v>
          </cell>
          <cell r="AV1048">
            <v>27.41094</v>
          </cell>
          <cell r="BA1048">
            <v>40548</v>
          </cell>
          <cell r="BC1048">
            <v>21.452210000000001</v>
          </cell>
          <cell r="BH1048">
            <v>40548</v>
          </cell>
          <cell r="BJ1048">
            <v>15.862690000000001</v>
          </cell>
        </row>
        <row r="1049">
          <cell r="D1049">
            <v>40547</v>
          </cell>
          <cell r="F1049">
            <v>132.41879</v>
          </cell>
          <cell r="K1049">
            <v>40547</v>
          </cell>
          <cell r="M1049">
            <v>18.170059999999999</v>
          </cell>
          <cell r="R1049">
            <v>40547</v>
          </cell>
          <cell r="T1049">
            <v>8.77</v>
          </cell>
          <cell r="Y1049">
            <v>40547</v>
          </cell>
          <cell r="AA1049">
            <v>185.01</v>
          </cell>
          <cell r="AF1049">
            <v>40547</v>
          </cell>
          <cell r="AH1049">
            <v>44.066980000000001</v>
          </cell>
          <cell r="AM1049">
            <v>40547</v>
          </cell>
          <cell r="AO1049">
            <v>34.982579999999999</v>
          </cell>
          <cell r="AT1049">
            <v>40547</v>
          </cell>
          <cell r="AV1049">
            <v>27.574999999999999</v>
          </cell>
          <cell r="BA1049">
            <v>40547</v>
          </cell>
          <cell r="BC1049">
            <v>21.098649999999999</v>
          </cell>
          <cell r="BH1049">
            <v>40547</v>
          </cell>
          <cell r="BJ1049">
            <v>15.837160000000001</v>
          </cell>
        </row>
        <row r="1050">
          <cell r="D1050">
            <v>40546</v>
          </cell>
          <cell r="F1050">
            <v>132.27528000000001</v>
          </cell>
          <cell r="K1050">
            <v>40546</v>
          </cell>
          <cell r="M1050">
            <v>18.14349</v>
          </cell>
          <cell r="R1050">
            <v>40546</v>
          </cell>
          <cell r="T1050">
            <v>8.4700000000000006</v>
          </cell>
          <cell r="Y1050">
            <v>40546</v>
          </cell>
          <cell r="AA1050">
            <v>184.22</v>
          </cell>
          <cell r="AF1050">
            <v>40546</v>
          </cell>
          <cell r="AH1050">
            <v>43.838189999999997</v>
          </cell>
          <cell r="AM1050">
            <v>40546</v>
          </cell>
          <cell r="AO1050">
            <v>35.245539999999998</v>
          </cell>
          <cell r="AT1050">
            <v>40546</v>
          </cell>
          <cell r="AV1050">
            <v>28.15784</v>
          </cell>
          <cell r="BA1050">
            <v>40546</v>
          </cell>
          <cell r="BC1050">
            <v>21.834430000000001</v>
          </cell>
          <cell r="BH1050">
            <v>40546</v>
          </cell>
          <cell r="BJ1050">
            <v>15.556330000000001</v>
          </cell>
        </row>
        <row r="1051">
          <cell r="D1051">
            <v>40543</v>
          </cell>
          <cell r="F1051">
            <v>131.62951000000001</v>
          </cell>
          <cell r="K1051">
            <v>40543</v>
          </cell>
          <cell r="M1051">
            <v>17.913270000000001</v>
          </cell>
          <cell r="R1051">
            <v>40543</v>
          </cell>
          <cell r="T1051">
            <v>8.18</v>
          </cell>
          <cell r="Y1051">
            <v>40543</v>
          </cell>
          <cell r="AA1051">
            <v>180</v>
          </cell>
          <cell r="AF1051">
            <v>40543</v>
          </cell>
          <cell r="AH1051">
            <v>42.905740000000002</v>
          </cell>
          <cell r="AM1051">
            <v>40543</v>
          </cell>
          <cell r="AO1051">
            <v>34.737749999999998</v>
          </cell>
          <cell r="AT1051">
            <v>40543</v>
          </cell>
          <cell r="AV1051">
            <v>28.395289999999999</v>
          </cell>
          <cell r="BA1051">
            <v>40543</v>
          </cell>
          <cell r="BC1051">
            <v>21.566870000000002</v>
          </cell>
          <cell r="BH1051">
            <v>40543</v>
          </cell>
          <cell r="BJ1051">
            <v>15.56484</v>
          </cell>
        </row>
        <row r="1052">
          <cell r="D1052">
            <v>40542</v>
          </cell>
          <cell r="F1052">
            <v>131.54879</v>
          </cell>
          <cell r="K1052">
            <v>40542</v>
          </cell>
          <cell r="M1052">
            <v>17.913270000000001</v>
          </cell>
          <cell r="R1052">
            <v>40542</v>
          </cell>
          <cell r="T1052">
            <v>8.14</v>
          </cell>
          <cell r="Y1052">
            <v>40542</v>
          </cell>
          <cell r="AA1052">
            <v>182.75</v>
          </cell>
          <cell r="AF1052">
            <v>40542</v>
          </cell>
          <cell r="AH1052">
            <v>43.052059999999997</v>
          </cell>
          <cell r="AM1052">
            <v>40542</v>
          </cell>
          <cell r="AO1052">
            <v>34.919110000000003</v>
          </cell>
          <cell r="AT1052">
            <v>40542</v>
          </cell>
          <cell r="AV1052">
            <v>28.278729999999999</v>
          </cell>
          <cell r="BA1052">
            <v>40542</v>
          </cell>
          <cell r="BC1052">
            <v>21.38532</v>
          </cell>
          <cell r="BH1052">
            <v>40542</v>
          </cell>
          <cell r="BJ1052">
            <v>15.47974</v>
          </cell>
        </row>
        <row r="1053">
          <cell r="D1053">
            <v>40541</v>
          </cell>
          <cell r="F1053">
            <v>131.41425000000001</v>
          </cell>
          <cell r="K1053">
            <v>40541</v>
          </cell>
          <cell r="M1053">
            <v>17.930980000000002</v>
          </cell>
          <cell r="R1053">
            <v>40541</v>
          </cell>
          <cell r="T1053">
            <v>8.08</v>
          </cell>
          <cell r="Y1053">
            <v>40541</v>
          </cell>
          <cell r="AA1053">
            <v>183.37</v>
          </cell>
          <cell r="AF1053">
            <v>40541</v>
          </cell>
          <cell r="AH1053">
            <v>43.268880000000003</v>
          </cell>
          <cell r="AM1053">
            <v>40541</v>
          </cell>
          <cell r="AO1053">
            <v>34.964440000000003</v>
          </cell>
          <cell r="AT1053">
            <v>40541</v>
          </cell>
          <cell r="AV1053">
            <v>28.25714</v>
          </cell>
          <cell r="BA1053">
            <v>40541</v>
          </cell>
          <cell r="BC1053">
            <v>21.834430000000001</v>
          </cell>
          <cell r="BH1053">
            <v>40541</v>
          </cell>
          <cell r="BJ1053">
            <v>15.54782</v>
          </cell>
        </row>
        <row r="1054">
          <cell r="D1054">
            <v>40540</v>
          </cell>
          <cell r="F1054">
            <v>130.68776</v>
          </cell>
          <cell r="K1054">
            <v>40540</v>
          </cell>
          <cell r="M1054">
            <v>18.01952</v>
          </cell>
          <cell r="R1054">
            <v>40540</v>
          </cell>
          <cell r="T1054">
            <v>8.09</v>
          </cell>
          <cell r="Y1054">
            <v>40540</v>
          </cell>
          <cell r="AA1054">
            <v>181.09</v>
          </cell>
          <cell r="AF1054">
            <v>40540</v>
          </cell>
          <cell r="AH1054">
            <v>43.292819999999999</v>
          </cell>
          <cell r="AM1054">
            <v>40540</v>
          </cell>
          <cell r="AO1054">
            <v>34.959910000000001</v>
          </cell>
          <cell r="AT1054">
            <v>40540</v>
          </cell>
          <cell r="AV1054">
            <v>28.21828</v>
          </cell>
          <cell r="BA1054">
            <v>40540</v>
          </cell>
          <cell r="BC1054">
            <v>22.08287</v>
          </cell>
          <cell r="BH1054">
            <v>40540</v>
          </cell>
          <cell r="BJ1054">
            <v>15.59037</v>
          </cell>
        </row>
        <row r="1055">
          <cell r="D1055">
            <v>40539</v>
          </cell>
          <cell r="F1055">
            <v>130.35590999999999</v>
          </cell>
          <cell r="K1055">
            <v>40539</v>
          </cell>
          <cell r="M1055">
            <v>17.851279999999999</v>
          </cell>
          <cell r="R1055">
            <v>40539</v>
          </cell>
          <cell r="T1055">
            <v>8.0500000000000007</v>
          </cell>
          <cell r="Y1055">
            <v>40539</v>
          </cell>
          <cell r="AA1055">
            <v>182.14</v>
          </cell>
          <cell r="AF1055">
            <v>40539</v>
          </cell>
          <cell r="AH1055">
            <v>43.187739999999998</v>
          </cell>
          <cell r="AM1055">
            <v>40539</v>
          </cell>
          <cell r="AO1055">
            <v>35.023060000000001</v>
          </cell>
          <cell r="AT1055">
            <v>40539</v>
          </cell>
          <cell r="AV1055">
            <v>28.09308</v>
          </cell>
          <cell r="BA1055">
            <v>40539</v>
          </cell>
          <cell r="BC1055">
            <v>22.27366</v>
          </cell>
          <cell r="BH1055">
            <v>40539</v>
          </cell>
          <cell r="BJ1055">
            <v>15.47974</v>
          </cell>
        </row>
        <row r="1056">
          <cell r="D1056">
            <v>40535</v>
          </cell>
          <cell r="F1056">
            <v>130.8492</v>
          </cell>
          <cell r="K1056">
            <v>40535</v>
          </cell>
          <cell r="M1056">
            <v>17.435110000000002</v>
          </cell>
          <cell r="R1056">
            <v>40535</v>
          </cell>
          <cell r="T1056">
            <v>8.0399999999999991</v>
          </cell>
          <cell r="Y1056">
            <v>40535</v>
          </cell>
          <cell r="AA1056">
            <v>182.59</v>
          </cell>
          <cell r="AF1056">
            <v>40535</v>
          </cell>
          <cell r="AH1056">
            <v>43.044080000000001</v>
          </cell>
          <cell r="AM1056">
            <v>40535</v>
          </cell>
          <cell r="AO1056">
            <v>35.131329999999998</v>
          </cell>
          <cell r="AT1056">
            <v>40535</v>
          </cell>
          <cell r="AV1056">
            <v>28.31326</v>
          </cell>
          <cell r="BA1056">
            <v>40535</v>
          </cell>
          <cell r="BC1056">
            <v>22.769690000000001</v>
          </cell>
          <cell r="BH1056">
            <v>40535</v>
          </cell>
          <cell r="BJ1056">
            <v>15.35209</v>
          </cell>
        </row>
        <row r="1057">
          <cell r="D1057">
            <v>40534</v>
          </cell>
          <cell r="F1057">
            <v>130.90302</v>
          </cell>
          <cell r="K1057">
            <v>40534</v>
          </cell>
          <cell r="M1057">
            <v>17.319990000000001</v>
          </cell>
          <cell r="R1057">
            <v>40534</v>
          </cell>
          <cell r="T1057">
            <v>8.1110000000000007</v>
          </cell>
          <cell r="Y1057">
            <v>40534</v>
          </cell>
          <cell r="AA1057">
            <v>184.76</v>
          </cell>
          <cell r="AF1057">
            <v>40534</v>
          </cell>
          <cell r="AH1057">
            <v>43.25159</v>
          </cell>
          <cell r="AM1057">
            <v>40534</v>
          </cell>
          <cell r="AO1057">
            <v>35.284700000000001</v>
          </cell>
          <cell r="AT1057">
            <v>40534</v>
          </cell>
          <cell r="AV1057">
            <v>28.31758</v>
          </cell>
          <cell r="BA1057">
            <v>40534</v>
          </cell>
          <cell r="BC1057">
            <v>22.178260000000002</v>
          </cell>
          <cell r="BH1057">
            <v>40534</v>
          </cell>
          <cell r="BJ1057">
            <v>15.369109999999999</v>
          </cell>
        </row>
        <row r="1058">
          <cell r="D1058">
            <v>40533</v>
          </cell>
          <cell r="F1058">
            <v>130.71467000000001</v>
          </cell>
          <cell r="K1058">
            <v>40533</v>
          </cell>
          <cell r="M1058">
            <v>17.293430000000001</v>
          </cell>
          <cell r="R1058">
            <v>40533</v>
          </cell>
          <cell r="T1058">
            <v>8.14</v>
          </cell>
          <cell r="Y1058">
            <v>40533</v>
          </cell>
          <cell r="AA1058">
            <v>184.75</v>
          </cell>
          <cell r="AF1058">
            <v>40533</v>
          </cell>
          <cell r="AH1058">
            <v>43.124560000000002</v>
          </cell>
          <cell r="AM1058">
            <v>40533</v>
          </cell>
          <cell r="AO1058">
            <v>34.9148</v>
          </cell>
          <cell r="AT1058">
            <v>40533</v>
          </cell>
          <cell r="AV1058">
            <v>28.27441</v>
          </cell>
          <cell r="BA1058">
            <v>40533</v>
          </cell>
          <cell r="BC1058">
            <v>22.559830000000002</v>
          </cell>
          <cell r="BH1058">
            <v>40533</v>
          </cell>
          <cell r="BJ1058">
            <v>15.113799999999999</v>
          </cell>
        </row>
        <row r="1059">
          <cell r="D1059">
            <v>40532</v>
          </cell>
          <cell r="F1059">
            <v>129.61148</v>
          </cell>
          <cell r="K1059">
            <v>40532</v>
          </cell>
          <cell r="M1059">
            <v>17.37312</v>
          </cell>
          <cell r="R1059">
            <v>40532</v>
          </cell>
          <cell r="T1059">
            <v>8.24</v>
          </cell>
          <cell r="Y1059">
            <v>40532</v>
          </cell>
          <cell r="AA1059">
            <v>183.29</v>
          </cell>
          <cell r="AF1059">
            <v>40532</v>
          </cell>
          <cell r="AH1059">
            <v>42.859189999999998</v>
          </cell>
          <cell r="AM1059">
            <v>40532</v>
          </cell>
          <cell r="AO1059">
            <v>34.761429999999997</v>
          </cell>
          <cell r="AT1059">
            <v>40532</v>
          </cell>
          <cell r="AV1059">
            <v>28.1967</v>
          </cell>
          <cell r="BA1059">
            <v>40532</v>
          </cell>
          <cell r="BC1059">
            <v>21.558229999999998</v>
          </cell>
          <cell r="BH1059">
            <v>40532</v>
          </cell>
          <cell r="BJ1059">
            <v>14.944940000000001</v>
          </cell>
        </row>
        <row r="1060">
          <cell r="D1060">
            <v>40529</v>
          </cell>
          <cell r="F1060">
            <v>130.05096</v>
          </cell>
          <cell r="K1060">
            <v>40529</v>
          </cell>
          <cell r="M1060">
            <v>17.311140000000002</v>
          </cell>
          <cell r="R1060">
            <v>40529</v>
          </cell>
          <cell r="T1060">
            <v>8.1</v>
          </cell>
          <cell r="Y1060">
            <v>40529</v>
          </cell>
          <cell r="AA1060">
            <v>177.58</v>
          </cell>
          <cell r="AF1060">
            <v>40529</v>
          </cell>
          <cell r="AH1060">
            <v>42.646360000000001</v>
          </cell>
          <cell r="AM1060">
            <v>40529</v>
          </cell>
          <cell r="AO1060">
            <v>34.923819999999999</v>
          </cell>
          <cell r="AT1060">
            <v>40529</v>
          </cell>
          <cell r="AV1060">
            <v>28.365069999999999</v>
          </cell>
          <cell r="BA1060">
            <v>40529</v>
          </cell>
          <cell r="BC1060">
            <v>21.367450000000002</v>
          </cell>
          <cell r="BH1060">
            <v>40529</v>
          </cell>
          <cell r="BJ1060">
            <v>14.944940000000001</v>
          </cell>
        </row>
        <row r="1061">
          <cell r="D1061">
            <v>40528</v>
          </cell>
          <cell r="F1061">
            <v>129.64734999999999</v>
          </cell>
          <cell r="K1061">
            <v>40528</v>
          </cell>
          <cell r="M1061">
            <v>17.488240000000001</v>
          </cell>
          <cell r="R1061">
            <v>40528</v>
          </cell>
          <cell r="T1061">
            <v>8.0299999999999994</v>
          </cell>
          <cell r="Y1061">
            <v>40528</v>
          </cell>
          <cell r="AA1061">
            <v>178.04</v>
          </cell>
          <cell r="AF1061">
            <v>40528</v>
          </cell>
          <cell r="AH1061">
            <v>42.731490000000001</v>
          </cell>
          <cell r="AM1061">
            <v>40528</v>
          </cell>
          <cell r="AO1061">
            <v>34.265219999999999</v>
          </cell>
          <cell r="AT1061">
            <v>40528</v>
          </cell>
          <cell r="AV1061">
            <v>28.20965</v>
          </cell>
          <cell r="BA1061">
            <v>40528</v>
          </cell>
          <cell r="BC1061">
            <v>19.097159999999999</v>
          </cell>
          <cell r="BH1061">
            <v>40528</v>
          </cell>
          <cell r="BJ1061">
            <v>15.00404</v>
          </cell>
        </row>
        <row r="1062">
          <cell r="D1062">
            <v>40527</v>
          </cell>
          <cell r="F1062">
            <v>129.79982999999999</v>
          </cell>
          <cell r="K1062">
            <v>40527</v>
          </cell>
          <cell r="M1062">
            <v>17.240300000000001</v>
          </cell>
          <cell r="R1062">
            <v>40527</v>
          </cell>
          <cell r="T1062">
            <v>8.02</v>
          </cell>
          <cell r="Y1062">
            <v>40527</v>
          </cell>
          <cell r="AA1062">
            <v>175.57</v>
          </cell>
          <cell r="AF1062">
            <v>40527</v>
          </cell>
          <cell r="AH1062">
            <v>42.613109999999999</v>
          </cell>
          <cell r="AM1062">
            <v>40527</v>
          </cell>
          <cell r="AO1062">
            <v>33.453249999999997</v>
          </cell>
          <cell r="AT1062">
            <v>40527</v>
          </cell>
          <cell r="AV1062">
            <v>27.950610000000001</v>
          </cell>
          <cell r="BA1062">
            <v>40527</v>
          </cell>
          <cell r="BC1062">
            <v>18.582049999999999</v>
          </cell>
          <cell r="BH1062">
            <v>40527</v>
          </cell>
          <cell r="BJ1062">
            <v>14.767620000000001</v>
          </cell>
        </row>
        <row r="1063">
          <cell r="D1063">
            <v>40526</v>
          </cell>
          <cell r="F1063">
            <v>130.78641999999999</v>
          </cell>
          <cell r="K1063">
            <v>40526</v>
          </cell>
          <cell r="M1063">
            <v>17.30228</v>
          </cell>
          <cell r="R1063">
            <v>40526</v>
          </cell>
          <cell r="T1063">
            <v>8.0500000000000007</v>
          </cell>
          <cell r="Y1063">
            <v>40526</v>
          </cell>
          <cell r="AA1063">
            <v>173.94</v>
          </cell>
          <cell r="AF1063">
            <v>40526</v>
          </cell>
          <cell r="AH1063">
            <v>42.6038</v>
          </cell>
          <cell r="AM1063">
            <v>40526</v>
          </cell>
          <cell r="AO1063">
            <v>33.615639999999999</v>
          </cell>
          <cell r="AT1063">
            <v>40526</v>
          </cell>
          <cell r="AV1063">
            <v>27.587949999999999</v>
          </cell>
          <cell r="BA1063">
            <v>40526</v>
          </cell>
          <cell r="BC1063">
            <v>17.923850000000002</v>
          </cell>
          <cell r="BH1063">
            <v>40526</v>
          </cell>
          <cell r="BJ1063">
            <v>14.936489999999999</v>
          </cell>
        </row>
        <row r="1064">
          <cell r="D1064">
            <v>40525</v>
          </cell>
          <cell r="F1064">
            <v>129.40519</v>
          </cell>
          <cell r="K1064">
            <v>40525</v>
          </cell>
          <cell r="M1064">
            <v>17.337700000000002</v>
          </cell>
          <cell r="R1064">
            <v>40525</v>
          </cell>
          <cell r="T1064">
            <v>8.23</v>
          </cell>
          <cell r="Y1064">
            <v>40525</v>
          </cell>
          <cell r="AA1064">
            <v>174.25</v>
          </cell>
          <cell r="AF1064">
            <v>40525</v>
          </cell>
          <cell r="AH1064">
            <v>42.78736</v>
          </cell>
          <cell r="AM1064">
            <v>40525</v>
          </cell>
          <cell r="AO1064">
            <v>33.381070000000001</v>
          </cell>
          <cell r="AT1064">
            <v>40525</v>
          </cell>
          <cell r="AV1064">
            <v>27.998100000000001</v>
          </cell>
          <cell r="BA1064">
            <v>40525</v>
          </cell>
          <cell r="BC1064">
            <v>17.027180000000001</v>
          </cell>
          <cell r="BH1064">
            <v>40525</v>
          </cell>
          <cell r="BJ1064">
            <v>14.87739</v>
          </cell>
        </row>
        <row r="1065">
          <cell r="D1065">
            <v>40522</v>
          </cell>
          <cell r="F1065">
            <v>129.88952</v>
          </cell>
          <cell r="K1065">
            <v>40522</v>
          </cell>
          <cell r="M1065">
            <v>17.443960000000001</v>
          </cell>
          <cell r="R1065">
            <v>40522</v>
          </cell>
          <cell r="T1065">
            <v>8.07</v>
          </cell>
          <cell r="Y1065">
            <v>40522</v>
          </cell>
          <cell r="AA1065">
            <v>175.62</v>
          </cell>
          <cell r="AF1065">
            <v>40522</v>
          </cell>
          <cell r="AH1065">
            <v>42.639710000000001</v>
          </cell>
          <cell r="AM1065">
            <v>40522</v>
          </cell>
          <cell r="AO1065">
            <v>33.516399999999997</v>
          </cell>
          <cell r="AT1065">
            <v>40522</v>
          </cell>
          <cell r="AV1065">
            <v>27.911750000000001</v>
          </cell>
          <cell r="BA1065">
            <v>40522</v>
          </cell>
          <cell r="BC1065">
            <v>17.217960000000001</v>
          </cell>
          <cell r="BH1065">
            <v>40522</v>
          </cell>
          <cell r="BJ1065">
            <v>14.961819999999999</v>
          </cell>
        </row>
        <row r="1066">
          <cell r="D1066">
            <v>40521</v>
          </cell>
          <cell r="F1066">
            <v>129.42312999999999</v>
          </cell>
          <cell r="K1066">
            <v>40521</v>
          </cell>
          <cell r="M1066">
            <v>17.443960000000001</v>
          </cell>
          <cell r="R1066">
            <v>40521</v>
          </cell>
          <cell r="T1066">
            <v>7.95</v>
          </cell>
          <cell r="Y1066">
            <v>40521</v>
          </cell>
          <cell r="AA1066">
            <v>174.85</v>
          </cell>
          <cell r="AF1066">
            <v>40521</v>
          </cell>
          <cell r="AH1066">
            <v>42.532960000000003</v>
          </cell>
          <cell r="AM1066">
            <v>40521</v>
          </cell>
          <cell r="AO1066">
            <v>33.011180000000003</v>
          </cell>
          <cell r="AT1066">
            <v>40521</v>
          </cell>
          <cell r="AV1066">
            <v>27.989460000000001</v>
          </cell>
          <cell r="BA1066">
            <v>40521</v>
          </cell>
          <cell r="BC1066">
            <v>16.865020000000001</v>
          </cell>
          <cell r="BH1066">
            <v>40521</v>
          </cell>
          <cell r="BJ1066">
            <v>14.463660000000001</v>
          </cell>
        </row>
        <row r="1067">
          <cell r="D1067">
            <v>40520</v>
          </cell>
          <cell r="F1067">
            <v>130.03301999999999</v>
          </cell>
          <cell r="K1067">
            <v>40520</v>
          </cell>
          <cell r="M1067">
            <v>17.134039999999999</v>
          </cell>
          <cell r="R1067">
            <v>40520</v>
          </cell>
          <cell r="T1067">
            <v>8.17</v>
          </cell>
          <cell r="Y1067">
            <v>40520</v>
          </cell>
          <cell r="AA1067">
            <v>176.29</v>
          </cell>
          <cell r="AF1067">
            <v>40520</v>
          </cell>
          <cell r="AH1067">
            <v>42.699570000000001</v>
          </cell>
          <cell r="AM1067">
            <v>40520</v>
          </cell>
          <cell r="AO1067">
            <v>33.164549999999998</v>
          </cell>
          <cell r="AT1067">
            <v>40520</v>
          </cell>
          <cell r="AV1067">
            <v>27.799499999999998</v>
          </cell>
          <cell r="BA1067">
            <v>40520</v>
          </cell>
          <cell r="BC1067">
            <v>16.626539999999999</v>
          </cell>
          <cell r="BH1067">
            <v>40520</v>
          </cell>
          <cell r="BJ1067">
            <v>14.38767</v>
          </cell>
        </row>
        <row r="1068">
          <cell r="D1068">
            <v>40519</v>
          </cell>
          <cell r="F1068">
            <v>129.172</v>
          </cell>
          <cell r="K1068">
            <v>40519</v>
          </cell>
          <cell r="M1068">
            <v>17.169460000000001</v>
          </cell>
          <cell r="R1068">
            <v>40519</v>
          </cell>
          <cell r="T1068">
            <v>8.02</v>
          </cell>
          <cell r="Y1068">
            <v>40519</v>
          </cell>
          <cell r="AA1068">
            <v>176.77</v>
          </cell>
          <cell r="AF1068">
            <v>40519</v>
          </cell>
          <cell r="AH1068">
            <v>42.327120000000001</v>
          </cell>
          <cell r="AM1068">
            <v>40519</v>
          </cell>
          <cell r="AO1068">
            <v>33.750970000000002</v>
          </cell>
          <cell r="AT1068">
            <v>40519</v>
          </cell>
          <cell r="AV1068">
            <v>27.691559999999999</v>
          </cell>
          <cell r="BA1068">
            <v>40519</v>
          </cell>
          <cell r="BC1068">
            <v>16.602699999999999</v>
          </cell>
          <cell r="BH1068">
            <v>40519</v>
          </cell>
          <cell r="BJ1068">
            <v>14.37922</v>
          </cell>
        </row>
        <row r="1069">
          <cell r="D1069">
            <v>40518</v>
          </cell>
          <cell r="F1069">
            <v>130.04199</v>
          </cell>
          <cell r="K1069">
            <v>40518</v>
          </cell>
          <cell r="M1069">
            <v>17.202670000000001</v>
          </cell>
          <cell r="R1069">
            <v>40518</v>
          </cell>
          <cell r="T1069">
            <v>7.819</v>
          </cell>
          <cell r="Y1069">
            <v>40518</v>
          </cell>
          <cell r="AA1069">
            <v>178.05</v>
          </cell>
          <cell r="AF1069">
            <v>40518</v>
          </cell>
          <cell r="AH1069">
            <v>42.585169999999998</v>
          </cell>
          <cell r="AM1069">
            <v>40518</v>
          </cell>
          <cell r="AO1069">
            <v>33.53445</v>
          </cell>
          <cell r="AT1069">
            <v>40518</v>
          </cell>
          <cell r="AV1069">
            <v>27.626799999999999</v>
          </cell>
          <cell r="BA1069">
            <v>40518</v>
          </cell>
          <cell r="BC1069">
            <v>15.70126</v>
          </cell>
          <cell r="BH1069">
            <v>40518</v>
          </cell>
          <cell r="BJ1069">
            <v>14.10059</v>
          </cell>
        </row>
        <row r="1070">
          <cell r="D1070">
            <v>40515</v>
          </cell>
          <cell r="F1070">
            <v>130.39178000000001</v>
          </cell>
          <cell r="K1070">
            <v>40515</v>
          </cell>
          <cell r="M1070">
            <v>16.886109999999999</v>
          </cell>
          <cell r="R1070">
            <v>40515</v>
          </cell>
          <cell r="T1070">
            <v>7.65</v>
          </cell>
          <cell r="Y1070">
            <v>40515</v>
          </cell>
          <cell r="AA1070">
            <v>175.68</v>
          </cell>
          <cell r="AF1070">
            <v>40515</v>
          </cell>
          <cell r="AH1070">
            <v>42.224699999999999</v>
          </cell>
          <cell r="AM1070">
            <v>40515</v>
          </cell>
          <cell r="AO1070">
            <v>33.5976</v>
          </cell>
          <cell r="AT1070">
            <v>40515</v>
          </cell>
          <cell r="AV1070">
            <v>27.846990000000002</v>
          </cell>
          <cell r="BA1070">
            <v>40515</v>
          </cell>
          <cell r="BC1070">
            <v>15.78711</v>
          </cell>
          <cell r="BH1070">
            <v>40515</v>
          </cell>
          <cell r="BJ1070">
            <v>14.168139999999999</v>
          </cell>
        </row>
        <row r="1071">
          <cell r="D1071">
            <v>40514</v>
          </cell>
          <cell r="F1071">
            <v>130.2124</v>
          </cell>
          <cell r="K1071">
            <v>40514</v>
          </cell>
          <cell r="M1071">
            <v>17.018930000000001</v>
          </cell>
          <cell r="R1071">
            <v>40514</v>
          </cell>
          <cell r="T1071">
            <v>7.54</v>
          </cell>
          <cell r="Y1071">
            <v>40514</v>
          </cell>
          <cell r="AA1071">
            <v>176.53</v>
          </cell>
          <cell r="AF1071">
            <v>40514</v>
          </cell>
          <cell r="AH1071">
            <v>42.319139999999997</v>
          </cell>
          <cell r="AM1071">
            <v>40514</v>
          </cell>
          <cell r="AO1071">
            <v>33.705860000000001</v>
          </cell>
          <cell r="AT1071">
            <v>40514</v>
          </cell>
          <cell r="AV1071">
            <v>28.019680000000001</v>
          </cell>
          <cell r="BA1071">
            <v>40514</v>
          </cell>
          <cell r="BC1071">
            <v>15.996969999999999</v>
          </cell>
          <cell r="BH1071">
            <v>40514</v>
          </cell>
          <cell r="BJ1071">
            <v>14.0837</v>
          </cell>
        </row>
        <row r="1072">
          <cell r="D1072">
            <v>40513</v>
          </cell>
          <cell r="F1072">
            <v>129.52179000000001</v>
          </cell>
          <cell r="K1072">
            <v>40513</v>
          </cell>
          <cell r="M1072">
            <v>17.107479999999999</v>
          </cell>
          <cell r="R1072">
            <v>40513</v>
          </cell>
          <cell r="T1072">
            <v>7.51</v>
          </cell>
          <cell r="Y1072">
            <v>40513</v>
          </cell>
          <cell r="AA1072">
            <v>176.55</v>
          </cell>
          <cell r="AF1072">
            <v>40513</v>
          </cell>
          <cell r="AH1072">
            <v>42.086359999999999</v>
          </cell>
          <cell r="AM1072">
            <v>40513</v>
          </cell>
          <cell r="AO1072">
            <v>33.038240000000002</v>
          </cell>
          <cell r="AT1072">
            <v>40513</v>
          </cell>
          <cell r="AV1072">
            <v>27.933340000000001</v>
          </cell>
          <cell r="BA1072">
            <v>40513</v>
          </cell>
          <cell r="BC1072">
            <v>15.70126</v>
          </cell>
          <cell r="BH1072">
            <v>40513</v>
          </cell>
          <cell r="BJ1072">
            <v>13.76285</v>
          </cell>
        </row>
        <row r="1073">
          <cell r="D1073">
            <v>40512</v>
          </cell>
          <cell r="F1073">
            <v>126.87591999999999</v>
          </cell>
          <cell r="K1073">
            <v>40512</v>
          </cell>
          <cell r="M1073">
            <v>16.965800000000002</v>
          </cell>
          <cell r="R1073">
            <v>40512</v>
          </cell>
          <cell r="T1073">
            <v>7.29</v>
          </cell>
          <cell r="Y1073">
            <v>40512</v>
          </cell>
          <cell r="AA1073">
            <v>175.4</v>
          </cell>
          <cell r="AF1073">
            <v>40512</v>
          </cell>
          <cell r="AH1073">
            <v>41.388030000000001</v>
          </cell>
          <cell r="AM1073">
            <v>40512</v>
          </cell>
          <cell r="AO1073">
            <v>32.099960000000003</v>
          </cell>
          <cell r="AT1073">
            <v>40512</v>
          </cell>
          <cell r="AV1073">
            <v>27.272780000000001</v>
          </cell>
          <cell r="BA1073">
            <v>40512</v>
          </cell>
          <cell r="BC1073">
            <v>15.34831</v>
          </cell>
          <cell r="BH1073">
            <v>40512</v>
          </cell>
          <cell r="BJ1073">
            <v>13.366009999999999</v>
          </cell>
        </row>
        <row r="1074">
          <cell r="D1074">
            <v>40511</v>
          </cell>
          <cell r="F1074">
            <v>128.1585</v>
          </cell>
          <cell r="K1074">
            <v>40511</v>
          </cell>
          <cell r="M1074">
            <v>17.213740000000001</v>
          </cell>
          <cell r="R1074">
            <v>40511</v>
          </cell>
          <cell r="T1074">
            <v>7.38</v>
          </cell>
          <cell r="Y1074">
            <v>40511</v>
          </cell>
          <cell r="AA1074">
            <v>179.49</v>
          </cell>
          <cell r="AF1074">
            <v>40511</v>
          </cell>
          <cell r="AH1074">
            <v>42.148879999999998</v>
          </cell>
          <cell r="AM1074">
            <v>40511</v>
          </cell>
          <cell r="AO1074">
            <v>32.163119999999999</v>
          </cell>
          <cell r="AT1074">
            <v>40511</v>
          </cell>
          <cell r="AV1074">
            <v>27.367760000000001</v>
          </cell>
          <cell r="BA1074">
            <v>40511</v>
          </cell>
          <cell r="BC1074">
            <v>15.36739</v>
          </cell>
          <cell r="BH1074">
            <v>40511</v>
          </cell>
          <cell r="BJ1074">
            <v>13.484220000000001</v>
          </cell>
        </row>
        <row r="1075">
          <cell r="D1075">
            <v>40508</v>
          </cell>
          <cell r="F1075">
            <v>129.06437</v>
          </cell>
          <cell r="K1075">
            <v>40508</v>
          </cell>
          <cell r="M1075">
            <v>17.258009999999999</v>
          </cell>
          <cell r="R1075">
            <v>40508</v>
          </cell>
          <cell r="T1075">
            <v>7.55</v>
          </cell>
          <cell r="Y1075">
            <v>40508</v>
          </cell>
          <cell r="AA1075">
            <v>177.2</v>
          </cell>
          <cell r="AF1075">
            <v>40508</v>
          </cell>
          <cell r="AH1075">
            <v>41.90014</v>
          </cell>
          <cell r="AM1075">
            <v>40508</v>
          </cell>
          <cell r="AO1075">
            <v>32.370620000000002</v>
          </cell>
          <cell r="AT1075">
            <v>40508</v>
          </cell>
          <cell r="AV1075">
            <v>27.48865</v>
          </cell>
          <cell r="BA1075">
            <v>40508</v>
          </cell>
          <cell r="BC1075">
            <v>15.453239999999999</v>
          </cell>
          <cell r="BH1075">
            <v>40508</v>
          </cell>
          <cell r="BJ1075">
            <v>13.340680000000001</v>
          </cell>
        </row>
        <row r="1076">
          <cell r="D1076">
            <v>40506</v>
          </cell>
          <cell r="F1076">
            <v>130.77744999999999</v>
          </cell>
          <cell r="K1076">
            <v>40506</v>
          </cell>
          <cell r="M1076">
            <v>17.231449999999999</v>
          </cell>
          <cell r="R1076">
            <v>40506</v>
          </cell>
          <cell r="T1076">
            <v>7.62</v>
          </cell>
          <cell r="Y1076">
            <v>40506</v>
          </cell>
          <cell r="AA1076">
            <v>177.25</v>
          </cell>
          <cell r="AF1076">
            <v>40506</v>
          </cell>
          <cell r="AH1076">
            <v>41.872869999999999</v>
          </cell>
          <cell r="AM1076">
            <v>40506</v>
          </cell>
          <cell r="AO1076">
            <v>32.62323</v>
          </cell>
          <cell r="AT1076">
            <v>40506</v>
          </cell>
          <cell r="AV1076">
            <v>27.703040000000001</v>
          </cell>
          <cell r="BA1076">
            <v>40506</v>
          </cell>
          <cell r="BC1076">
            <v>15.43416</v>
          </cell>
          <cell r="BH1076">
            <v>40506</v>
          </cell>
          <cell r="BJ1076">
            <v>13.45889</v>
          </cell>
        </row>
        <row r="1077">
          <cell r="D1077">
            <v>40505</v>
          </cell>
          <cell r="F1077">
            <v>128.4186</v>
          </cell>
          <cell r="K1077">
            <v>40505</v>
          </cell>
          <cell r="M1077">
            <v>17.00122</v>
          </cell>
          <cell r="R1077">
            <v>40505</v>
          </cell>
          <cell r="T1077">
            <v>7.32</v>
          </cell>
          <cell r="Y1077">
            <v>40505</v>
          </cell>
          <cell r="AA1077">
            <v>168.2</v>
          </cell>
          <cell r="AF1077">
            <v>40505</v>
          </cell>
          <cell r="AH1077">
            <v>41.066130000000001</v>
          </cell>
          <cell r="AM1077">
            <v>40505</v>
          </cell>
          <cell r="AO1077">
            <v>32.415730000000003</v>
          </cell>
          <cell r="AT1077">
            <v>40505</v>
          </cell>
          <cell r="AV1077">
            <v>27.278549999999999</v>
          </cell>
          <cell r="BA1077">
            <v>40505</v>
          </cell>
          <cell r="BC1077">
            <v>15.128920000000001</v>
          </cell>
          <cell r="BH1077">
            <v>40505</v>
          </cell>
          <cell r="BJ1077">
            <v>13.306900000000001</v>
          </cell>
        </row>
        <row r="1078">
          <cell r="D1078">
            <v>40504</v>
          </cell>
          <cell r="F1078">
            <v>130.40074999999999</v>
          </cell>
          <cell r="K1078">
            <v>40504</v>
          </cell>
          <cell r="M1078">
            <v>17.319990000000001</v>
          </cell>
          <cell r="R1078">
            <v>40504</v>
          </cell>
          <cell r="T1078">
            <v>7.41</v>
          </cell>
          <cell r="Y1078">
            <v>40504</v>
          </cell>
          <cell r="AA1078">
            <v>170.39</v>
          </cell>
          <cell r="AF1078">
            <v>40504</v>
          </cell>
          <cell r="AH1078">
            <v>41.681989999999999</v>
          </cell>
          <cell r="AM1078">
            <v>40504</v>
          </cell>
          <cell r="AO1078">
            <v>32.641280000000002</v>
          </cell>
          <cell r="AT1078">
            <v>40504</v>
          </cell>
          <cell r="AV1078">
            <v>27.55725</v>
          </cell>
          <cell r="BA1078">
            <v>40504</v>
          </cell>
          <cell r="BC1078">
            <v>15.195690000000001</v>
          </cell>
          <cell r="BH1078">
            <v>40504</v>
          </cell>
          <cell r="BJ1078">
            <v>13.534879999999999</v>
          </cell>
        </row>
        <row r="1079">
          <cell r="D1079">
            <v>40501</v>
          </cell>
          <cell r="F1079">
            <v>130.09581</v>
          </cell>
          <cell r="K1079">
            <v>40501</v>
          </cell>
          <cell r="M1079">
            <v>17.364270000000001</v>
          </cell>
          <cell r="R1079">
            <v>40501</v>
          </cell>
          <cell r="T1079">
            <v>7.47</v>
          </cell>
          <cell r="Y1079">
            <v>40501</v>
          </cell>
          <cell r="AA1079">
            <v>164.82</v>
          </cell>
          <cell r="AF1079">
            <v>40501</v>
          </cell>
          <cell r="AH1079">
            <v>40.800089999999997</v>
          </cell>
          <cell r="AM1079">
            <v>40501</v>
          </cell>
          <cell r="AO1079">
            <v>32.659320000000001</v>
          </cell>
          <cell r="AT1079">
            <v>40501</v>
          </cell>
          <cell r="AV1079">
            <v>27.578690000000002</v>
          </cell>
          <cell r="BA1079">
            <v>40501</v>
          </cell>
          <cell r="BC1079">
            <v>15.11938</v>
          </cell>
          <cell r="BH1079">
            <v>40501</v>
          </cell>
          <cell r="BJ1079">
            <v>13.6953</v>
          </cell>
        </row>
        <row r="1080">
          <cell r="D1080">
            <v>40500</v>
          </cell>
          <cell r="F1080">
            <v>129.47694000000001</v>
          </cell>
          <cell r="K1080">
            <v>40500</v>
          </cell>
          <cell r="M1080">
            <v>17.364270000000001</v>
          </cell>
          <cell r="R1080">
            <v>40500</v>
          </cell>
          <cell r="T1080">
            <v>7.35</v>
          </cell>
          <cell r="Y1080">
            <v>40500</v>
          </cell>
          <cell r="AA1080">
            <v>164.17</v>
          </cell>
          <cell r="AF1080">
            <v>40500</v>
          </cell>
          <cell r="AH1080">
            <v>41.026220000000002</v>
          </cell>
          <cell r="AM1080">
            <v>40500</v>
          </cell>
          <cell r="AO1080">
            <v>32.984110000000001</v>
          </cell>
          <cell r="AT1080">
            <v>40500</v>
          </cell>
          <cell r="AV1080">
            <v>27.372879999999999</v>
          </cell>
          <cell r="BA1080">
            <v>40500</v>
          </cell>
          <cell r="BC1080">
            <v>15.08122</v>
          </cell>
          <cell r="BH1080">
            <v>40500</v>
          </cell>
          <cell r="BJ1080">
            <v>13.54332</v>
          </cell>
        </row>
        <row r="1081">
          <cell r="D1081">
            <v>40499</v>
          </cell>
          <cell r="F1081">
            <v>127.31541</v>
          </cell>
          <cell r="K1081">
            <v>40499</v>
          </cell>
          <cell r="M1081">
            <v>17.182739999999999</v>
          </cell>
          <cell r="R1081">
            <v>40499</v>
          </cell>
          <cell r="T1081">
            <v>7.33</v>
          </cell>
          <cell r="Y1081">
            <v>40499</v>
          </cell>
          <cell r="AA1081">
            <v>158.35</v>
          </cell>
          <cell r="AF1081">
            <v>40499</v>
          </cell>
          <cell r="AH1081">
            <v>39.971400000000003</v>
          </cell>
          <cell r="AM1081">
            <v>40499</v>
          </cell>
          <cell r="AO1081">
            <v>31.09853</v>
          </cell>
          <cell r="AT1081">
            <v>40499</v>
          </cell>
          <cell r="AV1081">
            <v>26.806899999999999</v>
          </cell>
          <cell r="BA1081">
            <v>40499</v>
          </cell>
          <cell r="BC1081">
            <v>14.76643</v>
          </cell>
          <cell r="BH1081">
            <v>40499</v>
          </cell>
          <cell r="BJ1081">
            <v>13.349119999999999</v>
          </cell>
        </row>
        <row r="1082">
          <cell r="D1082">
            <v>40498</v>
          </cell>
          <cell r="F1082">
            <v>127.57550999999999</v>
          </cell>
          <cell r="K1082">
            <v>40498</v>
          </cell>
          <cell r="M1082">
            <v>17.209309999999999</v>
          </cell>
          <cell r="R1082">
            <v>40498</v>
          </cell>
          <cell r="T1082">
            <v>7.43</v>
          </cell>
          <cell r="Y1082">
            <v>40498</v>
          </cell>
          <cell r="AA1082">
            <v>157.78</v>
          </cell>
          <cell r="AF1082">
            <v>40498</v>
          </cell>
          <cell r="AH1082">
            <v>40.116390000000003</v>
          </cell>
          <cell r="AM1082">
            <v>40498</v>
          </cell>
          <cell r="AO1082">
            <v>31.0444</v>
          </cell>
          <cell r="AT1082">
            <v>40498</v>
          </cell>
          <cell r="AV1082">
            <v>26.61824</v>
          </cell>
          <cell r="BA1082">
            <v>40498</v>
          </cell>
          <cell r="BC1082">
            <v>14.81413</v>
          </cell>
          <cell r="BH1082">
            <v>40498</v>
          </cell>
          <cell r="BJ1082">
            <v>13.39134</v>
          </cell>
        </row>
        <row r="1083">
          <cell r="D1083">
            <v>40497</v>
          </cell>
          <cell r="F1083">
            <v>128.83116999999999</v>
          </cell>
          <cell r="K1083">
            <v>40497</v>
          </cell>
          <cell r="M1083">
            <v>17.665330000000001</v>
          </cell>
          <cell r="R1083">
            <v>40497</v>
          </cell>
          <cell r="T1083">
            <v>7.5650000000000004</v>
          </cell>
          <cell r="Y1083">
            <v>40497</v>
          </cell>
          <cell r="AA1083">
            <v>158.9</v>
          </cell>
          <cell r="AF1083">
            <v>40497</v>
          </cell>
          <cell r="AH1083">
            <v>40.84066</v>
          </cell>
          <cell r="AM1083">
            <v>40497</v>
          </cell>
          <cell r="AO1083">
            <v>31.477450000000001</v>
          </cell>
          <cell r="AT1083">
            <v>40497</v>
          </cell>
          <cell r="AV1083">
            <v>26.995560000000001</v>
          </cell>
          <cell r="BA1083">
            <v>40497</v>
          </cell>
          <cell r="BC1083">
            <v>14.976290000000001</v>
          </cell>
          <cell r="BH1083">
            <v>40497</v>
          </cell>
          <cell r="BJ1083">
            <v>13.678419999999999</v>
          </cell>
        </row>
        <row r="1084">
          <cell r="D1084">
            <v>40494</v>
          </cell>
          <cell r="F1084">
            <v>128.92086</v>
          </cell>
          <cell r="K1084">
            <v>40494</v>
          </cell>
          <cell r="M1084">
            <v>17.84243</v>
          </cell>
          <cell r="R1084">
            <v>40494</v>
          </cell>
          <cell r="T1084">
            <v>7.63</v>
          </cell>
          <cell r="Y1084">
            <v>40494</v>
          </cell>
          <cell r="AA1084">
            <v>165.68</v>
          </cell>
          <cell r="AF1084">
            <v>40494</v>
          </cell>
          <cell r="AH1084">
            <v>40.973019999999998</v>
          </cell>
          <cell r="AM1084">
            <v>40494</v>
          </cell>
          <cell r="AO1084">
            <v>31.594740000000002</v>
          </cell>
          <cell r="AT1084">
            <v>40494</v>
          </cell>
          <cell r="AV1084">
            <v>26.97841</v>
          </cell>
          <cell r="BA1084">
            <v>40494</v>
          </cell>
          <cell r="BC1084">
            <v>14.79505</v>
          </cell>
          <cell r="BH1084">
            <v>40494</v>
          </cell>
          <cell r="BJ1084">
            <v>13.72063</v>
          </cell>
        </row>
        <row r="1085">
          <cell r="D1085">
            <v>40493</v>
          </cell>
          <cell r="F1085">
            <v>130.43663000000001</v>
          </cell>
          <cell r="K1085">
            <v>40493</v>
          </cell>
          <cell r="M1085">
            <v>18.170059999999999</v>
          </cell>
          <cell r="R1085">
            <v>40493</v>
          </cell>
          <cell r="T1085">
            <v>7.63</v>
          </cell>
          <cell r="Y1085">
            <v>40493</v>
          </cell>
          <cell r="AA1085">
            <v>170.37</v>
          </cell>
          <cell r="AF1085">
            <v>40493</v>
          </cell>
          <cell r="AH1085">
            <v>42.120280000000001</v>
          </cell>
          <cell r="AM1085">
            <v>40493</v>
          </cell>
          <cell r="AO1085">
            <v>31.937570000000001</v>
          </cell>
          <cell r="AT1085">
            <v>40493</v>
          </cell>
          <cell r="AV1085">
            <v>26.926960000000001</v>
          </cell>
          <cell r="BA1085">
            <v>40493</v>
          </cell>
          <cell r="BC1085">
            <v>14.928599999999999</v>
          </cell>
          <cell r="BH1085">
            <v>40493</v>
          </cell>
          <cell r="BJ1085">
            <v>13.805070000000001</v>
          </cell>
        </row>
        <row r="1086">
          <cell r="D1086">
            <v>40492</v>
          </cell>
          <cell r="F1086">
            <v>131.44116</v>
          </cell>
          <cell r="K1086">
            <v>40492</v>
          </cell>
          <cell r="M1086">
            <v>21.685410000000001</v>
          </cell>
          <cell r="R1086">
            <v>40492</v>
          </cell>
          <cell r="T1086">
            <v>7.75</v>
          </cell>
          <cell r="Y1086">
            <v>40492</v>
          </cell>
          <cell r="AA1086">
            <v>173.33</v>
          </cell>
          <cell r="AF1086">
            <v>40492</v>
          </cell>
          <cell r="AH1086">
            <v>42.303179999999998</v>
          </cell>
          <cell r="AM1086">
            <v>40492</v>
          </cell>
          <cell r="AO1086">
            <v>31.82028</v>
          </cell>
          <cell r="AT1086">
            <v>40492</v>
          </cell>
          <cell r="AV1086">
            <v>26.819759999999999</v>
          </cell>
          <cell r="BA1086">
            <v>40492</v>
          </cell>
          <cell r="BC1086">
            <v>15.0526</v>
          </cell>
          <cell r="BH1086">
            <v>40492</v>
          </cell>
          <cell r="BJ1086">
            <v>13.973940000000001</v>
          </cell>
        </row>
        <row r="1087">
          <cell r="D1087">
            <v>40491</v>
          </cell>
          <cell r="F1087">
            <v>131.07343</v>
          </cell>
          <cell r="K1087">
            <v>40491</v>
          </cell>
          <cell r="M1087">
            <v>21.561440000000001</v>
          </cell>
          <cell r="R1087">
            <v>40491</v>
          </cell>
          <cell r="T1087">
            <v>7.91</v>
          </cell>
          <cell r="Y1087">
            <v>40491</v>
          </cell>
          <cell r="AA1087">
            <v>170.27</v>
          </cell>
          <cell r="AF1087">
            <v>40491</v>
          </cell>
          <cell r="AH1087">
            <v>42.043799999999997</v>
          </cell>
          <cell r="AM1087">
            <v>40491</v>
          </cell>
          <cell r="AO1087">
            <v>32.136049999999997</v>
          </cell>
          <cell r="AT1087">
            <v>40491</v>
          </cell>
          <cell r="AV1087">
            <v>26.858350000000002</v>
          </cell>
          <cell r="BA1087">
            <v>40491</v>
          </cell>
          <cell r="BC1087">
            <v>14.72828</v>
          </cell>
          <cell r="BH1087">
            <v>40491</v>
          </cell>
          <cell r="BJ1087">
            <v>14.03304</v>
          </cell>
        </row>
        <row r="1088">
          <cell r="D1088">
            <v>40490</v>
          </cell>
          <cell r="F1088">
            <v>131.36044000000001</v>
          </cell>
          <cell r="K1088">
            <v>40490</v>
          </cell>
          <cell r="M1088">
            <v>21.59686</v>
          </cell>
          <cell r="R1088">
            <v>40490</v>
          </cell>
          <cell r="T1088">
            <v>8.14</v>
          </cell>
          <cell r="Y1088">
            <v>40490</v>
          </cell>
          <cell r="AA1088">
            <v>171.99</v>
          </cell>
          <cell r="AF1088">
            <v>40490</v>
          </cell>
          <cell r="AH1088">
            <v>42.381659999999997</v>
          </cell>
          <cell r="AM1088">
            <v>40490</v>
          </cell>
          <cell r="AO1088">
            <v>31.775169999999999</v>
          </cell>
          <cell r="AT1088">
            <v>40490</v>
          </cell>
          <cell r="AV1088">
            <v>26.781169999999999</v>
          </cell>
          <cell r="BA1088">
            <v>40490</v>
          </cell>
          <cell r="BC1088">
            <v>15.08122</v>
          </cell>
          <cell r="BH1088">
            <v>40490</v>
          </cell>
          <cell r="BJ1088">
            <v>14.109030000000001</v>
          </cell>
        </row>
        <row r="1089">
          <cell r="D1089">
            <v>40487</v>
          </cell>
          <cell r="F1089">
            <v>131.19003000000001</v>
          </cell>
          <cell r="K1089">
            <v>40487</v>
          </cell>
          <cell r="M1089">
            <v>21.481750000000002</v>
          </cell>
          <cell r="R1089">
            <v>40487</v>
          </cell>
          <cell r="T1089">
            <v>8.0399999999999991</v>
          </cell>
          <cell r="Y1089">
            <v>40487</v>
          </cell>
          <cell r="AA1089">
            <v>170.77</v>
          </cell>
          <cell r="AF1089">
            <v>40487</v>
          </cell>
          <cell r="AH1089">
            <v>42.183459999999997</v>
          </cell>
          <cell r="AM1089">
            <v>40487</v>
          </cell>
          <cell r="AO1089">
            <v>31.76615</v>
          </cell>
          <cell r="AT1089">
            <v>40487</v>
          </cell>
          <cell r="AV1089">
            <v>26.832630000000002</v>
          </cell>
          <cell r="BA1089">
            <v>40487</v>
          </cell>
          <cell r="BC1089">
            <v>15.071680000000001</v>
          </cell>
          <cell r="BH1089">
            <v>40487</v>
          </cell>
          <cell r="BJ1089">
            <v>14.125920000000001</v>
          </cell>
        </row>
        <row r="1090">
          <cell r="D1090">
            <v>40486</v>
          </cell>
          <cell r="F1090">
            <v>131.07395</v>
          </cell>
          <cell r="K1090">
            <v>40486</v>
          </cell>
          <cell r="M1090">
            <v>21.437480000000001</v>
          </cell>
          <cell r="R1090">
            <v>40486</v>
          </cell>
          <cell r="T1090">
            <v>8</v>
          </cell>
          <cell r="Y1090">
            <v>40486</v>
          </cell>
          <cell r="AA1090">
            <v>168.93</v>
          </cell>
          <cell r="AF1090">
            <v>40486</v>
          </cell>
          <cell r="AH1090">
            <v>42.335099999999997</v>
          </cell>
          <cell r="AM1090">
            <v>40486</v>
          </cell>
          <cell r="AO1090">
            <v>32.199199999999998</v>
          </cell>
          <cell r="AT1090">
            <v>40486</v>
          </cell>
          <cell r="AV1090">
            <v>26.776890000000002</v>
          </cell>
          <cell r="BA1090">
            <v>40486</v>
          </cell>
          <cell r="BC1090">
            <v>14.938129999999999</v>
          </cell>
          <cell r="BH1090">
            <v>40486</v>
          </cell>
          <cell r="BJ1090">
            <v>13.940160000000001</v>
          </cell>
        </row>
        <row r="1091">
          <cell r="D1091">
            <v>40485</v>
          </cell>
          <cell r="F1091">
            <v>128.73446000000001</v>
          </cell>
          <cell r="K1091">
            <v>40485</v>
          </cell>
          <cell r="M1091">
            <v>20.99474</v>
          </cell>
          <cell r="R1091">
            <v>40485</v>
          </cell>
          <cell r="T1091">
            <v>7.64</v>
          </cell>
          <cell r="Y1091">
            <v>40485</v>
          </cell>
          <cell r="AA1091">
            <v>168.47</v>
          </cell>
          <cell r="AF1091">
            <v>40485</v>
          </cell>
          <cell r="AH1091">
            <v>41.607500000000002</v>
          </cell>
          <cell r="AM1091">
            <v>40485</v>
          </cell>
          <cell r="AO1091">
            <v>31.88344</v>
          </cell>
          <cell r="AT1091">
            <v>40485</v>
          </cell>
          <cell r="AV1091">
            <v>26.5625</v>
          </cell>
          <cell r="BA1091">
            <v>40485</v>
          </cell>
          <cell r="BC1091">
            <v>14.585190000000001</v>
          </cell>
          <cell r="BH1091">
            <v>40485</v>
          </cell>
          <cell r="BJ1091">
            <v>13.56021</v>
          </cell>
        </row>
        <row r="1092">
          <cell r="D1092">
            <v>40484</v>
          </cell>
          <cell r="F1092">
            <v>128.43978999999999</v>
          </cell>
          <cell r="K1092">
            <v>40484</v>
          </cell>
          <cell r="M1092">
            <v>20.516580000000001</v>
          </cell>
          <cell r="R1092">
            <v>40484</v>
          </cell>
          <cell r="T1092">
            <v>7.5350000000000001</v>
          </cell>
          <cell r="Y1092">
            <v>40484</v>
          </cell>
          <cell r="AA1092">
            <v>164.61</v>
          </cell>
          <cell r="AF1092">
            <v>40484</v>
          </cell>
          <cell r="AH1092">
            <v>41.149929999999998</v>
          </cell>
          <cell r="AM1092">
            <v>40484</v>
          </cell>
          <cell r="AO1092">
            <v>31.910499999999999</v>
          </cell>
          <cell r="AT1092">
            <v>40484</v>
          </cell>
          <cell r="AV1092">
            <v>26.523910000000001</v>
          </cell>
          <cell r="BA1092">
            <v>40484</v>
          </cell>
          <cell r="BC1092">
            <v>14.556570000000001</v>
          </cell>
          <cell r="BH1092">
            <v>40484</v>
          </cell>
          <cell r="BJ1092">
            <v>13.45889</v>
          </cell>
        </row>
        <row r="1093">
          <cell r="D1093">
            <v>40483</v>
          </cell>
          <cell r="F1093">
            <v>127.97546</v>
          </cell>
          <cell r="K1093">
            <v>40483</v>
          </cell>
          <cell r="M1093">
            <v>20.295210000000001</v>
          </cell>
          <cell r="R1093">
            <v>40483</v>
          </cell>
          <cell r="T1093">
            <v>7.36</v>
          </cell>
          <cell r="Y1093">
            <v>40483</v>
          </cell>
          <cell r="AA1093">
            <v>162.58000000000001</v>
          </cell>
          <cell r="AF1093">
            <v>40483</v>
          </cell>
          <cell r="AH1093">
            <v>40.460900000000002</v>
          </cell>
          <cell r="AM1093">
            <v>40483</v>
          </cell>
          <cell r="AO1093">
            <v>31.468430000000001</v>
          </cell>
          <cell r="AT1093">
            <v>40483</v>
          </cell>
          <cell r="AV1093">
            <v>26.459589999999999</v>
          </cell>
          <cell r="BA1093">
            <v>40483</v>
          </cell>
          <cell r="BC1093">
            <v>14.489800000000001</v>
          </cell>
          <cell r="BH1093">
            <v>40483</v>
          </cell>
          <cell r="BJ1093">
            <v>13.46733</v>
          </cell>
        </row>
        <row r="1094">
          <cell r="D1094">
            <v>40480</v>
          </cell>
          <cell r="F1094">
            <v>128.22548</v>
          </cell>
          <cell r="K1094">
            <v>40480</v>
          </cell>
          <cell r="M1094">
            <v>20.242080000000001</v>
          </cell>
          <cell r="R1094">
            <v>40480</v>
          </cell>
          <cell r="T1094">
            <v>7.335</v>
          </cell>
          <cell r="Y1094">
            <v>40480</v>
          </cell>
          <cell r="AA1094">
            <v>165.23</v>
          </cell>
          <cell r="AF1094">
            <v>40480</v>
          </cell>
          <cell r="AH1094">
            <v>40.035249999999998</v>
          </cell>
          <cell r="AM1094">
            <v>40480</v>
          </cell>
          <cell r="AO1094">
            <v>31.29701</v>
          </cell>
          <cell r="AT1094">
            <v>40480</v>
          </cell>
          <cell r="AV1094">
            <v>26.292369999999998</v>
          </cell>
          <cell r="BA1094">
            <v>40480</v>
          </cell>
          <cell r="BC1094">
            <v>14.81413</v>
          </cell>
          <cell r="BH1094">
            <v>40480</v>
          </cell>
          <cell r="BJ1094">
            <v>13.52643</v>
          </cell>
        </row>
        <row r="1095">
          <cell r="D1095">
            <v>40479</v>
          </cell>
          <cell r="F1095">
            <v>125.81456</v>
          </cell>
          <cell r="K1095">
            <v>40479</v>
          </cell>
          <cell r="M1095">
            <v>20.534289999999999</v>
          </cell>
          <cell r="R1095">
            <v>40479</v>
          </cell>
          <cell r="T1095">
            <v>7.63</v>
          </cell>
          <cell r="Y1095">
            <v>40479</v>
          </cell>
          <cell r="AA1095">
            <v>166.84</v>
          </cell>
          <cell r="AF1095">
            <v>40479</v>
          </cell>
          <cell r="AH1095">
            <v>40.601900000000001</v>
          </cell>
          <cell r="AM1095">
            <v>40479</v>
          </cell>
          <cell r="AO1095">
            <v>30.97222</v>
          </cell>
          <cell r="AT1095">
            <v>40479</v>
          </cell>
          <cell r="AV1095">
            <v>26.24521</v>
          </cell>
          <cell r="BA1095">
            <v>40479</v>
          </cell>
          <cell r="BC1095">
            <v>14.86182</v>
          </cell>
          <cell r="BH1095">
            <v>40479</v>
          </cell>
          <cell r="BJ1095">
            <v>13.57709</v>
          </cell>
        </row>
        <row r="1096">
          <cell r="D1096">
            <v>40478</v>
          </cell>
          <cell r="F1096">
            <v>126.28780999999999</v>
          </cell>
          <cell r="K1096">
            <v>40478</v>
          </cell>
          <cell r="M1096">
            <v>20.62284</v>
          </cell>
          <cell r="R1096">
            <v>40478</v>
          </cell>
          <cell r="T1096">
            <v>7.35</v>
          </cell>
          <cell r="Y1096">
            <v>40478</v>
          </cell>
          <cell r="AA1096">
            <v>167.51</v>
          </cell>
          <cell r="AF1096">
            <v>40478</v>
          </cell>
          <cell r="AH1096">
            <v>40.94641</v>
          </cell>
          <cell r="AM1096">
            <v>40478</v>
          </cell>
          <cell r="AO1096">
            <v>30.142209999999999</v>
          </cell>
          <cell r="AT1096">
            <v>40478</v>
          </cell>
          <cell r="AV1096">
            <v>26.236630000000002</v>
          </cell>
          <cell r="BA1096">
            <v>40478</v>
          </cell>
          <cell r="BC1096">
            <v>14.78551</v>
          </cell>
          <cell r="BH1096">
            <v>40478</v>
          </cell>
          <cell r="BJ1096">
            <v>13.60242</v>
          </cell>
        </row>
        <row r="1097">
          <cell r="D1097">
            <v>40477</v>
          </cell>
          <cell r="F1097">
            <v>125.60917999999999</v>
          </cell>
          <cell r="K1097">
            <v>40477</v>
          </cell>
          <cell r="M1097">
            <v>20.715810000000001</v>
          </cell>
          <cell r="R1097">
            <v>40477</v>
          </cell>
          <cell r="T1097">
            <v>7.2</v>
          </cell>
          <cell r="Y1097">
            <v>40477</v>
          </cell>
          <cell r="AA1097">
            <v>169.95</v>
          </cell>
          <cell r="AF1097">
            <v>40477</v>
          </cell>
          <cell r="AH1097">
            <v>40.975679999999997</v>
          </cell>
          <cell r="AM1097">
            <v>40477</v>
          </cell>
          <cell r="AO1097">
            <v>29.754270000000002</v>
          </cell>
          <cell r="AT1097">
            <v>40477</v>
          </cell>
          <cell r="AV1097">
            <v>26.25807</v>
          </cell>
          <cell r="BA1097">
            <v>40477</v>
          </cell>
          <cell r="BC1097">
            <v>14.976290000000001</v>
          </cell>
          <cell r="BH1097">
            <v>40477</v>
          </cell>
          <cell r="BJ1097">
            <v>13.644640000000001</v>
          </cell>
        </row>
        <row r="1098">
          <cell r="D1098">
            <v>40476</v>
          </cell>
          <cell r="F1098">
            <v>124.86805</v>
          </cell>
          <cell r="K1098">
            <v>40476</v>
          </cell>
          <cell r="M1098">
            <v>20.906189999999999</v>
          </cell>
          <cell r="R1098">
            <v>40476</v>
          </cell>
          <cell r="T1098">
            <v>7.26</v>
          </cell>
          <cell r="Y1098">
            <v>40476</v>
          </cell>
          <cell r="AA1098">
            <v>169</v>
          </cell>
          <cell r="AF1098">
            <v>40476</v>
          </cell>
          <cell r="AH1098">
            <v>41.080759999999998</v>
          </cell>
          <cell r="AM1098">
            <v>40476</v>
          </cell>
          <cell r="AO1098">
            <v>29.240020000000001</v>
          </cell>
          <cell r="AT1098">
            <v>40476</v>
          </cell>
          <cell r="AV1098">
            <v>26.15945</v>
          </cell>
          <cell r="BA1098">
            <v>40476</v>
          </cell>
          <cell r="BC1098">
            <v>14.81413</v>
          </cell>
          <cell r="BH1098">
            <v>40476</v>
          </cell>
          <cell r="BJ1098">
            <v>13.56021</v>
          </cell>
        </row>
        <row r="1099">
          <cell r="D1099">
            <v>40473</v>
          </cell>
          <cell r="F1099">
            <v>124.71625</v>
          </cell>
          <cell r="K1099">
            <v>40473</v>
          </cell>
          <cell r="M1099">
            <v>20.791080000000001</v>
          </cell>
          <cell r="R1099">
            <v>40473</v>
          </cell>
          <cell r="T1099">
            <v>6.89</v>
          </cell>
          <cell r="Y1099">
            <v>40473</v>
          </cell>
          <cell r="AA1099">
            <v>169.13</v>
          </cell>
          <cell r="AF1099">
            <v>40473</v>
          </cell>
          <cell r="AH1099">
            <v>40.898530000000001</v>
          </cell>
          <cell r="AM1099">
            <v>40473</v>
          </cell>
          <cell r="AO1099">
            <v>28.8611</v>
          </cell>
          <cell r="AT1099">
            <v>40473</v>
          </cell>
          <cell r="AV1099">
            <v>26.416720000000002</v>
          </cell>
          <cell r="BA1099">
            <v>40473</v>
          </cell>
          <cell r="BC1099">
            <v>14.69012</v>
          </cell>
          <cell r="BH1099">
            <v>40473</v>
          </cell>
          <cell r="BJ1099">
            <v>13.55599</v>
          </cell>
        </row>
        <row r="1100">
          <cell r="D1100">
            <v>40472</v>
          </cell>
          <cell r="F1100">
            <v>124.85912</v>
          </cell>
          <cell r="K1100">
            <v>40472</v>
          </cell>
          <cell r="M1100">
            <v>20.596270000000001</v>
          </cell>
          <cell r="R1100">
            <v>40472</v>
          </cell>
          <cell r="T1100">
            <v>6.89</v>
          </cell>
          <cell r="Y1100">
            <v>40472</v>
          </cell>
          <cell r="AA1100">
            <v>164.97</v>
          </cell>
          <cell r="AF1100">
            <v>40472</v>
          </cell>
          <cell r="AH1100">
            <v>41.171210000000002</v>
          </cell>
          <cell r="AM1100">
            <v>40472</v>
          </cell>
          <cell r="AO1100">
            <v>28.87012</v>
          </cell>
          <cell r="AT1100">
            <v>40472</v>
          </cell>
          <cell r="AV1100">
            <v>26.35669</v>
          </cell>
          <cell r="BA1100">
            <v>40472</v>
          </cell>
          <cell r="BC1100">
            <v>14.47072</v>
          </cell>
          <cell r="BH1100">
            <v>40472</v>
          </cell>
          <cell r="BJ1100">
            <v>13.59398</v>
          </cell>
        </row>
        <row r="1101">
          <cell r="D1101">
            <v>40471</v>
          </cell>
          <cell r="F1101">
            <v>124.18049000000001</v>
          </cell>
          <cell r="K1101">
            <v>40471</v>
          </cell>
          <cell r="M1101">
            <v>20.72024</v>
          </cell>
          <cell r="R1101">
            <v>40471</v>
          </cell>
          <cell r="T1101">
            <v>6.82</v>
          </cell>
          <cell r="Y1101">
            <v>40471</v>
          </cell>
          <cell r="AA1101">
            <v>158.66999999999999</v>
          </cell>
          <cell r="AF1101">
            <v>40471</v>
          </cell>
          <cell r="AH1101">
            <v>41.30556</v>
          </cell>
          <cell r="AM1101">
            <v>40471</v>
          </cell>
          <cell r="AO1101">
            <v>29.023489999999999</v>
          </cell>
          <cell r="AT1101">
            <v>40471</v>
          </cell>
          <cell r="AV1101">
            <v>26.219480000000001</v>
          </cell>
          <cell r="BA1101">
            <v>40471</v>
          </cell>
          <cell r="BC1101">
            <v>14.49934</v>
          </cell>
          <cell r="BH1101">
            <v>40471</v>
          </cell>
          <cell r="BJ1101">
            <v>13.55176</v>
          </cell>
        </row>
        <row r="1102">
          <cell r="D1102">
            <v>40470</v>
          </cell>
          <cell r="F1102">
            <v>123.25183</v>
          </cell>
          <cell r="K1102">
            <v>40470</v>
          </cell>
          <cell r="M1102">
            <v>20.339479999999998</v>
          </cell>
          <cell r="R1102">
            <v>40470</v>
          </cell>
          <cell r="T1102">
            <v>6.95</v>
          </cell>
          <cell r="Y1102">
            <v>40470</v>
          </cell>
          <cell r="AA1102">
            <v>158.66999999999999</v>
          </cell>
          <cell r="AF1102">
            <v>40470</v>
          </cell>
          <cell r="AH1102">
            <v>41.16722</v>
          </cell>
          <cell r="AM1102">
            <v>40470</v>
          </cell>
          <cell r="AO1102">
            <v>29.023489999999999</v>
          </cell>
          <cell r="AT1102">
            <v>40470</v>
          </cell>
          <cell r="AV1102">
            <v>25.872170000000001</v>
          </cell>
          <cell r="BA1102">
            <v>40470</v>
          </cell>
          <cell r="BC1102">
            <v>14.480259999999999</v>
          </cell>
          <cell r="BH1102">
            <v>40470</v>
          </cell>
          <cell r="BJ1102">
            <v>13.56865</v>
          </cell>
        </row>
        <row r="1103">
          <cell r="D1103">
            <v>40469</v>
          </cell>
          <cell r="F1103">
            <v>127.53792</v>
          </cell>
          <cell r="K1103">
            <v>40469</v>
          </cell>
          <cell r="M1103">
            <v>20.62726</v>
          </cell>
          <cell r="R1103">
            <v>40469</v>
          </cell>
          <cell r="T1103">
            <v>6.96</v>
          </cell>
          <cell r="Y1103">
            <v>40469</v>
          </cell>
          <cell r="AA1103">
            <v>163.56</v>
          </cell>
          <cell r="AF1103">
            <v>40469</v>
          </cell>
          <cell r="AH1103">
            <v>42.299190000000003</v>
          </cell>
          <cell r="AM1103">
            <v>40469</v>
          </cell>
          <cell r="AO1103">
            <v>30.033950000000001</v>
          </cell>
          <cell r="AT1103">
            <v>40469</v>
          </cell>
          <cell r="AV1103">
            <v>25.726389999999999</v>
          </cell>
          <cell r="BA1103">
            <v>40469</v>
          </cell>
          <cell r="BC1103">
            <v>14.78551</v>
          </cell>
          <cell r="BH1103">
            <v>40469</v>
          </cell>
          <cell r="BJ1103">
            <v>13.72063</v>
          </cell>
        </row>
        <row r="1104">
          <cell r="D1104">
            <v>40466</v>
          </cell>
          <cell r="F1104">
            <v>125.95743</v>
          </cell>
          <cell r="K1104">
            <v>40466</v>
          </cell>
          <cell r="M1104">
            <v>20.684819999999998</v>
          </cell>
          <cell r="R1104">
            <v>40466</v>
          </cell>
          <cell r="T1104">
            <v>7.12</v>
          </cell>
          <cell r="Y1104">
            <v>40466</v>
          </cell>
          <cell r="AA1104">
            <v>164.64</v>
          </cell>
          <cell r="AF1104">
            <v>40466</v>
          </cell>
          <cell r="AH1104">
            <v>41.865560000000002</v>
          </cell>
          <cell r="AM1104">
            <v>40466</v>
          </cell>
          <cell r="AO1104">
            <v>29.970790000000001</v>
          </cell>
          <cell r="AT1104">
            <v>40466</v>
          </cell>
          <cell r="AV1104">
            <v>25.700659999999999</v>
          </cell>
          <cell r="BA1104">
            <v>40466</v>
          </cell>
          <cell r="BC1104">
            <v>14.75689</v>
          </cell>
          <cell r="BH1104">
            <v>40466</v>
          </cell>
          <cell r="BJ1104">
            <v>13.76285</v>
          </cell>
        </row>
        <row r="1105">
          <cell r="D1105">
            <v>40465</v>
          </cell>
          <cell r="F1105">
            <v>126.35032</v>
          </cell>
          <cell r="K1105">
            <v>40465</v>
          </cell>
          <cell r="M1105">
            <v>20.42803</v>
          </cell>
          <cell r="R1105">
            <v>40465</v>
          </cell>
          <cell r="T1105">
            <v>7.1390000000000002</v>
          </cell>
          <cell r="Y1105">
            <v>40465</v>
          </cell>
          <cell r="AA1105">
            <v>155.53</v>
          </cell>
          <cell r="AF1105">
            <v>40465</v>
          </cell>
          <cell r="AH1105">
            <v>40.212159999999997</v>
          </cell>
          <cell r="AM1105">
            <v>40465</v>
          </cell>
          <cell r="AO1105">
            <v>30.05199</v>
          </cell>
          <cell r="AT1105">
            <v>40465</v>
          </cell>
          <cell r="AV1105">
            <v>25.687799999999999</v>
          </cell>
          <cell r="BA1105">
            <v>40465</v>
          </cell>
          <cell r="BC1105">
            <v>14.966749999999999</v>
          </cell>
          <cell r="BH1105">
            <v>40465</v>
          </cell>
          <cell r="BJ1105">
            <v>14.488989999999999</v>
          </cell>
        </row>
        <row r="1106">
          <cell r="D1106">
            <v>40464</v>
          </cell>
          <cell r="F1106">
            <v>125.3413</v>
          </cell>
          <cell r="K1106">
            <v>40464</v>
          </cell>
          <cell r="M1106">
            <v>20.52543</v>
          </cell>
          <cell r="R1106">
            <v>40464</v>
          </cell>
          <cell r="T1106">
            <v>7.22</v>
          </cell>
          <cell r="Y1106">
            <v>40464</v>
          </cell>
          <cell r="AA1106">
            <v>155.16999999999999</v>
          </cell>
          <cell r="AF1106">
            <v>40464</v>
          </cell>
          <cell r="AH1106">
            <v>39.923520000000003</v>
          </cell>
          <cell r="AM1106">
            <v>40464</v>
          </cell>
          <cell r="AO1106">
            <v>29.934699999999999</v>
          </cell>
          <cell r="AT1106">
            <v>40464</v>
          </cell>
          <cell r="AV1106">
            <v>25.700659999999999</v>
          </cell>
          <cell r="BA1106">
            <v>40464</v>
          </cell>
          <cell r="BC1106">
            <v>15.033519999999999</v>
          </cell>
          <cell r="BH1106">
            <v>40464</v>
          </cell>
          <cell r="BJ1106">
            <v>14.590310000000001</v>
          </cell>
        </row>
        <row r="1107">
          <cell r="D1107">
            <v>40463</v>
          </cell>
          <cell r="F1107">
            <v>124.87698</v>
          </cell>
          <cell r="K1107">
            <v>40463</v>
          </cell>
          <cell r="M1107">
            <v>20.02956</v>
          </cell>
          <cell r="R1107">
            <v>40463</v>
          </cell>
          <cell r="T1107">
            <v>7.3</v>
          </cell>
          <cell r="Y1107">
            <v>40463</v>
          </cell>
          <cell r="AA1107">
            <v>156.47999999999999</v>
          </cell>
          <cell r="AF1107">
            <v>40463</v>
          </cell>
          <cell r="AH1107">
            <v>39.71069</v>
          </cell>
          <cell r="AM1107">
            <v>40463</v>
          </cell>
          <cell r="AO1107">
            <v>29.627960000000002</v>
          </cell>
          <cell r="AT1107">
            <v>40463</v>
          </cell>
          <cell r="AV1107">
            <v>25.554880000000001</v>
          </cell>
          <cell r="BA1107">
            <v>40463</v>
          </cell>
          <cell r="BC1107">
            <v>14.966749999999999</v>
          </cell>
          <cell r="BH1107">
            <v>40463</v>
          </cell>
          <cell r="BJ1107">
            <v>14.51432</v>
          </cell>
        </row>
        <row r="1108">
          <cell r="D1108">
            <v>40462</v>
          </cell>
          <cell r="F1108">
            <v>124.70732</v>
          </cell>
          <cell r="K1108">
            <v>40462</v>
          </cell>
          <cell r="M1108">
            <v>19.896740000000001</v>
          </cell>
          <cell r="R1108">
            <v>40462</v>
          </cell>
          <cell r="T1108">
            <v>7.24</v>
          </cell>
          <cell r="Y1108">
            <v>40462</v>
          </cell>
          <cell r="AA1108">
            <v>153.03</v>
          </cell>
          <cell r="AF1108">
            <v>40462</v>
          </cell>
          <cell r="AH1108">
            <v>39.287700000000001</v>
          </cell>
          <cell r="AM1108">
            <v>40462</v>
          </cell>
          <cell r="AO1108">
            <v>29.46557</v>
          </cell>
          <cell r="AT1108">
            <v>40462</v>
          </cell>
          <cell r="AV1108">
            <v>25.53773</v>
          </cell>
          <cell r="BA1108">
            <v>40462</v>
          </cell>
          <cell r="BC1108">
            <v>15.09076</v>
          </cell>
          <cell r="BH1108">
            <v>40462</v>
          </cell>
          <cell r="BJ1108">
            <v>14.320119999999999</v>
          </cell>
        </row>
        <row r="1109">
          <cell r="D1109">
            <v>40459</v>
          </cell>
          <cell r="F1109">
            <v>123.98403999999999</v>
          </cell>
          <cell r="K1109">
            <v>40459</v>
          </cell>
          <cell r="M1109">
            <v>19.9056</v>
          </cell>
          <cell r="R1109">
            <v>40459</v>
          </cell>
          <cell r="T1109">
            <v>7.05</v>
          </cell>
          <cell r="Y1109">
            <v>40459</v>
          </cell>
          <cell r="AA1109">
            <v>155.55000000000001</v>
          </cell>
          <cell r="AF1109">
            <v>40459</v>
          </cell>
          <cell r="AH1109">
            <v>39.116109999999999</v>
          </cell>
          <cell r="AM1109">
            <v>40459</v>
          </cell>
          <cell r="AO1109">
            <v>29.420459999999999</v>
          </cell>
          <cell r="AT1109">
            <v>40459</v>
          </cell>
          <cell r="AV1109">
            <v>25.473410000000001</v>
          </cell>
          <cell r="BA1109">
            <v>40459</v>
          </cell>
          <cell r="BC1109">
            <v>15.0526</v>
          </cell>
          <cell r="BH1109">
            <v>40459</v>
          </cell>
          <cell r="BJ1109">
            <v>14.455209999999999</v>
          </cell>
        </row>
        <row r="1110">
          <cell r="D1110">
            <v>40458</v>
          </cell>
          <cell r="F1110">
            <v>123.86796</v>
          </cell>
          <cell r="K1110">
            <v>40458</v>
          </cell>
          <cell r="M1110">
            <v>19.825900000000001</v>
          </cell>
          <cell r="R1110">
            <v>40458</v>
          </cell>
          <cell r="T1110">
            <v>6.87</v>
          </cell>
          <cell r="Y1110">
            <v>40458</v>
          </cell>
          <cell r="AA1110">
            <v>156.27000000000001</v>
          </cell>
          <cell r="AF1110">
            <v>40458</v>
          </cell>
          <cell r="AH1110">
            <v>38.470979999999997</v>
          </cell>
          <cell r="AM1110">
            <v>40458</v>
          </cell>
          <cell r="AO1110">
            <v>29.564810000000001</v>
          </cell>
          <cell r="AT1110">
            <v>40458</v>
          </cell>
          <cell r="AV1110">
            <v>25.486280000000001</v>
          </cell>
          <cell r="BA1110">
            <v>40458</v>
          </cell>
          <cell r="BC1110">
            <v>14.76643</v>
          </cell>
          <cell r="BH1110">
            <v>40458</v>
          </cell>
          <cell r="BJ1110">
            <v>14.39611</v>
          </cell>
        </row>
        <row r="1111">
          <cell r="D1111">
            <v>40457</v>
          </cell>
          <cell r="F1111">
            <v>123.08217999999999</v>
          </cell>
          <cell r="K1111">
            <v>40457</v>
          </cell>
          <cell r="M1111">
            <v>19.746210000000001</v>
          </cell>
          <cell r="R1111">
            <v>40457</v>
          </cell>
          <cell r="T1111">
            <v>6.86</v>
          </cell>
          <cell r="Y1111">
            <v>40457</v>
          </cell>
          <cell r="AA1111">
            <v>155.4</v>
          </cell>
          <cell r="AF1111">
            <v>40457</v>
          </cell>
          <cell r="AH1111">
            <v>38.466990000000003</v>
          </cell>
          <cell r="AM1111">
            <v>40457</v>
          </cell>
          <cell r="AO1111">
            <v>29.285129999999999</v>
          </cell>
          <cell r="AT1111">
            <v>40457</v>
          </cell>
          <cell r="AV1111">
            <v>25.640640000000001</v>
          </cell>
          <cell r="BA1111">
            <v>40457</v>
          </cell>
          <cell r="BC1111">
            <v>14.938129999999999</v>
          </cell>
          <cell r="BH1111">
            <v>40457</v>
          </cell>
          <cell r="BJ1111">
            <v>14.26946</v>
          </cell>
        </row>
        <row r="1112">
          <cell r="D1112">
            <v>40456</v>
          </cell>
          <cell r="F1112">
            <v>122.92144999999999</v>
          </cell>
          <cell r="K1112">
            <v>40456</v>
          </cell>
          <cell r="M1112">
            <v>19.467279999999999</v>
          </cell>
          <cell r="R1112">
            <v>40456</v>
          </cell>
          <cell r="T1112">
            <v>6.98</v>
          </cell>
          <cell r="Y1112">
            <v>40456</v>
          </cell>
          <cell r="AA1112">
            <v>160.87</v>
          </cell>
          <cell r="AF1112">
            <v>40456</v>
          </cell>
          <cell r="AH1112">
            <v>38.433729999999997</v>
          </cell>
          <cell r="AM1112">
            <v>40456</v>
          </cell>
          <cell r="AO1112">
            <v>29.7272</v>
          </cell>
          <cell r="AT1112">
            <v>40456</v>
          </cell>
          <cell r="AV1112">
            <v>25.58061</v>
          </cell>
          <cell r="BA1112">
            <v>40456</v>
          </cell>
          <cell r="BC1112">
            <v>14.89044</v>
          </cell>
          <cell r="BH1112">
            <v>40456</v>
          </cell>
          <cell r="BJ1112">
            <v>13.940160000000001</v>
          </cell>
        </row>
        <row r="1113">
          <cell r="D1113">
            <v>40455</v>
          </cell>
          <cell r="F1113">
            <v>120.76948</v>
          </cell>
          <cell r="K1113">
            <v>40455</v>
          </cell>
          <cell r="M1113">
            <v>19.268049999999999</v>
          </cell>
          <cell r="R1113">
            <v>40455</v>
          </cell>
          <cell r="T1113">
            <v>6.94</v>
          </cell>
          <cell r="Y1113">
            <v>40455</v>
          </cell>
          <cell r="AA1113">
            <v>155.38999999999999</v>
          </cell>
          <cell r="AF1113">
            <v>40455</v>
          </cell>
          <cell r="AH1113">
            <v>37.063670000000002</v>
          </cell>
          <cell r="AM1113">
            <v>40455</v>
          </cell>
          <cell r="AO1113">
            <v>29.032509999999998</v>
          </cell>
          <cell r="AT1113">
            <v>40455</v>
          </cell>
          <cell r="AV1113">
            <v>25.246169999999999</v>
          </cell>
          <cell r="BA1113">
            <v>40455</v>
          </cell>
          <cell r="BC1113">
            <v>14.299020000000001</v>
          </cell>
          <cell r="BH1113">
            <v>40455</v>
          </cell>
          <cell r="BJ1113">
            <v>13.59398</v>
          </cell>
        </row>
        <row r="1114">
          <cell r="D1114">
            <v>40452</v>
          </cell>
          <cell r="F1114">
            <v>121.11772000000001</v>
          </cell>
          <cell r="K1114">
            <v>40452</v>
          </cell>
          <cell r="M1114">
            <v>19.400870000000001</v>
          </cell>
          <cell r="R1114">
            <v>40452</v>
          </cell>
          <cell r="T1114">
            <v>7.05</v>
          </cell>
          <cell r="Y1114">
            <v>40452</v>
          </cell>
          <cell r="AA1114">
            <v>153.71</v>
          </cell>
          <cell r="AF1114">
            <v>40452</v>
          </cell>
          <cell r="AH1114">
            <v>37.579770000000003</v>
          </cell>
          <cell r="AM1114">
            <v>40452</v>
          </cell>
          <cell r="AO1114">
            <v>29.636980000000001</v>
          </cell>
          <cell r="AT1114">
            <v>40452</v>
          </cell>
          <cell r="AV1114">
            <v>25.349070000000001</v>
          </cell>
          <cell r="BA1114">
            <v>40452</v>
          </cell>
          <cell r="BC1114">
            <v>14.413489999999999</v>
          </cell>
          <cell r="BH1114">
            <v>40452</v>
          </cell>
          <cell r="BJ1114">
            <v>13.813510000000001</v>
          </cell>
        </row>
        <row r="1115">
          <cell r="D1115">
            <v>40451</v>
          </cell>
          <cell r="F1115">
            <v>119.77831999999999</v>
          </cell>
          <cell r="K1115">
            <v>40451</v>
          </cell>
          <cell r="M1115">
            <v>19.392019999999999</v>
          </cell>
          <cell r="R1115">
            <v>40451</v>
          </cell>
          <cell r="T1115">
            <v>7.11</v>
          </cell>
          <cell r="Y1115">
            <v>40451</v>
          </cell>
          <cell r="AA1115">
            <v>157.06</v>
          </cell>
          <cell r="AF1115">
            <v>40451</v>
          </cell>
          <cell r="AH1115">
            <v>37.743380000000002</v>
          </cell>
          <cell r="AM1115">
            <v>40451</v>
          </cell>
          <cell r="AO1115">
            <v>29.808399999999999</v>
          </cell>
          <cell r="AT1115">
            <v>40451</v>
          </cell>
          <cell r="AV1115">
            <v>25.091809999999999</v>
          </cell>
          <cell r="BA1115">
            <v>40451</v>
          </cell>
          <cell r="BC1115">
            <v>14.4421</v>
          </cell>
          <cell r="BH1115">
            <v>40451</v>
          </cell>
          <cell r="BJ1115">
            <v>13.72063</v>
          </cell>
        </row>
        <row r="1116">
          <cell r="D1116">
            <v>40450</v>
          </cell>
          <cell r="F1116">
            <v>120.97485</v>
          </cell>
          <cell r="K1116">
            <v>40450</v>
          </cell>
          <cell r="M1116">
            <v>19.365449999999999</v>
          </cell>
          <cell r="R1116">
            <v>40450</v>
          </cell>
          <cell r="T1116">
            <v>7.28</v>
          </cell>
          <cell r="Y1116">
            <v>40450</v>
          </cell>
          <cell r="AA1116">
            <v>158.99</v>
          </cell>
          <cell r="AF1116">
            <v>40450</v>
          </cell>
          <cell r="AH1116">
            <v>38.224899999999998</v>
          </cell>
          <cell r="AM1116">
            <v>40450</v>
          </cell>
          <cell r="AO1116">
            <v>29.907640000000001</v>
          </cell>
          <cell r="AT1116">
            <v>40450</v>
          </cell>
          <cell r="AV1116">
            <v>25.194710000000001</v>
          </cell>
          <cell r="BA1116">
            <v>40450</v>
          </cell>
          <cell r="BC1116">
            <v>14.356249999999999</v>
          </cell>
          <cell r="BH1116">
            <v>40450</v>
          </cell>
          <cell r="BJ1116">
            <v>13.813510000000001</v>
          </cell>
        </row>
        <row r="1117">
          <cell r="D1117">
            <v>40449</v>
          </cell>
          <cell r="F1117">
            <v>120.44802</v>
          </cell>
          <cell r="K1117">
            <v>40449</v>
          </cell>
          <cell r="M1117">
            <v>19.358809999999998</v>
          </cell>
          <cell r="R1117">
            <v>40449</v>
          </cell>
          <cell r="T1117">
            <v>6.95</v>
          </cell>
          <cell r="Y1117">
            <v>40449</v>
          </cell>
          <cell r="AA1117">
            <v>159.69999999999999</v>
          </cell>
          <cell r="AF1117">
            <v>40449</v>
          </cell>
          <cell r="AH1117">
            <v>38.157060000000001</v>
          </cell>
          <cell r="AM1117">
            <v>40449</v>
          </cell>
          <cell r="AO1117">
            <v>29.776820000000001</v>
          </cell>
          <cell r="AT1117">
            <v>40449</v>
          </cell>
          <cell r="AV1117">
            <v>25.340499999999999</v>
          </cell>
          <cell r="BA1117">
            <v>40449</v>
          </cell>
          <cell r="BC1117">
            <v>14.21317</v>
          </cell>
          <cell r="BH1117">
            <v>40449</v>
          </cell>
          <cell r="BJ1117">
            <v>13.88106</v>
          </cell>
        </row>
        <row r="1118">
          <cell r="D1118">
            <v>40448</v>
          </cell>
          <cell r="F1118">
            <v>120.23371</v>
          </cell>
          <cell r="K1118">
            <v>40448</v>
          </cell>
          <cell r="M1118">
            <v>19.577970000000001</v>
          </cell>
          <cell r="R1118">
            <v>40448</v>
          </cell>
          <cell r="T1118">
            <v>7.02</v>
          </cell>
          <cell r="Y1118">
            <v>40448</v>
          </cell>
          <cell r="AA1118">
            <v>159.37</v>
          </cell>
          <cell r="AF1118">
            <v>40448</v>
          </cell>
          <cell r="AH1118">
            <v>38.729559999999999</v>
          </cell>
          <cell r="AM1118">
            <v>40448</v>
          </cell>
          <cell r="AO1118">
            <v>29.462910000000001</v>
          </cell>
          <cell r="AT1118">
            <v>40448</v>
          </cell>
          <cell r="AV1118">
            <v>25.126110000000001</v>
          </cell>
          <cell r="BA1118">
            <v>40448</v>
          </cell>
          <cell r="BC1118">
            <v>14.07962</v>
          </cell>
          <cell r="BH1118">
            <v>40448</v>
          </cell>
          <cell r="BJ1118">
            <v>13.87262</v>
          </cell>
        </row>
        <row r="1119">
          <cell r="D1119">
            <v>40445</v>
          </cell>
          <cell r="F1119">
            <v>119.75153</v>
          </cell>
          <cell r="K1119">
            <v>40445</v>
          </cell>
          <cell r="M1119">
            <v>19.56026</v>
          </cell>
          <cell r="R1119">
            <v>40445</v>
          </cell>
          <cell r="T1119">
            <v>6.84</v>
          </cell>
          <cell r="Y1119">
            <v>40445</v>
          </cell>
          <cell r="AA1119">
            <v>160.72999999999999</v>
          </cell>
          <cell r="AF1119">
            <v>40445</v>
          </cell>
          <cell r="AH1119">
            <v>38.883330000000001</v>
          </cell>
          <cell r="AM1119">
            <v>40445</v>
          </cell>
          <cell r="AO1119">
            <v>30.00104</v>
          </cell>
          <cell r="AT1119">
            <v>40445</v>
          </cell>
          <cell r="AV1119">
            <v>25.134679999999999</v>
          </cell>
          <cell r="BA1119">
            <v>40445</v>
          </cell>
          <cell r="BC1119">
            <v>14.060589999999999</v>
          </cell>
          <cell r="BH1119">
            <v>40445</v>
          </cell>
          <cell r="BJ1119">
            <v>14.06682</v>
          </cell>
        </row>
        <row r="1120">
          <cell r="D1120">
            <v>40444</v>
          </cell>
          <cell r="F1120">
            <v>117.57277000000001</v>
          </cell>
          <cell r="K1120">
            <v>40444</v>
          </cell>
          <cell r="M1120">
            <v>19.06439</v>
          </cell>
          <cell r="R1120">
            <v>40444</v>
          </cell>
          <cell r="T1120">
            <v>6.4</v>
          </cell>
          <cell r="Y1120">
            <v>40444</v>
          </cell>
          <cell r="AA1120">
            <v>152.85</v>
          </cell>
          <cell r="AF1120">
            <v>40444</v>
          </cell>
          <cell r="AH1120">
            <v>38.431069999999998</v>
          </cell>
          <cell r="AM1120">
            <v>40444</v>
          </cell>
          <cell r="AO1120">
            <v>29.175899999999999</v>
          </cell>
          <cell r="AT1120">
            <v>40444</v>
          </cell>
          <cell r="AV1120">
            <v>24.813099999999999</v>
          </cell>
          <cell r="BA1120">
            <v>40444</v>
          </cell>
          <cell r="BC1120">
            <v>13.35661</v>
          </cell>
          <cell r="BH1120">
            <v>40444</v>
          </cell>
          <cell r="BJ1120">
            <v>13.627750000000001</v>
          </cell>
        </row>
        <row r="1121">
          <cell r="D1121">
            <v>40443</v>
          </cell>
          <cell r="F1121">
            <v>118.37641000000001</v>
          </cell>
          <cell r="K1121">
            <v>40443</v>
          </cell>
          <cell r="M1121">
            <v>19.188359999999999</v>
          </cell>
          <cell r="R1121">
            <v>40443</v>
          </cell>
          <cell r="T1121">
            <v>6.26</v>
          </cell>
          <cell r="Y1121">
            <v>40443</v>
          </cell>
          <cell r="AA1121">
            <v>151.83000000000001</v>
          </cell>
          <cell r="AF1121">
            <v>40443</v>
          </cell>
          <cell r="AH1121">
            <v>38.275440000000003</v>
          </cell>
          <cell r="AM1121">
            <v>40443</v>
          </cell>
          <cell r="AO1121">
            <v>29.418060000000001</v>
          </cell>
          <cell r="AT1121">
            <v>40443</v>
          </cell>
          <cell r="AV1121">
            <v>24.967459999999999</v>
          </cell>
          <cell r="BA1121">
            <v>40443</v>
          </cell>
          <cell r="BC1121">
            <v>13.55639</v>
          </cell>
          <cell r="BH1121">
            <v>40443</v>
          </cell>
          <cell r="BJ1121">
            <v>13.93172</v>
          </cell>
        </row>
        <row r="1122">
          <cell r="D1122">
            <v>40442</v>
          </cell>
          <cell r="F1122">
            <v>117.84958</v>
          </cell>
          <cell r="K1122">
            <v>40442</v>
          </cell>
          <cell r="M1122">
            <v>19.16179</v>
          </cell>
          <cell r="R1122">
            <v>40442</v>
          </cell>
          <cell r="T1122">
            <v>6.1710000000000003</v>
          </cell>
          <cell r="Y1122">
            <v>40442</v>
          </cell>
          <cell r="AA1122">
            <v>150.72999999999999</v>
          </cell>
          <cell r="AF1122">
            <v>40442</v>
          </cell>
          <cell r="AH1122">
            <v>37.746040000000001</v>
          </cell>
          <cell r="AM1122">
            <v>40442</v>
          </cell>
          <cell r="AO1122">
            <v>29.696100000000001</v>
          </cell>
          <cell r="AT1122">
            <v>40442</v>
          </cell>
          <cell r="AV1122">
            <v>24.91601</v>
          </cell>
          <cell r="BA1122">
            <v>40442</v>
          </cell>
          <cell r="BC1122">
            <v>14.060589999999999</v>
          </cell>
          <cell r="BH1122">
            <v>40442</v>
          </cell>
          <cell r="BJ1122">
            <v>13.94861</v>
          </cell>
        </row>
        <row r="1123">
          <cell r="D1123">
            <v>40441</v>
          </cell>
          <cell r="F1123">
            <v>117.67992</v>
          </cell>
          <cell r="K1123">
            <v>40441</v>
          </cell>
          <cell r="M1123">
            <v>19.25911</v>
          </cell>
          <cell r="R1123">
            <v>40441</v>
          </cell>
          <cell r="T1123">
            <v>6.09</v>
          </cell>
          <cell r="Y1123">
            <v>40441</v>
          </cell>
          <cell r="AA1123">
            <v>151.3048</v>
          </cell>
          <cell r="AF1123">
            <v>40441</v>
          </cell>
          <cell r="AH1123">
            <v>37.674210000000002</v>
          </cell>
          <cell r="AM1123">
            <v>40441</v>
          </cell>
          <cell r="AO1123">
            <v>29.696100000000001</v>
          </cell>
          <cell r="AT1123">
            <v>40441</v>
          </cell>
          <cell r="AV1123">
            <v>24.855979999999999</v>
          </cell>
          <cell r="BA1123">
            <v>40441</v>
          </cell>
          <cell r="BC1123">
            <v>13.984489999999999</v>
          </cell>
          <cell r="BH1123">
            <v>40441</v>
          </cell>
          <cell r="BJ1123">
            <v>13.973940000000001</v>
          </cell>
        </row>
        <row r="1124">
          <cell r="D1124">
            <v>40438</v>
          </cell>
          <cell r="F1124">
            <v>116.25122</v>
          </cell>
          <cell r="K1124">
            <v>40438</v>
          </cell>
          <cell r="M1124">
            <v>19.358809999999998</v>
          </cell>
          <cell r="R1124">
            <v>40438</v>
          </cell>
          <cell r="T1124">
            <v>6.12</v>
          </cell>
          <cell r="Y1124">
            <v>40438</v>
          </cell>
          <cell r="AA1124">
            <v>148.32499999999999</v>
          </cell>
          <cell r="AF1124">
            <v>40438</v>
          </cell>
          <cell r="AH1124">
            <v>36.628700000000002</v>
          </cell>
          <cell r="AM1124">
            <v>40438</v>
          </cell>
          <cell r="AO1124">
            <v>29.274560000000001</v>
          </cell>
          <cell r="AT1124">
            <v>40438</v>
          </cell>
          <cell r="AV1124">
            <v>24.68018</v>
          </cell>
          <cell r="BA1124">
            <v>40438</v>
          </cell>
          <cell r="BC1124">
            <v>14.00352</v>
          </cell>
          <cell r="BH1124">
            <v>40438</v>
          </cell>
          <cell r="BJ1124">
            <v>13.75441</v>
          </cell>
        </row>
        <row r="1125">
          <cell r="D1125">
            <v>40437</v>
          </cell>
          <cell r="F1125">
            <v>115.7869</v>
          </cell>
          <cell r="K1125">
            <v>40437</v>
          </cell>
          <cell r="M1125">
            <v>19.418579999999999</v>
          </cell>
          <cell r="R1125">
            <v>40437</v>
          </cell>
          <cell r="T1125">
            <v>6.15</v>
          </cell>
          <cell r="Y1125">
            <v>40437</v>
          </cell>
          <cell r="AA1125">
            <v>148.13</v>
          </cell>
          <cell r="AF1125">
            <v>40437</v>
          </cell>
          <cell r="AH1125">
            <v>36.788319999999999</v>
          </cell>
          <cell r="AM1125">
            <v>40437</v>
          </cell>
          <cell r="AO1125">
            <v>29.202809999999999</v>
          </cell>
          <cell r="AT1125">
            <v>40437</v>
          </cell>
          <cell r="AV1125">
            <v>24.658750000000001</v>
          </cell>
          <cell r="BA1125">
            <v>40437</v>
          </cell>
          <cell r="BC1125">
            <v>13.86082</v>
          </cell>
          <cell r="BH1125">
            <v>40437</v>
          </cell>
          <cell r="BJ1125">
            <v>13.703749999999999</v>
          </cell>
        </row>
        <row r="1126">
          <cell r="D1126">
            <v>40436</v>
          </cell>
          <cell r="F1126">
            <v>115.57259000000001</v>
          </cell>
          <cell r="K1126">
            <v>40436</v>
          </cell>
          <cell r="M1126">
            <v>19.117519999999999</v>
          </cell>
          <cell r="R1126">
            <v>40436</v>
          </cell>
          <cell r="T1126">
            <v>6.22</v>
          </cell>
          <cell r="Y1126">
            <v>40436</v>
          </cell>
          <cell r="AA1126">
            <v>145.44999999999999</v>
          </cell>
          <cell r="AF1126">
            <v>40436</v>
          </cell>
          <cell r="AH1126">
            <v>35.943669999999997</v>
          </cell>
          <cell r="AM1126">
            <v>40436</v>
          </cell>
          <cell r="AO1126">
            <v>29.579499999999999</v>
          </cell>
          <cell r="AT1126">
            <v>40436</v>
          </cell>
          <cell r="AV1126">
            <v>24.620159999999998</v>
          </cell>
          <cell r="BA1126">
            <v>40436</v>
          </cell>
          <cell r="BC1126">
            <v>14.28891</v>
          </cell>
          <cell r="BH1126">
            <v>40436</v>
          </cell>
          <cell r="BJ1126">
            <v>13.6953</v>
          </cell>
        </row>
        <row r="1127">
          <cell r="D1127">
            <v>40435</v>
          </cell>
          <cell r="F1127">
            <v>115.05468999999999</v>
          </cell>
          <cell r="K1127">
            <v>40435</v>
          </cell>
          <cell r="M1127">
            <v>18.993549999999999</v>
          </cell>
          <cell r="R1127">
            <v>40435</v>
          </cell>
          <cell r="T1127">
            <v>6.27</v>
          </cell>
          <cell r="Y1127">
            <v>40435</v>
          </cell>
          <cell r="AA1127">
            <v>145.75</v>
          </cell>
          <cell r="AF1127">
            <v>40435</v>
          </cell>
          <cell r="AH1127">
            <v>35.656350000000003</v>
          </cell>
          <cell r="AM1127">
            <v>40435</v>
          </cell>
          <cell r="AO1127">
            <v>28.5122</v>
          </cell>
          <cell r="AT1127">
            <v>40435</v>
          </cell>
          <cell r="AV1127">
            <v>24.693049999999999</v>
          </cell>
          <cell r="BA1127">
            <v>40435</v>
          </cell>
          <cell r="BC1127">
            <v>14.26037</v>
          </cell>
          <cell r="BH1127">
            <v>40435</v>
          </cell>
          <cell r="BJ1127">
            <v>13.54444</v>
          </cell>
        </row>
        <row r="1128">
          <cell r="D1128">
            <v>40434</v>
          </cell>
          <cell r="F1128">
            <v>115.73332000000001</v>
          </cell>
          <cell r="K1128">
            <v>40434</v>
          </cell>
          <cell r="M1128">
            <v>18.825310000000002</v>
          </cell>
          <cell r="R1128">
            <v>40434</v>
          </cell>
          <cell r="T1128">
            <v>6.18</v>
          </cell>
          <cell r="Y1128">
            <v>40434</v>
          </cell>
          <cell r="AA1128">
            <v>145.07</v>
          </cell>
          <cell r="AF1128">
            <v>40434</v>
          </cell>
          <cell r="AH1128">
            <v>35.520679999999999</v>
          </cell>
          <cell r="AM1128">
            <v>40434</v>
          </cell>
          <cell r="AO1128">
            <v>28.34179</v>
          </cell>
          <cell r="AT1128">
            <v>40434</v>
          </cell>
          <cell r="AV1128">
            <v>24.881710000000002</v>
          </cell>
          <cell r="BA1128">
            <v>40434</v>
          </cell>
          <cell r="BC1128">
            <v>14.241350000000001</v>
          </cell>
          <cell r="BH1128">
            <v>40434</v>
          </cell>
          <cell r="BJ1128">
            <v>13.619870000000001</v>
          </cell>
        </row>
        <row r="1129">
          <cell r="D1129">
            <v>40431</v>
          </cell>
          <cell r="F1129">
            <v>114.28677</v>
          </cell>
          <cell r="K1129">
            <v>40431</v>
          </cell>
          <cell r="M1129">
            <v>18.258600000000001</v>
          </cell>
          <cell r="R1129">
            <v>40431</v>
          </cell>
          <cell r="T1129">
            <v>5.81</v>
          </cell>
          <cell r="Y1129">
            <v>40431</v>
          </cell>
          <cell r="AA1129">
            <v>142.44</v>
          </cell>
          <cell r="AF1129">
            <v>40431</v>
          </cell>
          <cell r="AH1129">
            <v>35.03783</v>
          </cell>
          <cell r="AM1129">
            <v>40431</v>
          </cell>
          <cell r="AO1129">
            <v>28.34179</v>
          </cell>
          <cell r="AT1129">
            <v>40431</v>
          </cell>
          <cell r="AV1129">
            <v>24.90315</v>
          </cell>
          <cell r="BA1129">
            <v>40431</v>
          </cell>
          <cell r="BC1129">
            <v>14.060589999999999</v>
          </cell>
          <cell r="BH1129">
            <v>40431</v>
          </cell>
          <cell r="BJ1129">
            <v>13.39357</v>
          </cell>
        </row>
        <row r="1130">
          <cell r="D1130">
            <v>40430</v>
          </cell>
          <cell r="F1130">
            <v>112.83128000000001</v>
          </cell>
          <cell r="K1130">
            <v>40430</v>
          </cell>
          <cell r="M1130">
            <v>18.249749999999999</v>
          </cell>
          <cell r="R1130">
            <v>40430</v>
          </cell>
          <cell r="T1130">
            <v>5.86</v>
          </cell>
          <cell r="Y1130">
            <v>40430</v>
          </cell>
          <cell r="AA1130">
            <v>140.38</v>
          </cell>
          <cell r="AF1130">
            <v>40430</v>
          </cell>
          <cell r="AH1130">
            <v>34.992600000000003</v>
          </cell>
          <cell r="AM1130">
            <v>40430</v>
          </cell>
          <cell r="AO1130">
            <v>28.521170000000001</v>
          </cell>
          <cell r="AT1130">
            <v>40430</v>
          </cell>
          <cell r="AV1130">
            <v>24.80527</v>
          </cell>
          <cell r="BA1130">
            <v>40430</v>
          </cell>
          <cell r="BC1130">
            <v>13.95595</v>
          </cell>
          <cell r="BH1130">
            <v>40430</v>
          </cell>
          <cell r="BJ1130">
            <v>13.334899999999999</v>
          </cell>
        </row>
        <row r="1131">
          <cell r="D1131">
            <v>40429</v>
          </cell>
          <cell r="F1131">
            <v>112.58126</v>
          </cell>
          <cell r="K1131">
            <v>40429</v>
          </cell>
          <cell r="M1131">
            <v>18.276309999999999</v>
          </cell>
          <cell r="R1131">
            <v>40429</v>
          </cell>
          <cell r="T1131">
            <v>5.83</v>
          </cell>
          <cell r="Y1131">
            <v>40429</v>
          </cell>
          <cell r="AA1131">
            <v>139.13999999999999</v>
          </cell>
          <cell r="AF1131">
            <v>40429</v>
          </cell>
          <cell r="AH1131">
            <v>34.972650000000002</v>
          </cell>
          <cell r="AM1131">
            <v>40429</v>
          </cell>
          <cell r="AO1131">
            <v>28.32386</v>
          </cell>
          <cell r="AT1131">
            <v>40429</v>
          </cell>
          <cell r="AV1131">
            <v>24.60952</v>
          </cell>
          <cell r="BA1131">
            <v>40429</v>
          </cell>
          <cell r="BC1131">
            <v>13.908379999999999</v>
          </cell>
          <cell r="BH1131">
            <v>40429</v>
          </cell>
          <cell r="BJ1131">
            <v>13.15889</v>
          </cell>
        </row>
        <row r="1132">
          <cell r="D1132">
            <v>40428</v>
          </cell>
          <cell r="F1132">
            <v>112.46518</v>
          </cell>
          <cell r="K1132">
            <v>40428</v>
          </cell>
          <cell r="M1132">
            <v>18.223179999999999</v>
          </cell>
          <cell r="R1132">
            <v>40428</v>
          </cell>
          <cell r="T1132">
            <v>5.95</v>
          </cell>
          <cell r="Y1132">
            <v>40428</v>
          </cell>
          <cell r="AA1132">
            <v>137.22</v>
          </cell>
          <cell r="AF1132">
            <v>40428</v>
          </cell>
          <cell r="AH1132">
            <v>34.292940000000002</v>
          </cell>
          <cell r="AM1132">
            <v>40428</v>
          </cell>
          <cell r="AO1132">
            <v>28.02788</v>
          </cell>
          <cell r="AT1132">
            <v>40428</v>
          </cell>
          <cell r="AV1132">
            <v>24.52441</v>
          </cell>
          <cell r="BA1132">
            <v>40428</v>
          </cell>
          <cell r="BC1132">
            <v>13.81325</v>
          </cell>
          <cell r="BH1132">
            <v>40428</v>
          </cell>
          <cell r="BJ1132">
            <v>12.94097</v>
          </cell>
        </row>
        <row r="1133">
          <cell r="D1133">
            <v>40424</v>
          </cell>
          <cell r="F1133">
            <v>113.92066</v>
          </cell>
          <cell r="K1133">
            <v>40424</v>
          </cell>
          <cell r="M1133">
            <v>18.630510000000001</v>
          </cell>
          <cell r="R1133">
            <v>40424</v>
          </cell>
          <cell r="T1133">
            <v>6.09</v>
          </cell>
          <cell r="Y1133">
            <v>40424</v>
          </cell>
          <cell r="AA1133">
            <v>138.79</v>
          </cell>
          <cell r="AF1133">
            <v>40424</v>
          </cell>
          <cell r="AH1133">
            <v>34.420630000000003</v>
          </cell>
          <cell r="AM1133">
            <v>40424</v>
          </cell>
          <cell r="AO1133">
            <v>28.063759999999998</v>
          </cell>
          <cell r="AT1133">
            <v>40424</v>
          </cell>
          <cell r="AV1133">
            <v>24.494620000000001</v>
          </cell>
          <cell r="BA1133">
            <v>40424</v>
          </cell>
          <cell r="BC1133">
            <v>14.10816</v>
          </cell>
          <cell r="BH1133">
            <v>40424</v>
          </cell>
          <cell r="BJ1133">
            <v>12.901160000000001</v>
          </cell>
        </row>
        <row r="1134">
          <cell r="D1134">
            <v>40423</v>
          </cell>
          <cell r="F1134">
            <v>111.65261</v>
          </cell>
          <cell r="K1134">
            <v>40423</v>
          </cell>
          <cell r="M1134">
            <v>18.170059999999999</v>
          </cell>
          <cell r="R1134">
            <v>40423</v>
          </cell>
          <cell r="T1134">
            <v>5.93</v>
          </cell>
          <cell r="Y1134">
            <v>40423</v>
          </cell>
          <cell r="AA1134">
            <v>135.21</v>
          </cell>
          <cell r="AF1134">
            <v>40423</v>
          </cell>
          <cell r="AH1134">
            <v>33.542720000000003</v>
          </cell>
          <cell r="AM1134">
            <v>40423</v>
          </cell>
          <cell r="AO1134">
            <v>27.749839999999999</v>
          </cell>
          <cell r="AT1134">
            <v>40423</v>
          </cell>
          <cell r="AV1134">
            <v>24.418019999999999</v>
          </cell>
          <cell r="BA1134">
            <v>40423</v>
          </cell>
          <cell r="BC1134">
            <v>13.8513</v>
          </cell>
          <cell r="BH1134">
            <v>40423</v>
          </cell>
          <cell r="BJ1134">
            <v>12.69791</v>
          </cell>
        </row>
        <row r="1135">
          <cell r="D1135">
            <v>40422</v>
          </cell>
          <cell r="F1135">
            <v>112.30445</v>
          </cell>
          <cell r="K1135">
            <v>40422</v>
          </cell>
          <cell r="M1135">
            <v>17.939830000000001</v>
          </cell>
          <cell r="R1135">
            <v>40422</v>
          </cell>
          <cell r="T1135">
            <v>5.76</v>
          </cell>
          <cell r="Y1135">
            <v>40422</v>
          </cell>
          <cell r="AA1135">
            <v>132.49</v>
          </cell>
          <cell r="AF1135">
            <v>40422</v>
          </cell>
          <cell r="AH1135">
            <v>33.297969999999999</v>
          </cell>
          <cell r="AM1135">
            <v>40422</v>
          </cell>
          <cell r="AO1135">
            <v>27.409030000000001</v>
          </cell>
          <cell r="AT1135">
            <v>40422</v>
          </cell>
          <cell r="AV1135">
            <v>24.38823</v>
          </cell>
          <cell r="BA1135">
            <v>40422</v>
          </cell>
          <cell r="BC1135">
            <v>13.87984</v>
          </cell>
          <cell r="BH1135">
            <v>40422</v>
          </cell>
          <cell r="BJ1135">
            <v>12.58057</v>
          </cell>
        </row>
        <row r="1136">
          <cell r="D1136">
            <v>40421</v>
          </cell>
          <cell r="F1136">
            <v>109.94710000000001</v>
          </cell>
          <cell r="K1136">
            <v>40421</v>
          </cell>
          <cell r="M1136">
            <v>17.69632</v>
          </cell>
          <cell r="R1136">
            <v>40421</v>
          </cell>
          <cell r="T1136">
            <v>5.61</v>
          </cell>
          <cell r="Y1136">
            <v>40421</v>
          </cell>
          <cell r="AA1136">
            <v>124.83</v>
          </cell>
          <cell r="AF1136">
            <v>40421</v>
          </cell>
          <cell r="AH1136">
            <v>32.336269999999999</v>
          </cell>
          <cell r="AM1136">
            <v>40421</v>
          </cell>
          <cell r="AO1136">
            <v>26.870889999999999</v>
          </cell>
          <cell r="AT1136">
            <v>40421</v>
          </cell>
          <cell r="AV1136">
            <v>23.780760000000001</v>
          </cell>
          <cell r="BA1136">
            <v>40421</v>
          </cell>
          <cell r="BC1136">
            <v>12.966570000000001</v>
          </cell>
          <cell r="BH1136">
            <v>40421</v>
          </cell>
          <cell r="BJ1136">
            <v>12.13635</v>
          </cell>
        </row>
        <row r="1137">
          <cell r="D1137">
            <v>40420</v>
          </cell>
          <cell r="F1137">
            <v>110.18819000000001</v>
          </cell>
          <cell r="K1137">
            <v>40420</v>
          </cell>
          <cell r="M1137">
            <v>17.99296</v>
          </cell>
          <cell r="R1137">
            <v>40420</v>
          </cell>
          <cell r="T1137">
            <v>5.78</v>
          </cell>
          <cell r="Y1137">
            <v>40420</v>
          </cell>
          <cell r="AA1137">
            <v>123.79</v>
          </cell>
          <cell r="AF1137">
            <v>40420</v>
          </cell>
          <cell r="AH1137">
            <v>32.256459999999997</v>
          </cell>
          <cell r="AM1137">
            <v>40420</v>
          </cell>
          <cell r="AO1137">
            <v>27.095109999999998</v>
          </cell>
          <cell r="AT1137">
            <v>40420</v>
          </cell>
          <cell r="AV1137">
            <v>23.63926</v>
          </cell>
          <cell r="BA1137">
            <v>40420</v>
          </cell>
          <cell r="BC1137">
            <v>13.014139999999999</v>
          </cell>
          <cell r="BH1137">
            <v>40420</v>
          </cell>
          <cell r="BJ1137">
            <v>12.169879999999999</v>
          </cell>
        </row>
        <row r="1138">
          <cell r="D1138">
            <v>40417</v>
          </cell>
          <cell r="F1138">
            <v>111.3758</v>
          </cell>
          <cell r="K1138">
            <v>40417</v>
          </cell>
          <cell r="M1138">
            <v>18.426839999999999</v>
          </cell>
          <cell r="R1138">
            <v>40417</v>
          </cell>
          <cell r="T1138">
            <v>6.08</v>
          </cell>
          <cell r="Y1138">
            <v>40417</v>
          </cell>
          <cell r="AA1138">
            <v>126.64</v>
          </cell>
          <cell r="AF1138">
            <v>40417</v>
          </cell>
          <cell r="AH1138">
            <v>32.139400000000002</v>
          </cell>
          <cell r="AM1138">
            <v>40417</v>
          </cell>
          <cell r="AO1138">
            <v>27.642219999999998</v>
          </cell>
          <cell r="AT1138">
            <v>40417</v>
          </cell>
          <cell r="AV1138">
            <v>23.898849999999999</v>
          </cell>
          <cell r="BA1138">
            <v>40417</v>
          </cell>
          <cell r="BC1138">
            <v>13.36613</v>
          </cell>
          <cell r="BH1138">
            <v>40417</v>
          </cell>
          <cell r="BJ1138">
            <v>12.32912</v>
          </cell>
        </row>
        <row r="1139">
          <cell r="D1139">
            <v>40416</v>
          </cell>
          <cell r="F1139">
            <v>109.63457</v>
          </cell>
          <cell r="K1139">
            <v>40416</v>
          </cell>
          <cell r="M1139">
            <v>18.329440000000002</v>
          </cell>
          <cell r="R1139">
            <v>40416</v>
          </cell>
          <cell r="T1139">
            <v>5.87</v>
          </cell>
          <cell r="Y1139">
            <v>40416</v>
          </cell>
          <cell r="AA1139">
            <v>124.86</v>
          </cell>
          <cell r="AF1139">
            <v>40416</v>
          </cell>
          <cell r="AH1139">
            <v>31.96116</v>
          </cell>
          <cell r="AM1139">
            <v>40416</v>
          </cell>
          <cell r="AO1139">
            <v>27.471810000000001</v>
          </cell>
          <cell r="AT1139">
            <v>40416</v>
          </cell>
          <cell r="AV1139">
            <v>23.473299999999998</v>
          </cell>
          <cell r="BA1139">
            <v>40416</v>
          </cell>
          <cell r="BC1139">
            <v>13.24245</v>
          </cell>
          <cell r="BH1139">
            <v>40416</v>
          </cell>
          <cell r="BJ1139">
            <v>12.15311</v>
          </cell>
        </row>
        <row r="1140">
          <cell r="D1140">
            <v>40415</v>
          </cell>
          <cell r="F1140">
            <v>111.85798</v>
          </cell>
          <cell r="K1140">
            <v>40415</v>
          </cell>
          <cell r="M1140">
            <v>18.781040000000001</v>
          </cell>
          <cell r="R1140">
            <v>40415</v>
          </cell>
          <cell r="T1140">
            <v>6.13</v>
          </cell>
          <cell r="Y1140">
            <v>40415</v>
          </cell>
          <cell r="AA1140">
            <v>126.85</v>
          </cell>
          <cell r="AF1140">
            <v>40415</v>
          </cell>
          <cell r="AH1140">
            <v>32.308329999999998</v>
          </cell>
          <cell r="AM1140">
            <v>40415</v>
          </cell>
          <cell r="AO1140">
            <v>27.875409999999999</v>
          </cell>
          <cell r="AT1140">
            <v>40415</v>
          </cell>
          <cell r="AV1140">
            <v>23.571179999999998</v>
          </cell>
          <cell r="BA1140">
            <v>40415</v>
          </cell>
          <cell r="BC1140">
            <v>13.48029</v>
          </cell>
          <cell r="BH1140">
            <v>40415</v>
          </cell>
          <cell r="BJ1140">
            <v>12.211779999999999</v>
          </cell>
        </row>
        <row r="1141">
          <cell r="D1141">
            <v>40414</v>
          </cell>
          <cell r="F1141">
            <v>111.52760000000001</v>
          </cell>
          <cell r="K1141">
            <v>40414</v>
          </cell>
          <cell r="M1141">
            <v>18.7102</v>
          </cell>
          <cell r="R1141">
            <v>40414</v>
          </cell>
          <cell r="T1141">
            <v>5.99</v>
          </cell>
          <cell r="Y1141">
            <v>40414</v>
          </cell>
          <cell r="AA1141">
            <v>124.53</v>
          </cell>
          <cell r="AF1141">
            <v>40414</v>
          </cell>
          <cell r="AH1141">
            <v>31.91461</v>
          </cell>
          <cell r="AM1141">
            <v>40414</v>
          </cell>
          <cell r="AO1141">
            <v>26.969550000000002</v>
          </cell>
          <cell r="AT1141">
            <v>40414</v>
          </cell>
          <cell r="AV1141">
            <v>23.68608</v>
          </cell>
          <cell r="BA1141">
            <v>40414</v>
          </cell>
          <cell r="BC1141">
            <v>13.31856</v>
          </cell>
          <cell r="BH1141">
            <v>40414</v>
          </cell>
          <cell r="BJ1141">
            <v>12.211779999999999</v>
          </cell>
        </row>
        <row r="1142">
          <cell r="D1142">
            <v>40413</v>
          </cell>
          <cell r="F1142">
            <v>112.9295</v>
          </cell>
          <cell r="K1142">
            <v>40413</v>
          </cell>
          <cell r="M1142">
            <v>19.197209999999998</v>
          </cell>
          <cell r="R1142">
            <v>40413</v>
          </cell>
          <cell r="T1142">
            <v>6.14</v>
          </cell>
          <cell r="Y1142">
            <v>40413</v>
          </cell>
          <cell r="AA1142">
            <v>126.6</v>
          </cell>
          <cell r="AF1142">
            <v>40413</v>
          </cell>
          <cell r="AH1142">
            <v>32.695410000000003</v>
          </cell>
          <cell r="AM1142">
            <v>40413</v>
          </cell>
          <cell r="AO1142">
            <v>27.88438</v>
          </cell>
          <cell r="AT1142">
            <v>40413</v>
          </cell>
          <cell r="AV1142">
            <v>23.660540000000001</v>
          </cell>
          <cell r="BA1142">
            <v>40413</v>
          </cell>
          <cell r="BC1142">
            <v>13.61347</v>
          </cell>
          <cell r="BH1142">
            <v>40413</v>
          </cell>
          <cell r="BJ1142">
            <v>12.479990000000001</v>
          </cell>
        </row>
        <row r="1143">
          <cell r="D1143">
            <v>40410</v>
          </cell>
          <cell r="F1143">
            <v>113.84923000000001</v>
          </cell>
          <cell r="K1143">
            <v>40410</v>
          </cell>
          <cell r="M1143">
            <v>19.684229999999999</v>
          </cell>
          <cell r="R1143">
            <v>40410</v>
          </cell>
          <cell r="T1143">
            <v>6.25</v>
          </cell>
          <cell r="Y1143">
            <v>40410</v>
          </cell>
          <cell r="AA1143">
            <v>127.76</v>
          </cell>
          <cell r="AF1143">
            <v>40410</v>
          </cell>
          <cell r="AH1143">
            <v>33.206189999999999</v>
          </cell>
          <cell r="AM1143">
            <v>40410</v>
          </cell>
          <cell r="AO1143">
            <v>27.929220000000001</v>
          </cell>
          <cell r="AT1143">
            <v>40410</v>
          </cell>
          <cell r="AV1143">
            <v>23.532879999999999</v>
          </cell>
          <cell r="BA1143">
            <v>40410</v>
          </cell>
          <cell r="BC1143">
            <v>13.708600000000001</v>
          </cell>
          <cell r="BH1143">
            <v>40410</v>
          </cell>
          <cell r="BJ1143">
            <v>12.597329999999999</v>
          </cell>
        </row>
        <row r="1144">
          <cell r="D1144">
            <v>40409</v>
          </cell>
          <cell r="F1144">
            <v>115.09934</v>
          </cell>
          <cell r="K1144">
            <v>40409</v>
          </cell>
          <cell r="M1144">
            <v>19.675370000000001</v>
          </cell>
          <cell r="R1144">
            <v>40409</v>
          </cell>
          <cell r="T1144">
            <v>6.42</v>
          </cell>
          <cell r="Y1144">
            <v>40409</v>
          </cell>
          <cell r="AA1144">
            <v>127.57</v>
          </cell>
          <cell r="AF1144">
            <v>40409</v>
          </cell>
          <cell r="AH1144">
            <v>33.238120000000002</v>
          </cell>
          <cell r="AM1144">
            <v>40409</v>
          </cell>
          <cell r="AO1144">
            <v>27.920249999999999</v>
          </cell>
          <cell r="AT1144">
            <v>40409</v>
          </cell>
          <cell r="AV1144">
            <v>23.524370000000001</v>
          </cell>
          <cell r="BA1144">
            <v>40409</v>
          </cell>
          <cell r="BC1144">
            <v>13.73714</v>
          </cell>
          <cell r="BH1144">
            <v>40409</v>
          </cell>
          <cell r="BJ1144">
            <v>12.78172</v>
          </cell>
        </row>
        <row r="1145">
          <cell r="D1145">
            <v>40408</v>
          </cell>
          <cell r="F1145">
            <v>115.53910999999999</v>
          </cell>
          <cell r="K1145">
            <v>40408</v>
          </cell>
          <cell r="M1145">
            <v>19.843610000000002</v>
          </cell>
          <cell r="R1145">
            <v>40408</v>
          </cell>
          <cell r="T1145">
            <v>6.57</v>
          </cell>
          <cell r="Y1145">
            <v>40408</v>
          </cell>
          <cell r="AA1145">
            <v>129.65</v>
          </cell>
          <cell r="AF1145">
            <v>40408</v>
          </cell>
          <cell r="AH1145">
            <v>33.662439999999997</v>
          </cell>
          <cell r="AM1145">
            <v>40408</v>
          </cell>
          <cell r="AO1145">
            <v>28.225200000000001</v>
          </cell>
          <cell r="AT1145">
            <v>40408</v>
          </cell>
          <cell r="AV1145">
            <v>23.76267</v>
          </cell>
          <cell r="BA1145">
            <v>40408</v>
          </cell>
          <cell r="BC1145">
            <v>14.136699999999999</v>
          </cell>
          <cell r="BH1145">
            <v>40408</v>
          </cell>
          <cell r="BJ1145">
            <v>13.15889</v>
          </cell>
        </row>
        <row r="1146">
          <cell r="D1146">
            <v>40407</v>
          </cell>
          <cell r="F1146">
            <v>114.69752</v>
          </cell>
          <cell r="K1146">
            <v>40407</v>
          </cell>
          <cell r="M1146">
            <v>19.524840000000001</v>
          </cell>
          <cell r="R1146">
            <v>40407</v>
          </cell>
          <cell r="T1146">
            <v>6.63</v>
          </cell>
          <cell r="Y1146">
            <v>40407</v>
          </cell>
          <cell r="AA1146">
            <v>128.86000000000001</v>
          </cell>
          <cell r="AF1146">
            <v>40407</v>
          </cell>
          <cell r="AH1146">
            <v>33.516120000000001</v>
          </cell>
          <cell r="AM1146">
            <v>40407</v>
          </cell>
          <cell r="AO1146">
            <v>28.108599999999999</v>
          </cell>
          <cell r="AT1146">
            <v>40407</v>
          </cell>
          <cell r="AV1146">
            <v>23.881830000000001</v>
          </cell>
          <cell r="BA1146">
            <v>40407</v>
          </cell>
          <cell r="BC1146">
            <v>14.28891</v>
          </cell>
          <cell r="BH1146">
            <v>40407</v>
          </cell>
          <cell r="BJ1146">
            <v>13.058310000000001</v>
          </cell>
        </row>
        <row r="1147">
          <cell r="D1147">
            <v>40406</v>
          </cell>
          <cell r="F1147">
            <v>114.09032000000001</v>
          </cell>
          <cell r="K1147">
            <v>40406</v>
          </cell>
          <cell r="M1147">
            <v>19.400870000000001</v>
          </cell>
          <cell r="R1147">
            <v>40406</v>
          </cell>
          <cell r="T1147">
            <v>6.62</v>
          </cell>
          <cell r="Y1147">
            <v>40406</v>
          </cell>
          <cell r="AA1147">
            <v>126.07</v>
          </cell>
          <cell r="AF1147">
            <v>40406</v>
          </cell>
          <cell r="AH1147">
            <v>32.940159999999999</v>
          </cell>
          <cell r="AM1147">
            <v>40406</v>
          </cell>
          <cell r="AO1147">
            <v>27.749839999999999</v>
          </cell>
          <cell r="AT1147">
            <v>40406</v>
          </cell>
          <cell r="AV1147">
            <v>23.779699999999998</v>
          </cell>
          <cell r="BA1147">
            <v>40406</v>
          </cell>
          <cell r="BC1147">
            <v>13.6325</v>
          </cell>
          <cell r="BH1147">
            <v>40406</v>
          </cell>
          <cell r="BJ1147">
            <v>12.95773</v>
          </cell>
        </row>
        <row r="1148">
          <cell r="D1148">
            <v>40403</v>
          </cell>
          <cell r="F1148">
            <v>114.17961</v>
          </cell>
          <cell r="K1148">
            <v>40403</v>
          </cell>
          <cell r="M1148">
            <v>18.91386</v>
          </cell>
          <cell r="R1148">
            <v>40403</v>
          </cell>
          <cell r="T1148">
            <v>6.49</v>
          </cell>
          <cell r="Y1148">
            <v>40403</v>
          </cell>
          <cell r="AA1148">
            <v>124.69</v>
          </cell>
          <cell r="AF1148">
            <v>40403</v>
          </cell>
          <cell r="AH1148">
            <v>33.134360000000001</v>
          </cell>
          <cell r="AM1148">
            <v>40403</v>
          </cell>
          <cell r="AO1148">
            <v>28.126539999999999</v>
          </cell>
          <cell r="AT1148">
            <v>40403</v>
          </cell>
          <cell r="AV1148">
            <v>23.715859999999999</v>
          </cell>
          <cell r="BA1148">
            <v>40403</v>
          </cell>
          <cell r="BC1148">
            <v>13.69909</v>
          </cell>
          <cell r="BH1148">
            <v>40403</v>
          </cell>
          <cell r="BJ1148">
            <v>12.89068</v>
          </cell>
        </row>
        <row r="1149">
          <cell r="D1149">
            <v>40402</v>
          </cell>
          <cell r="F1149">
            <v>114.56358</v>
          </cell>
          <cell r="K1149">
            <v>40402</v>
          </cell>
          <cell r="M1149">
            <v>18.91386</v>
          </cell>
          <cell r="R1149">
            <v>40402</v>
          </cell>
          <cell r="T1149">
            <v>6.57</v>
          </cell>
          <cell r="Y1149">
            <v>40402</v>
          </cell>
          <cell r="AA1149">
            <v>126.56</v>
          </cell>
          <cell r="AF1149">
            <v>40402</v>
          </cell>
          <cell r="AH1149">
            <v>33.492179999999998</v>
          </cell>
          <cell r="AM1149">
            <v>40402</v>
          </cell>
          <cell r="AO1149">
            <v>28.359729999999999</v>
          </cell>
          <cell r="AT1149">
            <v>40402</v>
          </cell>
          <cell r="AV1149">
            <v>23.698840000000001</v>
          </cell>
          <cell r="BA1149">
            <v>40402</v>
          </cell>
          <cell r="BC1149">
            <v>13.708600000000001</v>
          </cell>
          <cell r="BH1149">
            <v>40402</v>
          </cell>
          <cell r="BJ1149">
            <v>12.987069999999999</v>
          </cell>
        </row>
        <row r="1150">
          <cell r="D1150">
            <v>40401</v>
          </cell>
          <cell r="F1150">
            <v>115.92977</v>
          </cell>
          <cell r="K1150">
            <v>40401</v>
          </cell>
          <cell r="M1150">
            <v>21.012450000000001</v>
          </cell>
          <cell r="R1150">
            <v>40401</v>
          </cell>
          <cell r="T1150">
            <v>6.49</v>
          </cell>
          <cell r="Y1150">
            <v>40401</v>
          </cell>
          <cell r="AA1150">
            <v>125.89</v>
          </cell>
          <cell r="AF1150">
            <v>40401</v>
          </cell>
          <cell r="AH1150">
            <v>33.279350000000001</v>
          </cell>
          <cell r="AM1150">
            <v>40401</v>
          </cell>
          <cell r="AO1150">
            <v>28.144480000000001</v>
          </cell>
          <cell r="AT1150">
            <v>40401</v>
          </cell>
          <cell r="AV1150">
            <v>23.84778</v>
          </cell>
          <cell r="BA1150">
            <v>40401</v>
          </cell>
          <cell r="BC1150">
            <v>13.29002</v>
          </cell>
          <cell r="BH1150">
            <v>40401</v>
          </cell>
          <cell r="BJ1150">
            <v>13.15889</v>
          </cell>
        </row>
        <row r="1151">
          <cell r="D1151">
            <v>40400</v>
          </cell>
          <cell r="F1151">
            <v>117.72457</v>
          </cell>
          <cell r="K1151">
            <v>40400</v>
          </cell>
          <cell r="M1151">
            <v>21.526029999999999</v>
          </cell>
          <cell r="R1151">
            <v>40400</v>
          </cell>
          <cell r="T1151">
            <v>6.83</v>
          </cell>
          <cell r="Y1151">
            <v>40400</v>
          </cell>
          <cell r="AA1151">
            <v>130</v>
          </cell>
          <cell r="AF1151">
            <v>40400</v>
          </cell>
          <cell r="AH1151">
            <v>34.505760000000002</v>
          </cell>
          <cell r="AM1151">
            <v>40400</v>
          </cell>
          <cell r="AO1151">
            <v>29.18487</v>
          </cell>
          <cell r="AT1151">
            <v>40400</v>
          </cell>
          <cell r="AV1151">
            <v>24.247800000000002</v>
          </cell>
          <cell r="BA1151">
            <v>40400</v>
          </cell>
          <cell r="BC1151">
            <v>13.61347</v>
          </cell>
          <cell r="BH1151">
            <v>40400</v>
          </cell>
          <cell r="BJ1151">
            <v>13.619870000000001</v>
          </cell>
        </row>
        <row r="1152">
          <cell r="D1152">
            <v>40399</v>
          </cell>
          <cell r="F1152">
            <v>117.86744</v>
          </cell>
          <cell r="K1152">
            <v>40399</v>
          </cell>
          <cell r="M1152">
            <v>21.933350000000001</v>
          </cell>
          <cell r="R1152">
            <v>40399</v>
          </cell>
          <cell r="T1152">
            <v>7.42</v>
          </cell>
          <cell r="Y1152">
            <v>40399</v>
          </cell>
          <cell r="AA1152">
            <v>128.83000000000001</v>
          </cell>
          <cell r="AF1152">
            <v>40399</v>
          </cell>
          <cell r="AH1152">
            <v>34.817019999999999</v>
          </cell>
          <cell r="AM1152">
            <v>40399</v>
          </cell>
          <cell r="AO1152">
            <v>29.62435</v>
          </cell>
          <cell r="AT1152">
            <v>40399</v>
          </cell>
          <cell r="AV1152">
            <v>24.30312</v>
          </cell>
          <cell r="BA1152">
            <v>40399</v>
          </cell>
          <cell r="BC1152">
            <v>14.013030000000001</v>
          </cell>
          <cell r="BH1152">
            <v>40399</v>
          </cell>
          <cell r="BJ1152">
            <v>13.72883</v>
          </cell>
        </row>
        <row r="1153">
          <cell r="D1153">
            <v>40396</v>
          </cell>
          <cell r="F1153">
            <v>116.20658</v>
          </cell>
          <cell r="K1153">
            <v>40396</v>
          </cell>
          <cell r="M1153">
            <v>21.313510000000001</v>
          </cell>
          <cell r="R1153">
            <v>40396</v>
          </cell>
          <cell r="T1153">
            <v>7.45</v>
          </cell>
          <cell r="Y1153">
            <v>40396</v>
          </cell>
          <cell r="AA1153">
            <v>128.32</v>
          </cell>
          <cell r="AF1153">
            <v>40396</v>
          </cell>
          <cell r="AH1153">
            <v>34.596350000000001</v>
          </cell>
          <cell r="AM1153">
            <v>40396</v>
          </cell>
          <cell r="AO1153">
            <v>29.68713</v>
          </cell>
          <cell r="AT1153">
            <v>40396</v>
          </cell>
          <cell r="AV1153">
            <v>24.149920000000002</v>
          </cell>
          <cell r="BA1153">
            <v>40396</v>
          </cell>
          <cell r="BC1153">
            <v>13.87984</v>
          </cell>
          <cell r="BH1153">
            <v>40396</v>
          </cell>
          <cell r="BJ1153">
            <v>13.7875</v>
          </cell>
        </row>
        <row r="1154">
          <cell r="D1154">
            <v>40395</v>
          </cell>
          <cell r="F1154">
            <v>117.13523000000001</v>
          </cell>
          <cell r="K1154">
            <v>40395</v>
          </cell>
          <cell r="M1154">
            <v>21.402059999999999</v>
          </cell>
          <cell r="R1154">
            <v>40395</v>
          </cell>
          <cell r="T1154">
            <v>7.5</v>
          </cell>
          <cell r="Y1154">
            <v>40395</v>
          </cell>
          <cell r="AA1154">
            <v>127.83</v>
          </cell>
          <cell r="AF1154">
            <v>40395</v>
          </cell>
          <cell r="AH1154">
            <v>34.810369999999999</v>
          </cell>
          <cell r="AM1154">
            <v>40395</v>
          </cell>
          <cell r="AO1154">
            <v>29.534659999999999</v>
          </cell>
          <cell r="AT1154">
            <v>40395</v>
          </cell>
          <cell r="AV1154">
            <v>23.988219999999998</v>
          </cell>
          <cell r="BA1154">
            <v>40395</v>
          </cell>
          <cell r="BC1154">
            <v>13.803739999999999</v>
          </cell>
          <cell r="BH1154">
            <v>40395</v>
          </cell>
          <cell r="BJ1154">
            <v>13.846170000000001</v>
          </cell>
        </row>
        <row r="1155">
          <cell r="D1155">
            <v>40394</v>
          </cell>
          <cell r="F1155">
            <v>116.63764999999999</v>
          </cell>
          <cell r="K1155">
            <v>40394</v>
          </cell>
          <cell r="M1155">
            <v>21.375489999999999</v>
          </cell>
          <cell r="R1155">
            <v>40394</v>
          </cell>
          <cell r="T1155">
            <v>7.52</v>
          </cell>
          <cell r="Y1155">
            <v>40394</v>
          </cell>
          <cell r="AA1155">
            <v>127.58</v>
          </cell>
          <cell r="AF1155">
            <v>40394</v>
          </cell>
          <cell r="AH1155">
            <v>34.980629999999998</v>
          </cell>
          <cell r="AM1155">
            <v>40394</v>
          </cell>
          <cell r="AO1155">
            <v>30.027950000000001</v>
          </cell>
          <cell r="AT1155">
            <v>40394</v>
          </cell>
          <cell r="AV1155">
            <v>24.064810000000001</v>
          </cell>
          <cell r="BA1155">
            <v>40394</v>
          </cell>
          <cell r="BC1155">
            <v>13.936920000000001</v>
          </cell>
          <cell r="BH1155">
            <v>40394</v>
          </cell>
          <cell r="BJ1155">
            <v>13.81264</v>
          </cell>
        </row>
        <row r="1156">
          <cell r="D1156">
            <v>40393</v>
          </cell>
          <cell r="F1156">
            <v>115.83797</v>
          </cell>
          <cell r="K1156">
            <v>40393</v>
          </cell>
          <cell r="M1156">
            <v>21.092140000000001</v>
          </cell>
          <cell r="R1156">
            <v>40393</v>
          </cell>
          <cell r="T1156">
            <v>7.51</v>
          </cell>
          <cell r="Y1156">
            <v>40393</v>
          </cell>
          <cell r="AA1156">
            <v>122.42</v>
          </cell>
          <cell r="AF1156">
            <v>40393</v>
          </cell>
          <cell r="AH1156">
            <v>34.840960000000003</v>
          </cell>
          <cell r="AM1156">
            <v>40393</v>
          </cell>
          <cell r="AO1156">
            <v>29.48085</v>
          </cell>
          <cell r="AT1156">
            <v>40393</v>
          </cell>
          <cell r="AV1156">
            <v>23.992470000000001</v>
          </cell>
          <cell r="BA1156">
            <v>40393</v>
          </cell>
          <cell r="BC1156">
            <v>13.81325</v>
          </cell>
          <cell r="BH1156">
            <v>40393</v>
          </cell>
          <cell r="BJ1156">
            <v>13.74559</v>
          </cell>
        </row>
        <row r="1157">
          <cell r="D1157">
            <v>40392</v>
          </cell>
          <cell r="F1157">
            <v>116.1845</v>
          </cell>
          <cell r="K1157">
            <v>40392</v>
          </cell>
          <cell r="M1157">
            <v>21.07443</v>
          </cell>
          <cell r="R1157">
            <v>40392</v>
          </cell>
          <cell r="T1157">
            <v>7.65</v>
          </cell>
          <cell r="Y1157">
            <v>40392</v>
          </cell>
          <cell r="AA1157">
            <v>120.07</v>
          </cell>
          <cell r="AF1157">
            <v>40392</v>
          </cell>
          <cell r="AH1157">
            <v>34.83032</v>
          </cell>
          <cell r="AM1157">
            <v>40392</v>
          </cell>
          <cell r="AO1157">
            <v>29.516719999999999</v>
          </cell>
          <cell r="AT1157">
            <v>40392</v>
          </cell>
          <cell r="AV1157">
            <v>24.005240000000001</v>
          </cell>
          <cell r="BA1157">
            <v>40392</v>
          </cell>
          <cell r="BC1157">
            <v>14.04157</v>
          </cell>
          <cell r="BH1157">
            <v>40392</v>
          </cell>
          <cell r="BJ1157">
            <v>13.753970000000001</v>
          </cell>
        </row>
        <row r="1158">
          <cell r="D1158">
            <v>40389</v>
          </cell>
          <cell r="F1158">
            <v>114.08756</v>
          </cell>
          <cell r="K1158">
            <v>40389</v>
          </cell>
          <cell r="M1158">
            <v>20.42803</v>
          </cell>
          <cell r="R1158">
            <v>40389</v>
          </cell>
          <cell r="T1158">
            <v>7.49</v>
          </cell>
          <cell r="Y1158">
            <v>40389</v>
          </cell>
          <cell r="AA1158">
            <v>117.89</v>
          </cell>
          <cell r="AF1158">
            <v>40389</v>
          </cell>
          <cell r="AH1158">
            <v>34.218449999999997</v>
          </cell>
          <cell r="AM1158">
            <v>40389</v>
          </cell>
          <cell r="AO1158">
            <v>28.942710000000002</v>
          </cell>
          <cell r="AT1158">
            <v>40389</v>
          </cell>
          <cell r="AV1158">
            <v>23.452020000000001</v>
          </cell>
          <cell r="BA1158">
            <v>40389</v>
          </cell>
          <cell r="BC1158">
            <v>13.96546</v>
          </cell>
          <cell r="BH1158">
            <v>40389</v>
          </cell>
          <cell r="BJ1158">
            <v>13.510910000000001</v>
          </cell>
        </row>
        <row r="1159">
          <cell r="D1159">
            <v>40388</v>
          </cell>
          <cell r="F1159">
            <v>113.74992</v>
          </cell>
          <cell r="K1159">
            <v>40388</v>
          </cell>
          <cell r="M1159">
            <v>20.552</v>
          </cell>
          <cell r="R1159">
            <v>40388</v>
          </cell>
          <cell r="T1159">
            <v>7.78</v>
          </cell>
          <cell r="Y1159">
            <v>40388</v>
          </cell>
          <cell r="AA1159">
            <v>116.86</v>
          </cell>
          <cell r="AF1159">
            <v>40388</v>
          </cell>
          <cell r="AH1159">
            <v>34.332839999999997</v>
          </cell>
          <cell r="AM1159">
            <v>40388</v>
          </cell>
          <cell r="AO1159">
            <v>28.978590000000001</v>
          </cell>
          <cell r="AT1159">
            <v>40388</v>
          </cell>
          <cell r="AV1159">
            <v>23.400960000000001</v>
          </cell>
          <cell r="BA1159">
            <v>40388</v>
          </cell>
          <cell r="BC1159">
            <v>15.677849999999999</v>
          </cell>
          <cell r="BH1159">
            <v>40388</v>
          </cell>
          <cell r="BJ1159">
            <v>13.536049999999999</v>
          </cell>
        </row>
        <row r="1160">
          <cell r="D1160">
            <v>40387</v>
          </cell>
          <cell r="F1160">
            <v>114.11422</v>
          </cell>
          <cell r="K1160">
            <v>40387</v>
          </cell>
          <cell r="M1160">
            <v>20.711379999999998</v>
          </cell>
          <cell r="R1160">
            <v>40387</v>
          </cell>
          <cell r="T1160">
            <v>7.98</v>
          </cell>
          <cell r="Y1160">
            <v>40387</v>
          </cell>
          <cell r="AA1160">
            <v>117.13</v>
          </cell>
          <cell r="AF1160">
            <v>40387</v>
          </cell>
          <cell r="AH1160">
            <v>34.711939999999998</v>
          </cell>
          <cell r="AM1160">
            <v>40387</v>
          </cell>
          <cell r="AO1160">
            <v>29.211780000000001</v>
          </cell>
          <cell r="AT1160">
            <v>40387</v>
          </cell>
          <cell r="AV1160">
            <v>23.354150000000001</v>
          </cell>
          <cell r="BA1160">
            <v>40387</v>
          </cell>
          <cell r="BC1160">
            <v>15.45904</v>
          </cell>
          <cell r="BH1160">
            <v>40387</v>
          </cell>
          <cell r="BJ1160">
            <v>13.45224</v>
          </cell>
        </row>
        <row r="1161">
          <cell r="D1161">
            <v>40386</v>
          </cell>
          <cell r="F1161">
            <v>114.29192999999999</v>
          </cell>
          <cell r="K1161">
            <v>40386</v>
          </cell>
          <cell r="M1161">
            <v>20.631689999999999</v>
          </cell>
          <cell r="R1161">
            <v>40386</v>
          </cell>
          <cell r="T1161">
            <v>8.2100000000000009</v>
          </cell>
          <cell r="Y1161">
            <v>40386</v>
          </cell>
          <cell r="AA1161">
            <v>117.13</v>
          </cell>
          <cell r="AF1161">
            <v>40386</v>
          </cell>
          <cell r="AH1161">
            <v>35.126950000000001</v>
          </cell>
          <cell r="AM1161">
            <v>40386</v>
          </cell>
          <cell r="AO1161">
            <v>29.87548</v>
          </cell>
          <cell r="AT1161">
            <v>40386</v>
          </cell>
          <cell r="AV1161">
            <v>23.426490000000001</v>
          </cell>
          <cell r="BA1161">
            <v>40386</v>
          </cell>
          <cell r="BC1161">
            <v>15.906169999999999</v>
          </cell>
          <cell r="BH1161">
            <v>40386</v>
          </cell>
          <cell r="BJ1161">
            <v>13.561199999999999</v>
          </cell>
        </row>
        <row r="1162">
          <cell r="D1162">
            <v>40385</v>
          </cell>
          <cell r="F1162">
            <v>114.09645</v>
          </cell>
          <cell r="K1162">
            <v>40385</v>
          </cell>
          <cell r="M1162">
            <v>20.906189999999999</v>
          </cell>
          <cell r="R1162">
            <v>40385</v>
          </cell>
          <cell r="T1162">
            <v>8.07</v>
          </cell>
          <cell r="Y1162">
            <v>40385</v>
          </cell>
          <cell r="AA1162">
            <v>118.4</v>
          </cell>
          <cell r="AF1162">
            <v>40385</v>
          </cell>
          <cell r="AH1162">
            <v>34.48847</v>
          </cell>
          <cell r="AM1162">
            <v>40385</v>
          </cell>
          <cell r="AO1162">
            <v>30.305990000000001</v>
          </cell>
          <cell r="AT1162">
            <v>40385</v>
          </cell>
          <cell r="AV1162">
            <v>23.37968</v>
          </cell>
          <cell r="BA1162">
            <v>40385</v>
          </cell>
          <cell r="BC1162">
            <v>15.858599999999999</v>
          </cell>
          <cell r="BH1162">
            <v>40385</v>
          </cell>
          <cell r="BJ1162">
            <v>13.527670000000001</v>
          </cell>
        </row>
        <row r="1163">
          <cell r="D1163">
            <v>40382</v>
          </cell>
          <cell r="F1163">
            <v>114.06979</v>
          </cell>
          <cell r="K1163">
            <v>40382</v>
          </cell>
          <cell r="M1163">
            <v>20.67596</v>
          </cell>
          <cell r="R1163">
            <v>40382</v>
          </cell>
          <cell r="T1163">
            <v>7.82</v>
          </cell>
          <cell r="Y1163">
            <v>40382</v>
          </cell>
          <cell r="AA1163">
            <v>118.87</v>
          </cell>
          <cell r="AF1163">
            <v>40382</v>
          </cell>
          <cell r="AH1163">
            <v>34.576259999999998</v>
          </cell>
          <cell r="AM1163">
            <v>40382</v>
          </cell>
          <cell r="AO1163">
            <v>29.992080000000001</v>
          </cell>
          <cell r="AT1163">
            <v>40382</v>
          </cell>
          <cell r="AV1163">
            <v>23.298829999999999</v>
          </cell>
          <cell r="BA1163">
            <v>40382</v>
          </cell>
          <cell r="BC1163">
            <v>15.68736</v>
          </cell>
          <cell r="BH1163">
            <v>40382</v>
          </cell>
          <cell r="BJ1163">
            <v>13.16727</v>
          </cell>
        </row>
        <row r="1164">
          <cell r="D1164">
            <v>40381</v>
          </cell>
          <cell r="F1164">
            <v>113.26123</v>
          </cell>
          <cell r="K1164">
            <v>40381</v>
          </cell>
          <cell r="M1164">
            <v>20.605129999999999</v>
          </cell>
          <cell r="R1164">
            <v>40381</v>
          </cell>
          <cell r="T1164">
            <v>7.61</v>
          </cell>
          <cell r="Y1164">
            <v>40381</v>
          </cell>
          <cell r="AA1164">
            <v>120.07</v>
          </cell>
          <cell r="AF1164">
            <v>40381</v>
          </cell>
          <cell r="AH1164">
            <v>34.454419999999999</v>
          </cell>
          <cell r="AM1164">
            <v>40381</v>
          </cell>
          <cell r="AO1164">
            <v>29.830629999999999</v>
          </cell>
          <cell r="AT1164">
            <v>40381</v>
          </cell>
          <cell r="AV1164">
            <v>23.090309999999999</v>
          </cell>
          <cell r="BA1164">
            <v>40381</v>
          </cell>
          <cell r="BC1164">
            <v>15.45904</v>
          </cell>
          <cell r="BH1164">
            <v>40381</v>
          </cell>
          <cell r="BJ1164">
            <v>12.748200000000001</v>
          </cell>
        </row>
        <row r="1165">
          <cell r="D1165">
            <v>40380</v>
          </cell>
          <cell r="F1165">
            <v>111.30646</v>
          </cell>
          <cell r="K1165">
            <v>40380</v>
          </cell>
          <cell r="M1165">
            <v>19.97644</v>
          </cell>
          <cell r="R1165">
            <v>40380</v>
          </cell>
          <cell r="T1165">
            <v>7.4</v>
          </cell>
          <cell r="Y1165">
            <v>40380</v>
          </cell>
          <cell r="AA1165">
            <v>117.43</v>
          </cell>
          <cell r="AF1165">
            <v>40380</v>
          </cell>
          <cell r="AH1165">
            <v>33.818069999999999</v>
          </cell>
          <cell r="AM1165">
            <v>40380</v>
          </cell>
          <cell r="AO1165">
            <v>31.167000000000002</v>
          </cell>
          <cell r="AT1165">
            <v>40380</v>
          </cell>
          <cell r="AV1165">
            <v>23.01371</v>
          </cell>
          <cell r="BA1165">
            <v>40380</v>
          </cell>
          <cell r="BC1165">
            <v>14.89776</v>
          </cell>
          <cell r="BH1165">
            <v>40380</v>
          </cell>
          <cell r="BJ1165">
            <v>12.438079999999999</v>
          </cell>
        </row>
        <row r="1166">
          <cell r="D1166">
            <v>40379</v>
          </cell>
          <cell r="F1166">
            <v>112.44378</v>
          </cell>
          <cell r="K1166">
            <v>40379</v>
          </cell>
          <cell r="M1166">
            <v>20.410319999999999</v>
          </cell>
          <cell r="R1166">
            <v>40379</v>
          </cell>
          <cell r="T1166">
            <v>7.6</v>
          </cell>
          <cell r="Y1166">
            <v>40379</v>
          </cell>
          <cell r="AA1166">
            <v>120.1</v>
          </cell>
          <cell r="AF1166">
            <v>40379</v>
          </cell>
          <cell r="AH1166">
            <v>33.505479999999999</v>
          </cell>
          <cell r="AM1166">
            <v>40379</v>
          </cell>
          <cell r="AO1166">
            <v>31.633389999999999</v>
          </cell>
          <cell r="AT1166">
            <v>40379</v>
          </cell>
          <cell r="AV1166">
            <v>22.65625</v>
          </cell>
          <cell r="BA1166">
            <v>40379</v>
          </cell>
          <cell r="BC1166">
            <v>15.17365</v>
          </cell>
          <cell r="BH1166">
            <v>40379</v>
          </cell>
          <cell r="BJ1166">
            <v>12.5219</v>
          </cell>
        </row>
        <row r="1167">
          <cell r="D1167">
            <v>40378</v>
          </cell>
          <cell r="F1167">
            <v>115.32262</v>
          </cell>
          <cell r="K1167">
            <v>40378</v>
          </cell>
          <cell r="M1167">
            <v>20.12697</v>
          </cell>
          <cell r="R1167">
            <v>40378</v>
          </cell>
          <cell r="T1167">
            <v>7.44</v>
          </cell>
          <cell r="Y1167">
            <v>40378</v>
          </cell>
          <cell r="AA1167">
            <v>119.94</v>
          </cell>
          <cell r="AF1167">
            <v>40378</v>
          </cell>
          <cell r="AH1167">
            <v>32.666150000000002</v>
          </cell>
          <cell r="AM1167">
            <v>40378</v>
          </cell>
          <cell r="AO1167">
            <v>31.57957</v>
          </cell>
          <cell r="AT1167">
            <v>40378</v>
          </cell>
          <cell r="AV1167">
            <v>22.243459999999999</v>
          </cell>
          <cell r="BA1167">
            <v>40378</v>
          </cell>
          <cell r="BC1167">
            <v>14.840680000000001</v>
          </cell>
          <cell r="BH1167">
            <v>40378</v>
          </cell>
          <cell r="BJ1167">
            <v>12.253690000000001</v>
          </cell>
        </row>
        <row r="1168">
          <cell r="D1168">
            <v>40375</v>
          </cell>
          <cell r="F1168">
            <v>113.75881</v>
          </cell>
          <cell r="K1168">
            <v>40375</v>
          </cell>
          <cell r="M1168">
            <v>20.144680000000001</v>
          </cell>
          <cell r="R1168">
            <v>40375</v>
          </cell>
          <cell r="T1168">
            <v>7.37</v>
          </cell>
          <cell r="Y1168">
            <v>40375</v>
          </cell>
          <cell r="AA1168">
            <v>118.49</v>
          </cell>
          <cell r="AF1168">
            <v>40375</v>
          </cell>
          <cell r="AH1168">
            <v>33.240780000000001</v>
          </cell>
          <cell r="AM1168">
            <v>40375</v>
          </cell>
          <cell r="AO1168">
            <v>31.525759999999998</v>
          </cell>
          <cell r="AT1168">
            <v>40375</v>
          </cell>
          <cell r="AV1168">
            <v>22.286020000000001</v>
          </cell>
          <cell r="BA1168">
            <v>40375</v>
          </cell>
          <cell r="BC1168">
            <v>14.612360000000001</v>
          </cell>
          <cell r="BH1168">
            <v>40375</v>
          </cell>
          <cell r="BJ1168">
            <v>12.19502</v>
          </cell>
        </row>
        <row r="1169">
          <cell r="D1169">
            <v>40374</v>
          </cell>
          <cell r="F1169">
            <v>116.14896</v>
          </cell>
          <cell r="K1169">
            <v>40374</v>
          </cell>
          <cell r="M1169">
            <v>21.180689999999998</v>
          </cell>
          <cell r="R1169">
            <v>40374</v>
          </cell>
          <cell r="T1169">
            <v>7.41</v>
          </cell>
          <cell r="Y1169">
            <v>40374</v>
          </cell>
          <cell r="AA1169">
            <v>122.06</v>
          </cell>
          <cell r="AF1169">
            <v>40374</v>
          </cell>
          <cell r="AH1169">
            <v>33.446950000000001</v>
          </cell>
          <cell r="AM1169">
            <v>40374</v>
          </cell>
          <cell r="AO1169">
            <v>32.180489999999999</v>
          </cell>
          <cell r="AT1169">
            <v>40374</v>
          </cell>
          <cell r="AV1169">
            <v>22.490279999999998</v>
          </cell>
          <cell r="BA1169">
            <v>40374</v>
          </cell>
          <cell r="BC1169">
            <v>15.107049999999999</v>
          </cell>
          <cell r="BH1169">
            <v>40374</v>
          </cell>
          <cell r="BJ1169">
            <v>12.78172</v>
          </cell>
        </row>
        <row r="1170">
          <cell r="D1170">
            <v>40373</v>
          </cell>
          <cell r="F1170">
            <v>116.14896</v>
          </cell>
          <cell r="K1170">
            <v>40373</v>
          </cell>
          <cell r="M1170">
            <v>21.0213</v>
          </cell>
          <cell r="R1170">
            <v>40373</v>
          </cell>
          <cell r="T1170">
            <v>7.44</v>
          </cell>
          <cell r="Y1170">
            <v>40373</v>
          </cell>
          <cell r="AA1170">
            <v>123.3</v>
          </cell>
          <cell r="AF1170">
            <v>40373</v>
          </cell>
          <cell r="AH1170">
            <v>33.616810000000001</v>
          </cell>
          <cell r="AM1170">
            <v>40373</v>
          </cell>
          <cell r="AO1170">
            <v>32.010080000000002</v>
          </cell>
          <cell r="AT1170">
            <v>40373</v>
          </cell>
          <cell r="AV1170">
            <v>22.477519999999998</v>
          </cell>
          <cell r="BA1170">
            <v>40373</v>
          </cell>
          <cell r="BC1170">
            <v>15.401960000000001</v>
          </cell>
          <cell r="BH1170">
            <v>40373</v>
          </cell>
          <cell r="BJ1170">
            <v>12.73982</v>
          </cell>
        </row>
        <row r="1171">
          <cell r="D1171">
            <v>40372</v>
          </cell>
          <cell r="F1171">
            <v>115.93571</v>
          </cell>
          <cell r="K1171">
            <v>40372</v>
          </cell>
          <cell r="M1171">
            <v>20.445740000000001</v>
          </cell>
          <cell r="R1171">
            <v>40372</v>
          </cell>
          <cell r="T1171">
            <v>7.52</v>
          </cell>
          <cell r="Y1171">
            <v>40372</v>
          </cell>
          <cell r="AA1171">
            <v>123.65</v>
          </cell>
          <cell r="AF1171">
            <v>40372</v>
          </cell>
          <cell r="AH1171">
            <v>33.49324</v>
          </cell>
          <cell r="AM1171">
            <v>40372</v>
          </cell>
          <cell r="AO1171">
            <v>31.70514</v>
          </cell>
          <cell r="AT1171">
            <v>40372</v>
          </cell>
          <cell r="AV1171">
            <v>22.43496</v>
          </cell>
          <cell r="BA1171">
            <v>40372</v>
          </cell>
          <cell r="BC1171">
            <v>15.46856</v>
          </cell>
          <cell r="BH1171">
            <v>40372</v>
          </cell>
          <cell r="BJ1171">
            <v>12.748200000000001</v>
          </cell>
        </row>
        <row r="1172">
          <cell r="D1172">
            <v>40371</v>
          </cell>
          <cell r="F1172">
            <v>114.32747000000001</v>
          </cell>
          <cell r="K1172">
            <v>40371</v>
          </cell>
          <cell r="M1172">
            <v>20.242080000000001</v>
          </cell>
          <cell r="R1172">
            <v>40371</v>
          </cell>
          <cell r="T1172">
            <v>7.36</v>
          </cell>
          <cell r="Y1172">
            <v>40371</v>
          </cell>
          <cell r="AA1172">
            <v>119.51</v>
          </cell>
          <cell r="AF1172">
            <v>40371</v>
          </cell>
          <cell r="AH1172">
            <v>34.223100000000002</v>
          </cell>
          <cell r="AM1172">
            <v>40371</v>
          </cell>
          <cell r="AO1172">
            <v>30.88</v>
          </cell>
          <cell r="AT1172">
            <v>40371</v>
          </cell>
          <cell r="AV1172">
            <v>22.320060000000002</v>
          </cell>
          <cell r="BA1172">
            <v>40371</v>
          </cell>
          <cell r="BC1172">
            <v>15.287800000000001</v>
          </cell>
          <cell r="BH1172">
            <v>40371</v>
          </cell>
          <cell r="BJ1172">
            <v>12.51352</v>
          </cell>
        </row>
        <row r="1173">
          <cell r="D1173">
            <v>40368</v>
          </cell>
          <cell r="F1173">
            <v>113.69661000000001</v>
          </cell>
          <cell r="K1173">
            <v>40368</v>
          </cell>
          <cell r="M1173">
            <v>20.1004</v>
          </cell>
          <cell r="R1173">
            <v>40368</v>
          </cell>
          <cell r="T1173">
            <v>7.34</v>
          </cell>
          <cell r="Y1173">
            <v>40368</v>
          </cell>
          <cell r="AA1173">
            <v>117.26</v>
          </cell>
          <cell r="AF1173">
            <v>40368</v>
          </cell>
          <cell r="AH1173">
            <v>34.533700000000003</v>
          </cell>
          <cell r="AM1173">
            <v>40368</v>
          </cell>
          <cell r="AO1173">
            <v>31.041440000000001</v>
          </cell>
          <cell r="AT1173">
            <v>40368</v>
          </cell>
          <cell r="AV1173">
            <v>22.298780000000001</v>
          </cell>
          <cell r="BA1173">
            <v>40368</v>
          </cell>
          <cell r="BC1173">
            <v>15.62077</v>
          </cell>
          <cell r="BH1173">
            <v>40368</v>
          </cell>
          <cell r="BJ1173">
            <v>12.530279999999999</v>
          </cell>
        </row>
        <row r="1174">
          <cell r="D1174">
            <v>40367</v>
          </cell>
          <cell r="F1174">
            <v>113.70549</v>
          </cell>
          <cell r="K1174">
            <v>40367</v>
          </cell>
          <cell r="M1174">
            <v>19.967580000000002</v>
          </cell>
          <cell r="R1174">
            <v>40367</v>
          </cell>
          <cell r="T1174">
            <v>7.37</v>
          </cell>
          <cell r="Y1174">
            <v>40367</v>
          </cell>
          <cell r="AA1174">
            <v>116.22</v>
          </cell>
          <cell r="AF1174">
            <v>40367</v>
          </cell>
          <cell r="AH1174">
            <v>34.330179999999999</v>
          </cell>
          <cell r="AM1174">
            <v>40367</v>
          </cell>
          <cell r="AO1174">
            <v>30.933810000000001</v>
          </cell>
          <cell r="AT1174">
            <v>40367</v>
          </cell>
          <cell r="AV1174">
            <v>22.307300000000001</v>
          </cell>
          <cell r="BA1174">
            <v>40367</v>
          </cell>
          <cell r="BC1174">
            <v>15.38294</v>
          </cell>
          <cell r="BH1174">
            <v>40367</v>
          </cell>
          <cell r="BJ1174">
            <v>12.4297</v>
          </cell>
        </row>
        <row r="1175">
          <cell r="D1175">
            <v>40366</v>
          </cell>
          <cell r="F1175">
            <v>112.84362</v>
          </cell>
          <cell r="K1175">
            <v>40366</v>
          </cell>
          <cell r="M1175">
            <v>19.9056</v>
          </cell>
          <cell r="R1175">
            <v>40366</v>
          </cell>
          <cell r="T1175">
            <v>7.39</v>
          </cell>
          <cell r="Y1175">
            <v>40366</v>
          </cell>
          <cell r="AA1175">
            <v>113.43</v>
          </cell>
          <cell r="AF1175">
            <v>40366</v>
          </cell>
          <cell r="AH1175">
            <v>34.406669999999998</v>
          </cell>
          <cell r="AM1175">
            <v>40366</v>
          </cell>
          <cell r="AO1175">
            <v>31.211849999999998</v>
          </cell>
          <cell r="AT1175">
            <v>40366</v>
          </cell>
          <cell r="AV1175">
            <v>21.903020000000001</v>
          </cell>
          <cell r="BA1175">
            <v>40366</v>
          </cell>
          <cell r="BC1175">
            <v>15.31634</v>
          </cell>
          <cell r="BH1175">
            <v>40366</v>
          </cell>
          <cell r="BJ1175">
            <v>12.253690000000001</v>
          </cell>
        </row>
        <row r="1176">
          <cell r="D1176">
            <v>40365</v>
          </cell>
          <cell r="F1176">
            <v>109.69821</v>
          </cell>
          <cell r="K1176">
            <v>40365</v>
          </cell>
          <cell r="M1176">
            <v>18.896149999999999</v>
          </cell>
          <cell r="R1176">
            <v>40365</v>
          </cell>
          <cell r="T1176">
            <v>7.04</v>
          </cell>
          <cell r="Y1176">
            <v>40365</v>
          </cell>
          <cell r="AA1176">
            <v>110.06</v>
          </cell>
          <cell r="AF1176">
            <v>40365</v>
          </cell>
          <cell r="AH1176">
            <v>33.071849999999998</v>
          </cell>
          <cell r="AM1176">
            <v>40365</v>
          </cell>
          <cell r="AO1176">
            <v>30.67371</v>
          </cell>
          <cell r="AT1176">
            <v>40365</v>
          </cell>
          <cell r="AV1176">
            <v>21.460450000000002</v>
          </cell>
          <cell r="BA1176">
            <v>40365</v>
          </cell>
          <cell r="BC1176">
            <v>14.96435</v>
          </cell>
          <cell r="BH1176">
            <v>40365</v>
          </cell>
          <cell r="BJ1176">
            <v>11.7089</v>
          </cell>
        </row>
        <row r="1177">
          <cell r="D1177">
            <v>40361</v>
          </cell>
          <cell r="F1177">
            <v>108.27656</v>
          </cell>
          <cell r="K1177">
            <v>40361</v>
          </cell>
          <cell r="M1177">
            <v>18.7102</v>
          </cell>
          <cell r="R1177">
            <v>40361</v>
          </cell>
          <cell r="T1177">
            <v>7.17</v>
          </cell>
          <cell r="Y1177">
            <v>40361</v>
          </cell>
          <cell r="AA1177">
            <v>109.14</v>
          </cell>
          <cell r="AF1177">
            <v>40361</v>
          </cell>
          <cell r="AH1177">
            <v>32.847050000000003</v>
          </cell>
          <cell r="AM1177">
            <v>40361</v>
          </cell>
          <cell r="AO1177">
            <v>30.503299999999999</v>
          </cell>
          <cell r="AT1177">
            <v>40361</v>
          </cell>
          <cell r="AV1177">
            <v>21.298739999999999</v>
          </cell>
          <cell r="BA1177">
            <v>40361</v>
          </cell>
          <cell r="BC1177">
            <v>15.20219</v>
          </cell>
          <cell r="BH1177">
            <v>40361</v>
          </cell>
          <cell r="BJ1177">
            <v>11.633459999999999</v>
          </cell>
        </row>
        <row r="1178">
          <cell r="D1178">
            <v>40360</v>
          </cell>
          <cell r="F1178">
            <v>108.90742</v>
          </cell>
          <cell r="K1178">
            <v>40360</v>
          </cell>
          <cell r="M1178">
            <v>18.825310000000002</v>
          </cell>
          <cell r="R1178">
            <v>40360</v>
          </cell>
          <cell r="T1178">
            <v>7.39</v>
          </cell>
          <cell r="Y1178">
            <v>40360</v>
          </cell>
          <cell r="AA1178">
            <v>110.96</v>
          </cell>
          <cell r="AF1178">
            <v>40360</v>
          </cell>
          <cell r="AH1178">
            <v>33.05189</v>
          </cell>
          <cell r="AM1178">
            <v>40360</v>
          </cell>
          <cell r="AO1178">
            <v>30.126609999999999</v>
          </cell>
          <cell r="AT1178">
            <v>40360</v>
          </cell>
          <cell r="AV1178">
            <v>21.290230000000001</v>
          </cell>
          <cell r="BA1178">
            <v>40360</v>
          </cell>
          <cell r="BC1178">
            <v>14.93581</v>
          </cell>
          <cell r="BH1178">
            <v>40360</v>
          </cell>
          <cell r="BJ1178">
            <v>11.834619999999999</v>
          </cell>
        </row>
        <row r="1179">
          <cell r="D1179">
            <v>40359</v>
          </cell>
          <cell r="F1179">
            <v>109.71598</v>
          </cell>
          <cell r="K1179">
            <v>40359</v>
          </cell>
          <cell r="M1179">
            <v>18.869579999999999</v>
          </cell>
          <cell r="R1179">
            <v>40359</v>
          </cell>
          <cell r="T1179">
            <v>7.32</v>
          </cell>
          <cell r="Y1179">
            <v>40359</v>
          </cell>
          <cell r="AA1179">
            <v>109.26</v>
          </cell>
          <cell r="AF1179">
            <v>40359</v>
          </cell>
          <cell r="AH1179">
            <v>33.457590000000003</v>
          </cell>
          <cell r="AM1179">
            <v>40359</v>
          </cell>
          <cell r="AO1179">
            <v>30.144549999999999</v>
          </cell>
          <cell r="AT1179">
            <v>40359</v>
          </cell>
          <cell r="AV1179">
            <v>21.328530000000001</v>
          </cell>
          <cell r="BA1179">
            <v>40359</v>
          </cell>
          <cell r="BC1179">
            <v>15.259259999999999</v>
          </cell>
          <cell r="BH1179">
            <v>40359</v>
          </cell>
          <cell r="BJ1179">
            <v>12.08606</v>
          </cell>
        </row>
        <row r="1180">
          <cell r="D1180">
            <v>40358</v>
          </cell>
          <cell r="F1180">
            <v>111.14652</v>
          </cell>
          <cell r="K1180">
            <v>40358</v>
          </cell>
          <cell r="M1180">
            <v>19.144079999999999</v>
          </cell>
          <cell r="R1180">
            <v>40358</v>
          </cell>
          <cell r="T1180">
            <v>7.48</v>
          </cell>
          <cell r="Y1180">
            <v>40358</v>
          </cell>
          <cell r="AA1180">
            <v>108.61</v>
          </cell>
          <cell r="AF1180">
            <v>40358</v>
          </cell>
          <cell r="AH1180">
            <v>34.07479</v>
          </cell>
          <cell r="AM1180">
            <v>40358</v>
          </cell>
          <cell r="AO1180">
            <v>30.377739999999999</v>
          </cell>
          <cell r="AT1180">
            <v>40358</v>
          </cell>
          <cell r="AV1180">
            <v>21.417899999999999</v>
          </cell>
          <cell r="BA1180">
            <v>40358</v>
          </cell>
          <cell r="BC1180">
            <v>15.53515</v>
          </cell>
          <cell r="BH1180">
            <v>40358</v>
          </cell>
          <cell r="BJ1180">
            <v>12.13635</v>
          </cell>
        </row>
        <row r="1181">
          <cell r="D1181">
            <v>40357</v>
          </cell>
          <cell r="F1181">
            <v>114.60290999999999</v>
          </cell>
          <cell r="K1181">
            <v>40357</v>
          </cell>
          <cell r="M1181">
            <v>19.85247</v>
          </cell>
          <cell r="R1181">
            <v>40357</v>
          </cell>
          <cell r="T1181">
            <v>8.0500000000000007</v>
          </cell>
          <cell r="Y1181">
            <v>40357</v>
          </cell>
          <cell r="AA1181">
            <v>117.8</v>
          </cell>
          <cell r="AF1181">
            <v>40357</v>
          </cell>
          <cell r="AH1181">
            <v>35.688279999999999</v>
          </cell>
          <cell r="AM1181">
            <v>40357</v>
          </cell>
          <cell r="AO1181">
            <v>30.80376</v>
          </cell>
          <cell r="AT1181">
            <v>40357</v>
          </cell>
          <cell r="AV1181">
            <v>21.73706</v>
          </cell>
          <cell r="BA1181">
            <v>40357</v>
          </cell>
          <cell r="BC1181">
            <v>15.87763</v>
          </cell>
          <cell r="BH1181">
            <v>40357</v>
          </cell>
          <cell r="BJ1181">
            <v>12.572190000000001</v>
          </cell>
        </row>
        <row r="1182">
          <cell r="D1182">
            <v>40354</v>
          </cell>
          <cell r="F1182">
            <v>112.95023999999999</v>
          </cell>
          <cell r="K1182">
            <v>40354</v>
          </cell>
          <cell r="M1182">
            <v>19.64217</v>
          </cell>
          <cell r="R1182">
            <v>40354</v>
          </cell>
          <cell r="T1182">
            <v>8.09</v>
          </cell>
          <cell r="Y1182">
            <v>40354</v>
          </cell>
          <cell r="AA1182">
            <v>121</v>
          </cell>
          <cell r="AF1182">
            <v>40354</v>
          </cell>
          <cell r="AH1182">
            <v>35.475450000000002</v>
          </cell>
          <cell r="AM1182">
            <v>40354</v>
          </cell>
          <cell r="AO1182">
            <v>30.536210000000001</v>
          </cell>
          <cell r="AT1182">
            <v>40354</v>
          </cell>
          <cell r="AV1182">
            <v>21.388110000000001</v>
          </cell>
          <cell r="BA1182">
            <v>40354</v>
          </cell>
          <cell r="BC1182">
            <v>16.05838</v>
          </cell>
          <cell r="BH1182">
            <v>40354</v>
          </cell>
          <cell r="BJ1182">
            <v>12.49675</v>
          </cell>
        </row>
        <row r="1183">
          <cell r="D1183">
            <v>40353</v>
          </cell>
          <cell r="F1183">
            <v>113.90097</v>
          </cell>
          <cell r="K1183">
            <v>40353</v>
          </cell>
          <cell r="M1183">
            <v>19.985289999999999</v>
          </cell>
          <cell r="R1183">
            <v>40353</v>
          </cell>
          <cell r="T1183">
            <v>8.1300000000000008</v>
          </cell>
          <cell r="Y1183">
            <v>40353</v>
          </cell>
          <cell r="AA1183">
            <v>118.33</v>
          </cell>
          <cell r="AF1183">
            <v>40353</v>
          </cell>
          <cell r="AH1183">
            <v>35.781390000000002</v>
          </cell>
          <cell r="AM1183">
            <v>40353</v>
          </cell>
          <cell r="AO1183">
            <v>30.447030000000002</v>
          </cell>
          <cell r="AT1183">
            <v>40353</v>
          </cell>
          <cell r="AV1183">
            <v>22.04346</v>
          </cell>
          <cell r="BA1183">
            <v>40353</v>
          </cell>
          <cell r="BC1183">
            <v>15.289630000000001</v>
          </cell>
          <cell r="BH1183">
            <v>40353</v>
          </cell>
          <cell r="BJ1183">
            <v>12.639239999999999</v>
          </cell>
        </row>
        <row r="1184">
          <cell r="D1184">
            <v>40352</v>
          </cell>
          <cell r="F1184">
            <v>115.60695</v>
          </cell>
          <cell r="K1184">
            <v>40352</v>
          </cell>
          <cell r="M1184">
            <v>20.242080000000001</v>
          </cell>
          <cell r="R1184">
            <v>40352</v>
          </cell>
          <cell r="T1184">
            <v>8.56</v>
          </cell>
          <cell r="Y1184">
            <v>40352</v>
          </cell>
          <cell r="AA1184">
            <v>121.45</v>
          </cell>
          <cell r="AF1184">
            <v>40352</v>
          </cell>
          <cell r="AH1184">
            <v>36.043430000000001</v>
          </cell>
          <cell r="AM1184">
            <v>40352</v>
          </cell>
          <cell r="AO1184">
            <v>30.86619</v>
          </cell>
          <cell r="AT1184">
            <v>40352</v>
          </cell>
          <cell r="AV1184">
            <v>22.230699999999999</v>
          </cell>
          <cell r="BA1184">
            <v>40352</v>
          </cell>
          <cell r="BC1184">
            <v>15.422499999999999</v>
          </cell>
          <cell r="BH1184">
            <v>40352</v>
          </cell>
          <cell r="BJ1184">
            <v>12.89906</v>
          </cell>
        </row>
        <row r="1185">
          <cell r="D1185">
            <v>40351</v>
          </cell>
          <cell r="F1185">
            <v>114.88724000000001</v>
          </cell>
          <cell r="K1185">
            <v>40351</v>
          </cell>
          <cell r="M1185">
            <v>20.339479999999998</v>
          </cell>
          <cell r="R1185">
            <v>40351</v>
          </cell>
          <cell r="T1185">
            <v>8.58</v>
          </cell>
          <cell r="Y1185">
            <v>40351</v>
          </cell>
          <cell r="AA1185">
            <v>122.307</v>
          </cell>
          <cell r="AF1185">
            <v>40351</v>
          </cell>
          <cell r="AH1185">
            <v>36.426519999999996</v>
          </cell>
          <cell r="AM1185">
            <v>40351</v>
          </cell>
          <cell r="AO1185">
            <v>31.10698</v>
          </cell>
          <cell r="AT1185">
            <v>40351</v>
          </cell>
          <cell r="AV1185">
            <v>22.32432</v>
          </cell>
          <cell r="BA1185">
            <v>40351</v>
          </cell>
          <cell r="BC1185">
            <v>15.213699999999999</v>
          </cell>
          <cell r="BH1185">
            <v>40351</v>
          </cell>
          <cell r="BJ1185">
            <v>13.23432</v>
          </cell>
        </row>
        <row r="1186">
          <cell r="D1186">
            <v>40350</v>
          </cell>
          <cell r="F1186">
            <v>116.08676</v>
          </cell>
          <cell r="K1186">
            <v>40350</v>
          </cell>
          <cell r="M1186">
            <v>20.667110000000001</v>
          </cell>
          <cell r="R1186">
            <v>40350</v>
          </cell>
          <cell r="T1186">
            <v>8.8000000000000007</v>
          </cell>
          <cell r="Y1186">
            <v>40350</v>
          </cell>
          <cell r="AA1186">
            <v>122.55</v>
          </cell>
          <cell r="AF1186">
            <v>40350</v>
          </cell>
          <cell r="AH1186">
            <v>35.937019999999997</v>
          </cell>
          <cell r="AM1186">
            <v>40350</v>
          </cell>
          <cell r="AO1186">
            <v>31.713429999999999</v>
          </cell>
          <cell r="AT1186">
            <v>40350</v>
          </cell>
          <cell r="AV1186">
            <v>22.332830000000001</v>
          </cell>
          <cell r="BA1186">
            <v>40350</v>
          </cell>
          <cell r="BC1186">
            <v>15.526899999999999</v>
          </cell>
          <cell r="BH1186">
            <v>40350</v>
          </cell>
          <cell r="BJ1186">
            <v>13.494149999999999</v>
          </cell>
        </row>
        <row r="1187">
          <cell r="D1187">
            <v>40347</v>
          </cell>
          <cell r="F1187">
            <v>115.64249</v>
          </cell>
          <cell r="K1187">
            <v>40347</v>
          </cell>
          <cell r="M1187">
            <v>20.79993</v>
          </cell>
          <cell r="R1187">
            <v>40347</v>
          </cell>
          <cell r="T1187">
            <v>8.83</v>
          </cell>
          <cell r="Y1187">
            <v>40347</v>
          </cell>
          <cell r="AA1187">
            <v>125.83</v>
          </cell>
          <cell r="AF1187">
            <v>40347</v>
          </cell>
          <cell r="AH1187">
            <v>36.456310000000002</v>
          </cell>
          <cell r="AM1187">
            <v>40347</v>
          </cell>
          <cell r="AO1187">
            <v>31.90071</v>
          </cell>
          <cell r="AT1187">
            <v>40347</v>
          </cell>
          <cell r="AV1187">
            <v>22.260490000000001</v>
          </cell>
          <cell r="BA1187">
            <v>40347</v>
          </cell>
          <cell r="BC1187">
            <v>15.859070000000001</v>
          </cell>
          <cell r="BH1187">
            <v>40347</v>
          </cell>
          <cell r="BJ1187">
            <v>13.36843</v>
          </cell>
        </row>
        <row r="1188">
          <cell r="D1188">
            <v>40346</v>
          </cell>
          <cell r="F1188">
            <v>116.37998</v>
          </cell>
          <cell r="K1188">
            <v>40346</v>
          </cell>
          <cell r="M1188">
            <v>20.515689999999999</v>
          </cell>
          <cell r="R1188">
            <v>40346</v>
          </cell>
          <cell r="T1188">
            <v>8.91</v>
          </cell>
          <cell r="Y1188">
            <v>40346</v>
          </cell>
          <cell r="AA1188">
            <v>125.89</v>
          </cell>
          <cell r="AF1188">
            <v>40346</v>
          </cell>
          <cell r="AH1188">
            <v>36.163150000000002</v>
          </cell>
          <cell r="AM1188">
            <v>40346</v>
          </cell>
          <cell r="AO1188">
            <v>32.266359999999999</v>
          </cell>
          <cell r="AT1188">
            <v>40346</v>
          </cell>
          <cell r="AV1188">
            <v>22.281759999999998</v>
          </cell>
          <cell r="BA1188">
            <v>40346</v>
          </cell>
          <cell r="BC1188">
            <v>15.86856</v>
          </cell>
          <cell r="BH1188">
            <v>40346</v>
          </cell>
          <cell r="BJ1188">
            <v>13.334899999999999</v>
          </cell>
        </row>
        <row r="1189">
          <cell r="D1189">
            <v>40345</v>
          </cell>
          <cell r="F1189">
            <v>115.8202</v>
          </cell>
          <cell r="K1189">
            <v>40345</v>
          </cell>
          <cell r="M1189">
            <v>20.62284</v>
          </cell>
          <cell r="R1189">
            <v>40345</v>
          </cell>
          <cell r="T1189">
            <v>8.9</v>
          </cell>
          <cell r="Y1189">
            <v>40345</v>
          </cell>
          <cell r="AA1189">
            <v>126.9</v>
          </cell>
          <cell r="AF1189">
            <v>40345</v>
          </cell>
          <cell r="AH1189">
            <v>35.548609999999996</v>
          </cell>
          <cell r="AM1189">
            <v>40345</v>
          </cell>
          <cell r="AO1189">
            <v>31.86504</v>
          </cell>
          <cell r="AT1189">
            <v>40345</v>
          </cell>
          <cell r="AV1189">
            <v>22.298780000000001</v>
          </cell>
          <cell r="BA1189">
            <v>40345</v>
          </cell>
          <cell r="BC1189">
            <v>16.029910000000001</v>
          </cell>
          <cell r="BH1189">
            <v>40345</v>
          </cell>
          <cell r="BJ1189">
            <v>13.200799999999999</v>
          </cell>
        </row>
        <row r="1190">
          <cell r="D1190">
            <v>40344</v>
          </cell>
          <cell r="F1190">
            <v>115.32262</v>
          </cell>
          <cell r="K1190">
            <v>40344</v>
          </cell>
          <cell r="M1190">
            <v>20.658249999999999</v>
          </cell>
          <cell r="R1190">
            <v>40344</v>
          </cell>
          <cell r="T1190">
            <v>8.82</v>
          </cell>
          <cell r="Y1190">
            <v>40344</v>
          </cell>
          <cell r="AA1190">
            <v>126.84</v>
          </cell>
          <cell r="AF1190">
            <v>40344</v>
          </cell>
          <cell r="AH1190">
            <v>34.543010000000002</v>
          </cell>
          <cell r="AM1190">
            <v>40344</v>
          </cell>
          <cell r="AO1190">
            <v>31.842739999999999</v>
          </cell>
          <cell r="AT1190">
            <v>40344</v>
          </cell>
          <cell r="AV1190">
            <v>22.205159999999999</v>
          </cell>
          <cell r="BA1190">
            <v>40344</v>
          </cell>
          <cell r="BC1190">
            <v>16.115320000000001</v>
          </cell>
          <cell r="BH1190">
            <v>40344</v>
          </cell>
          <cell r="BJ1190">
            <v>13.146660000000001</v>
          </cell>
        </row>
        <row r="1191">
          <cell r="D1191">
            <v>40343</v>
          </cell>
          <cell r="F1191">
            <v>114.17641999999999</v>
          </cell>
          <cell r="K1191">
            <v>40343</v>
          </cell>
          <cell r="M1191">
            <v>20.149100000000001</v>
          </cell>
          <cell r="R1191">
            <v>40343</v>
          </cell>
          <cell r="T1191">
            <v>8.2799999999999994</v>
          </cell>
          <cell r="Y1191">
            <v>40343</v>
          </cell>
          <cell r="AA1191">
            <v>123.83</v>
          </cell>
          <cell r="AF1191">
            <v>40343</v>
          </cell>
          <cell r="AH1191">
            <v>33.823390000000003</v>
          </cell>
          <cell r="AM1191">
            <v>40343</v>
          </cell>
          <cell r="AO1191">
            <v>31.249680000000001</v>
          </cell>
          <cell r="AT1191">
            <v>40343</v>
          </cell>
          <cell r="AV1191">
            <v>21.92005</v>
          </cell>
          <cell r="BA1191">
            <v>40343</v>
          </cell>
          <cell r="BC1191">
            <v>15.40352</v>
          </cell>
          <cell r="BH1191">
            <v>40343</v>
          </cell>
          <cell r="BJ1191">
            <v>12.817679999999999</v>
          </cell>
        </row>
        <row r="1192">
          <cell r="D1192">
            <v>40340</v>
          </cell>
          <cell r="F1192">
            <v>114.13199</v>
          </cell>
          <cell r="K1192">
            <v>40340</v>
          </cell>
          <cell r="M1192">
            <v>20.284140000000001</v>
          </cell>
          <cell r="R1192">
            <v>40340</v>
          </cell>
          <cell r="T1192">
            <v>8.1199999999999992</v>
          </cell>
          <cell r="Y1192">
            <v>40340</v>
          </cell>
          <cell r="AA1192">
            <v>123.03</v>
          </cell>
          <cell r="AF1192">
            <v>40340</v>
          </cell>
          <cell r="AH1192">
            <v>33.720970000000001</v>
          </cell>
          <cell r="AM1192">
            <v>40340</v>
          </cell>
          <cell r="AO1192">
            <v>31.276430000000001</v>
          </cell>
          <cell r="AT1192">
            <v>40340</v>
          </cell>
          <cell r="AV1192">
            <v>21.979620000000001</v>
          </cell>
          <cell r="BA1192">
            <v>40340</v>
          </cell>
          <cell r="BC1192">
            <v>15.19472</v>
          </cell>
          <cell r="BH1192">
            <v>40340</v>
          </cell>
          <cell r="BJ1192">
            <v>12.95927</v>
          </cell>
        </row>
        <row r="1193">
          <cell r="D1193">
            <v>40339</v>
          </cell>
          <cell r="F1193">
            <v>113.44781999999999</v>
          </cell>
          <cell r="K1193">
            <v>40339</v>
          </cell>
          <cell r="M1193">
            <v>20.1646</v>
          </cell>
          <cell r="R1193">
            <v>40339</v>
          </cell>
          <cell r="T1193">
            <v>8.01</v>
          </cell>
          <cell r="Y1193">
            <v>40339</v>
          </cell>
          <cell r="AA1193">
            <v>123.21</v>
          </cell>
          <cell r="AF1193">
            <v>40339</v>
          </cell>
          <cell r="AH1193">
            <v>33.321919999999999</v>
          </cell>
          <cell r="AM1193">
            <v>40339</v>
          </cell>
          <cell r="AO1193">
            <v>31.017800000000001</v>
          </cell>
          <cell r="AT1193">
            <v>40339</v>
          </cell>
          <cell r="AV1193">
            <v>22.132819999999999</v>
          </cell>
          <cell r="BA1193">
            <v>40339</v>
          </cell>
          <cell r="BC1193">
            <v>14.013120000000001</v>
          </cell>
          <cell r="BH1193">
            <v>40339</v>
          </cell>
          <cell r="BJ1193">
            <v>13.05921</v>
          </cell>
        </row>
        <row r="1194">
          <cell r="D1194">
            <v>40338</v>
          </cell>
          <cell r="F1194">
            <v>110.08917</v>
          </cell>
          <cell r="K1194">
            <v>40338</v>
          </cell>
          <cell r="M1194">
            <v>20.171240000000001</v>
          </cell>
          <cell r="R1194">
            <v>40338</v>
          </cell>
          <cell r="T1194">
            <v>7.61</v>
          </cell>
          <cell r="Y1194">
            <v>40338</v>
          </cell>
          <cell r="AA1194">
            <v>117.91</v>
          </cell>
          <cell r="AF1194">
            <v>40338</v>
          </cell>
          <cell r="AH1194">
            <v>32.34957</v>
          </cell>
          <cell r="AM1194">
            <v>40338</v>
          </cell>
          <cell r="AO1194">
            <v>30.161650000000002</v>
          </cell>
          <cell r="AT1194">
            <v>40338</v>
          </cell>
          <cell r="AV1194">
            <v>21.66864</v>
          </cell>
          <cell r="BA1194">
            <v>40338</v>
          </cell>
          <cell r="BC1194">
            <v>13.44842</v>
          </cell>
          <cell r="BH1194">
            <v>40338</v>
          </cell>
          <cell r="BJ1194">
            <v>12.75938</v>
          </cell>
        </row>
        <row r="1195">
          <cell r="D1195">
            <v>40337</v>
          </cell>
          <cell r="F1195">
            <v>109.92923</v>
          </cell>
          <cell r="K1195">
            <v>40337</v>
          </cell>
          <cell r="M1195">
            <v>20.3262</v>
          </cell>
          <cell r="R1195">
            <v>40337</v>
          </cell>
          <cell r="T1195">
            <v>7.77</v>
          </cell>
          <cell r="Y1195">
            <v>40337</v>
          </cell>
          <cell r="AA1195">
            <v>118.83499999999999</v>
          </cell>
          <cell r="AF1195">
            <v>40337</v>
          </cell>
          <cell r="AH1195">
            <v>33.164960000000001</v>
          </cell>
          <cell r="AM1195">
            <v>40337</v>
          </cell>
          <cell r="AO1195">
            <v>30.108139999999999</v>
          </cell>
          <cell r="AT1195">
            <v>40337</v>
          </cell>
          <cell r="AV1195">
            <v>21.757259999999999</v>
          </cell>
          <cell r="BA1195">
            <v>40337</v>
          </cell>
          <cell r="BC1195">
            <v>13.590780000000001</v>
          </cell>
          <cell r="BH1195">
            <v>40337</v>
          </cell>
          <cell r="BJ1195">
            <v>12.89264</v>
          </cell>
        </row>
        <row r="1196">
          <cell r="D1196">
            <v>40336</v>
          </cell>
          <cell r="F1196">
            <v>110.29353</v>
          </cell>
          <cell r="K1196">
            <v>40336</v>
          </cell>
          <cell r="M1196">
            <v>20.15353</v>
          </cell>
          <cell r="R1196">
            <v>40336</v>
          </cell>
          <cell r="T1196">
            <v>7.71</v>
          </cell>
          <cell r="Y1196">
            <v>40336</v>
          </cell>
          <cell r="AA1196">
            <v>122.01</v>
          </cell>
          <cell r="AF1196">
            <v>40336</v>
          </cell>
          <cell r="AH1196">
            <v>33.379109999999997</v>
          </cell>
          <cell r="AM1196">
            <v>40336</v>
          </cell>
          <cell r="AO1196">
            <v>30.215160000000001</v>
          </cell>
          <cell r="AT1196">
            <v>40336</v>
          </cell>
          <cell r="AV1196">
            <v>21.43655</v>
          </cell>
          <cell r="BA1196">
            <v>40336</v>
          </cell>
          <cell r="BC1196">
            <v>13.66671</v>
          </cell>
          <cell r="BH1196">
            <v>40336</v>
          </cell>
          <cell r="BJ1196">
            <v>12.834339999999999</v>
          </cell>
        </row>
        <row r="1197">
          <cell r="D1197">
            <v>40333</v>
          </cell>
          <cell r="F1197">
            <v>111.31534000000001</v>
          </cell>
          <cell r="K1197">
            <v>40333</v>
          </cell>
          <cell r="M1197">
            <v>20.3262</v>
          </cell>
          <cell r="R1197">
            <v>40333</v>
          </cell>
          <cell r="T1197">
            <v>8.1050000000000004</v>
          </cell>
          <cell r="Y1197">
            <v>40333</v>
          </cell>
          <cell r="AA1197">
            <v>122.77</v>
          </cell>
          <cell r="AF1197">
            <v>40333</v>
          </cell>
          <cell r="AH1197">
            <v>34.047519999999999</v>
          </cell>
          <cell r="AM1197">
            <v>40333</v>
          </cell>
          <cell r="AO1197">
            <v>30.536210000000001</v>
          </cell>
          <cell r="AT1197">
            <v>40333</v>
          </cell>
          <cell r="AV1197">
            <v>21.634879999999999</v>
          </cell>
          <cell r="BA1197">
            <v>40333</v>
          </cell>
          <cell r="BC1197">
            <v>14.084300000000001</v>
          </cell>
          <cell r="BH1197">
            <v>40333</v>
          </cell>
          <cell r="BJ1197">
            <v>13.084199999999999</v>
          </cell>
        </row>
        <row r="1198">
          <cell r="D1198">
            <v>40332</v>
          </cell>
          <cell r="F1198">
            <v>113.69661000000001</v>
          </cell>
          <cell r="K1198">
            <v>40332</v>
          </cell>
          <cell r="M1198">
            <v>21.003589999999999</v>
          </cell>
          <cell r="R1198">
            <v>40332</v>
          </cell>
          <cell r="T1198">
            <v>8.69</v>
          </cell>
          <cell r="Y1198">
            <v>40332</v>
          </cell>
          <cell r="AA1198">
            <v>128.76</v>
          </cell>
          <cell r="AF1198">
            <v>40332</v>
          </cell>
          <cell r="AH1198">
            <v>34.999250000000004</v>
          </cell>
          <cell r="AM1198">
            <v>40332</v>
          </cell>
          <cell r="AO1198">
            <v>31.838280000000001</v>
          </cell>
          <cell r="AT1198">
            <v>40332</v>
          </cell>
          <cell r="AV1198">
            <v>22.259409999999999</v>
          </cell>
          <cell r="BA1198">
            <v>40332</v>
          </cell>
          <cell r="BC1198">
            <v>14.938470000000001</v>
          </cell>
          <cell r="BH1198">
            <v>40332</v>
          </cell>
          <cell r="BJ1198">
            <v>13.70051</v>
          </cell>
        </row>
        <row r="1199">
          <cell r="D1199">
            <v>40331</v>
          </cell>
          <cell r="F1199">
            <v>113.20792</v>
          </cell>
          <cell r="K1199">
            <v>40331</v>
          </cell>
          <cell r="M1199">
            <v>20.67596</v>
          </cell>
          <cell r="R1199">
            <v>40331</v>
          </cell>
          <cell r="T1199">
            <v>8.5399999999999991</v>
          </cell>
          <cell r="Y1199">
            <v>40331</v>
          </cell>
          <cell r="AA1199">
            <v>126.31</v>
          </cell>
          <cell r="AF1199">
            <v>40331</v>
          </cell>
          <cell r="AH1199">
            <v>35.109659999999998</v>
          </cell>
          <cell r="AM1199">
            <v>40331</v>
          </cell>
          <cell r="AO1199">
            <v>31.213999999999999</v>
          </cell>
          <cell r="AT1199">
            <v>40331</v>
          </cell>
          <cell r="AV1199">
            <v>22.115939999999998</v>
          </cell>
          <cell r="BA1199">
            <v>40331</v>
          </cell>
          <cell r="BC1199">
            <v>14.77713</v>
          </cell>
          <cell r="BH1199">
            <v>40331</v>
          </cell>
          <cell r="BJ1199">
            <v>13.617229999999999</v>
          </cell>
        </row>
        <row r="1200">
          <cell r="D1200">
            <v>40330</v>
          </cell>
          <cell r="F1200">
            <v>110.48012</v>
          </cell>
          <cell r="K1200">
            <v>40330</v>
          </cell>
          <cell r="M1200">
            <v>20.366050000000001</v>
          </cell>
          <cell r="R1200">
            <v>40330</v>
          </cell>
          <cell r="T1200">
            <v>8.14</v>
          </cell>
          <cell r="Y1200">
            <v>40330</v>
          </cell>
          <cell r="AA1200">
            <v>123.24</v>
          </cell>
          <cell r="AF1200">
            <v>40330</v>
          </cell>
          <cell r="AH1200">
            <v>34.694650000000003</v>
          </cell>
          <cell r="AM1200">
            <v>40330</v>
          </cell>
          <cell r="AO1200">
            <v>30.241910000000001</v>
          </cell>
          <cell r="AT1200">
            <v>40330</v>
          </cell>
          <cell r="AV1200">
            <v>21.643319999999999</v>
          </cell>
          <cell r="BA1200">
            <v>40330</v>
          </cell>
          <cell r="BC1200">
            <v>14.217169999999999</v>
          </cell>
          <cell r="BH1200">
            <v>40330</v>
          </cell>
          <cell r="BJ1200">
            <v>13.30907</v>
          </cell>
        </row>
        <row r="1201">
          <cell r="D1201">
            <v>40326</v>
          </cell>
          <cell r="F1201">
            <v>111.29756999999999</v>
          </cell>
          <cell r="K1201">
            <v>40326</v>
          </cell>
          <cell r="M1201">
            <v>20.507719999999999</v>
          </cell>
          <cell r="R1201">
            <v>40326</v>
          </cell>
          <cell r="T1201">
            <v>8.57</v>
          </cell>
          <cell r="Y1201">
            <v>40326</v>
          </cell>
          <cell r="AA1201">
            <v>125.46</v>
          </cell>
          <cell r="AF1201">
            <v>40326</v>
          </cell>
          <cell r="AH1201">
            <v>34.169229999999999</v>
          </cell>
          <cell r="AM1201">
            <v>40326</v>
          </cell>
          <cell r="AO1201">
            <v>30.759170000000001</v>
          </cell>
          <cell r="AT1201">
            <v>40326</v>
          </cell>
          <cell r="AV1201">
            <v>21.68974</v>
          </cell>
          <cell r="BA1201">
            <v>40326</v>
          </cell>
          <cell r="BC1201">
            <v>15.09981</v>
          </cell>
          <cell r="BH1201">
            <v>40326</v>
          </cell>
          <cell r="BJ1201">
            <v>13.617229999999999</v>
          </cell>
        </row>
        <row r="1202">
          <cell r="D1202">
            <v>40325</v>
          </cell>
          <cell r="F1202">
            <v>112.30161</v>
          </cell>
          <cell r="K1202">
            <v>40325</v>
          </cell>
          <cell r="M1202">
            <v>20.959320000000002</v>
          </cell>
          <cell r="R1202">
            <v>40325</v>
          </cell>
          <cell r="T1202">
            <v>8.8000000000000007</v>
          </cell>
          <cell r="Y1202">
            <v>40325</v>
          </cell>
          <cell r="AA1202">
            <v>126.7</v>
          </cell>
          <cell r="AF1202">
            <v>40325</v>
          </cell>
          <cell r="AH1202">
            <v>33.699680000000001</v>
          </cell>
          <cell r="AM1202">
            <v>40325</v>
          </cell>
          <cell r="AO1202">
            <v>30.01895</v>
          </cell>
          <cell r="AT1202">
            <v>40325</v>
          </cell>
          <cell r="AV1202">
            <v>21.618010000000002</v>
          </cell>
          <cell r="BA1202">
            <v>40325</v>
          </cell>
          <cell r="BC1202">
            <v>15.469950000000001</v>
          </cell>
          <cell r="BH1202">
            <v>40325</v>
          </cell>
          <cell r="BJ1202">
            <v>13.87541</v>
          </cell>
        </row>
        <row r="1203">
          <cell r="D1203">
            <v>40324</v>
          </cell>
          <cell r="F1203">
            <v>109.49384999999999</v>
          </cell>
          <cell r="K1203">
            <v>40324</v>
          </cell>
          <cell r="M1203">
            <v>20.268640000000001</v>
          </cell>
          <cell r="R1203">
            <v>40324</v>
          </cell>
          <cell r="T1203">
            <v>8.2200000000000006</v>
          </cell>
          <cell r="Y1203">
            <v>40324</v>
          </cell>
          <cell r="AA1203">
            <v>123.21</v>
          </cell>
          <cell r="AF1203">
            <v>40324</v>
          </cell>
          <cell r="AH1203">
            <v>32.470480000000002</v>
          </cell>
          <cell r="AM1203">
            <v>40324</v>
          </cell>
          <cell r="AO1203">
            <v>29.25198</v>
          </cell>
          <cell r="AT1203">
            <v>40324</v>
          </cell>
          <cell r="AV1203">
            <v>21.132729999999999</v>
          </cell>
          <cell r="BA1203">
            <v>40324</v>
          </cell>
          <cell r="BC1203">
            <v>14.824579999999999</v>
          </cell>
          <cell r="BH1203">
            <v>40324</v>
          </cell>
          <cell r="BJ1203">
            <v>13.33405</v>
          </cell>
        </row>
        <row r="1204">
          <cell r="D1204">
            <v>40323</v>
          </cell>
          <cell r="F1204">
            <v>110.64006000000001</v>
          </cell>
          <cell r="K1204">
            <v>40323</v>
          </cell>
          <cell r="M1204">
            <v>20.640550000000001</v>
          </cell>
          <cell r="R1204">
            <v>40323</v>
          </cell>
          <cell r="T1204">
            <v>8.15</v>
          </cell>
          <cell r="Y1204">
            <v>40323</v>
          </cell>
          <cell r="AA1204">
            <v>124.86</v>
          </cell>
          <cell r="AF1204">
            <v>40323</v>
          </cell>
          <cell r="AH1204">
            <v>32.618259999999999</v>
          </cell>
          <cell r="AM1204">
            <v>40323</v>
          </cell>
          <cell r="AO1204">
            <v>29.260899999999999</v>
          </cell>
          <cell r="AT1204">
            <v>40323</v>
          </cell>
          <cell r="AV1204">
            <v>21.360600000000002</v>
          </cell>
          <cell r="BA1204">
            <v>40323</v>
          </cell>
          <cell r="BC1204">
            <v>14.64425</v>
          </cell>
          <cell r="BH1204">
            <v>40323</v>
          </cell>
          <cell r="BJ1204">
            <v>13.284079999999999</v>
          </cell>
        </row>
        <row r="1205">
          <cell r="D1205">
            <v>40322</v>
          </cell>
          <cell r="F1205">
            <v>110.57786</v>
          </cell>
          <cell r="K1205">
            <v>40322</v>
          </cell>
          <cell r="M1205">
            <v>20.693670000000001</v>
          </cell>
          <cell r="R1205">
            <v>40322</v>
          </cell>
          <cell r="T1205">
            <v>8.09</v>
          </cell>
          <cell r="Y1205">
            <v>40322</v>
          </cell>
          <cell r="AA1205">
            <v>122.12</v>
          </cell>
          <cell r="AF1205">
            <v>40322</v>
          </cell>
          <cell r="AH1205">
            <v>32.82311</v>
          </cell>
          <cell r="AM1205">
            <v>40322</v>
          </cell>
          <cell r="AO1205">
            <v>29.323329999999999</v>
          </cell>
          <cell r="AT1205">
            <v>40322</v>
          </cell>
          <cell r="AV1205">
            <v>21.715060000000001</v>
          </cell>
          <cell r="BA1205">
            <v>40322</v>
          </cell>
          <cell r="BC1205">
            <v>14.62527</v>
          </cell>
          <cell r="BH1205">
            <v>40322</v>
          </cell>
          <cell r="BJ1205">
            <v>13.33405</v>
          </cell>
        </row>
        <row r="1206">
          <cell r="D1206">
            <v>40319</v>
          </cell>
          <cell r="F1206">
            <v>111.43974</v>
          </cell>
          <cell r="K1206">
            <v>40319</v>
          </cell>
          <cell r="M1206">
            <v>20.77337</v>
          </cell>
          <cell r="R1206">
            <v>40319</v>
          </cell>
          <cell r="T1206">
            <v>8.4</v>
          </cell>
          <cell r="Y1206">
            <v>40319</v>
          </cell>
          <cell r="AA1206">
            <v>122.72</v>
          </cell>
          <cell r="AF1206">
            <v>40319</v>
          </cell>
          <cell r="AH1206">
            <v>32.232509999999998</v>
          </cell>
          <cell r="AM1206">
            <v>40319</v>
          </cell>
          <cell r="AO1206">
            <v>29.617629999999998</v>
          </cell>
          <cell r="AT1206">
            <v>40319</v>
          </cell>
          <cell r="AV1206">
            <v>21.769919999999999</v>
          </cell>
          <cell r="BA1206">
            <v>40319</v>
          </cell>
          <cell r="BC1206">
            <v>15.004899999999999</v>
          </cell>
          <cell r="BH1206">
            <v>40319</v>
          </cell>
          <cell r="BJ1206">
            <v>13.67553</v>
          </cell>
        </row>
        <row r="1207">
          <cell r="D1207">
            <v>40318</v>
          </cell>
          <cell r="F1207">
            <v>110.00031</v>
          </cell>
          <cell r="K1207">
            <v>40318</v>
          </cell>
          <cell r="M1207">
            <v>20.640550000000001</v>
          </cell>
          <cell r="R1207">
            <v>40318</v>
          </cell>
          <cell r="T1207">
            <v>8.09</v>
          </cell>
          <cell r="Y1207">
            <v>40318</v>
          </cell>
          <cell r="AA1207">
            <v>119.71</v>
          </cell>
          <cell r="AF1207">
            <v>40318</v>
          </cell>
          <cell r="AH1207">
            <v>31.625959999999999</v>
          </cell>
          <cell r="AM1207">
            <v>40318</v>
          </cell>
          <cell r="AO1207">
            <v>29.367920000000002</v>
          </cell>
          <cell r="AT1207">
            <v>40318</v>
          </cell>
          <cell r="AV1207">
            <v>21.748819999999998</v>
          </cell>
          <cell r="BA1207">
            <v>40318</v>
          </cell>
          <cell r="BC1207">
            <v>14.74865</v>
          </cell>
          <cell r="BH1207">
            <v>40318</v>
          </cell>
          <cell r="BJ1207">
            <v>13.54227</v>
          </cell>
        </row>
        <row r="1208">
          <cell r="D1208">
            <v>40317</v>
          </cell>
          <cell r="F1208">
            <v>114.49629</v>
          </cell>
          <cell r="K1208">
            <v>40317</v>
          </cell>
          <cell r="M1208">
            <v>21.481750000000002</v>
          </cell>
          <cell r="R1208">
            <v>40317</v>
          </cell>
          <cell r="T1208">
            <v>8.4700000000000006</v>
          </cell>
          <cell r="Y1208">
            <v>40317</v>
          </cell>
          <cell r="AA1208">
            <v>124.59</v>
          </cell>
          <cell r="AF1208">
            <v>40317</v>
          </cell>
          <cell r="AH1208">
            <v>33.033270000000002</v>
          </cell>
          <cell r="AM1208">
            <v>40317</v>
          </cell>
          <cell r="AO1208">
            <v>30.447030000000002</v>
          </cell>
          <cell r="AT1208">
            <v>40317</v>
          </cell>
          <cell r="AV1208">
            <v>22.41555</v>
          </cell>
          <cell r="BA1208">
            <v>40317</v>
          </cell>
          <cell r="BC1208">
            <v>15.91602</v>
          </cell>
          <cell r="BH1208">
            <v>40317</v>
          </cell>
          <cell r="BJ1208">
            <v>14.37513</v>
          </cell>
        </row>
        <row r="1209">
          <cell r="D1209">
            <v>40316</v>
          </cell>
          <cell r="F1209">
            <v>115.46478999999999</v>
          </cell>
          <cell r="K1209">
            <v>40316</v>
          </cell>
          <cell r="M1209">
            <v>21.572510000000001</v>
          </cell>
          <cell r="R1209">
            <v>40316</v>
          </cell>
          <cell r="T1209">
            <v>8.42</v>
          </cell>
          <cell r="Y1209">
            <v>40316</v>
          </cell>
          <cell r="AA1209">
            <v>126.28</v>
          </cell>
          <cell r="AF1209">
            <v>40316</v>
          </cell>
          <cell r="AH1209">
            <v>33.567999999999998</v>
          </cell>
          <cell r="AM1209">
            <v>40316</v>
          </cell>
          <cell r="AO1209">
            <v>30.616479999999999</v>
          </cell>
          <cell r="AT1209">
            <v>40316</v>
          </cell>
          <cell r="AV1209">
            <v>22.407109999999999</v>
          </cell>
          <cell r="BA1209">
            <v>40316</v>
          </cell>
          <cell r="BC1209">
            <v>16.077359999999999</v>
          </cell>
          <cell r="BH1209">
            <v>40316</v>
          </cell>
          <cell r="BJ1209">
            <v>14.35014</v>
          </cell>
        </row>
        <row r="1210">
          <cell r="D1210">
            <v>40315</v>
          </cell>
          <cell r="F1210">
            <v>115.90017</v>
          </cell>
          <cell r="K1210">
            <v>40315</v>
          </cell>
          <cell r="M1210">
            <v>22.021889999999999</v>
          </cell>
          <cell r="R1210">
            <v>40315</v>
          </cell>
          <cell r="T1210">
            <v>8.85</v>
          </cell>
          <cell r="Y1210">
            <v>40315</v>
          </cell>
          <cell r="AA1210">
            <v>128.91</v>
          </cell>
          <cell r="AF1210">
            <v>40315</v>
          </cell>
          <cell r="AH1210">
            <v>33.81541</v>
          </cell>
          <cell r="AM1210">
            <v>40315</v>
          </cell>
          <cell r="AO1210">
            <v>30.429189999999998</v>
          </cell>
          <cell r="AT1210">
            <v>40315</v>
          </cell>
          <cell r="AV1210">
            <v>22.53792</v>
          </cell>
          <cell r="BA1210">
            <v>40315</v>
          </cell>
          <cell r="BC1210">
            <v>16.390560000000001</v>
          </cell>
          <cell r="BH1210">
            <v>40315</v>
          </cell>
          <cell r="BJ1210">
            <v>14.624980000000001</v>
          </cell>
        </row>
        <row r="1211">
          <cell r="D1211">
            <v>40312</v>
          </cell>
          <cell r="F1211">
            <v>116.56657</v>
          </cell>
          <cell r="K1211">
            <v>40312</v>
          </cell>
          <cell r="M1211">
            <v>22.083880000000001</v>
          </cell>
          <cell r="R1211">
            <v>40312</v>
          </cell>
          <cell r="T1211">
            <v>8.8000000000000007</v>
          </cell>
          <cell r="Y1211">
            <v>40312</v>
          </cell>
          <cell r="AA1211">
            <v>128.53299999999999</v>
          </cell>
          <cell r="AF1211">
            <v>40312</v>
          </cell>
          <cell r="AH1211">
            <v>33.7622</v>
          </cell>
          <cell r="AM1211">
            <v>40312</v>
          </cell>
          <cell r="AO1211">
            <v>30.161650000000002</v>
          </cell>
          <cell r="AT1211">
            <v>40312</v>
          </cell>
          <cell r="AV1211">
            <v>22.508379999999999</v>
          </cell>
          <cell r="BA1211">
            <v>40312</v>
          </cell>
          <cell r="BC1211">
            <v>16.5519</v>
          </cell>
          <cell r="BH1211">
            <v>40312</v>
          </cell>
          <cell r="BJ1211">
            <v>14.691610000000001</v>
          </cell>
        </row>
        <row r="1212">
          <cell r="D1212">
            <v>40311</v>
          </cell>
          <cell r="F1212">
            <v>116.82424</v>
          </cell>
          <cell r="K1212">
            <v>40311</v>
          </cell>
          <cell r="M1212">
            <v>22.606310000000001</v>
          </cell>
          <cell r="R1212">
            <v>40311</v>
          </cell>
          <cell r="T1212">
            <v>9.42</v>
          </cell>
          <cell r="Y1212">
            <v>40311</v>
          </cell>
          <cell r="AA1212">
            <v>131.47</v>
          </cell>
          <cell r="AF1212">
            <v>40311</v>
          </cell>
          <cell r="AH1212">
            <v>34.366100000000003</v>
          </cell>
          <cell r="AM1212">
            <v>40311</v>
          </cell>
          <cell r="AO1212">
            <v>30.910779999999999</v>
          </cell>
          <cell r="AT1212">
            <v>40311</v>
          </cell>
          <cell r="AV1212">
            <v>22.571680000000001</v>
          </cell>
          <cell r="BA1212">
            <v>40311</v>
          </cell>
          <cell r="BC1212">
            <v>16.89357</v>
          </cell>
          <cell r="BH1212">
            <v>40311</v>
          </cell>
          <cell r="BJ1212">
            <v>15.03308</v>
          </cell>
        </row>
        <row r="1213">
          <cell r="D1213">
            <v>40310</v>
          </cell>
          <cell r="F1213">
            <v>117.89048</v>
          </cell>
          <cell r="K1213">
            <v>40310</v>
          </cell>
          <cell r="M1213">
            <v>23.67774</v>
          </cell>
          <cell r="R1213">
            <v>40310</v>
          </cell>
          <cell r="T1213">
            <v>9.49</v>
          </cell>
          <cell r="Y1213">
            <v>40310</v>
          </cell>
          <cell r="AA1213">
            <v>133.87</v>
          </cell>
          <cell r="AF1213">
            <v>40310</v>
          </cell>
          <cell r="AH1213">
            <v>34.862250000000003</v>
          </cell>
          <cell r="AM1213">
            <v>40310</v>
          </cell>
          <cell r="AO1213">
            <v>31.526140000000002</v>
          </cell>
          <cell r="AT1213">
            <v>40310</v>
          </cell>
          <cell r="AV1213">
            <v>22.79533</v>
          </cell>
          <cell r="BA1213">
            <v>40310</v>
          </cell>
          <cell r="BC1213">
            <v>17.073889999999999</v>
          </cell>
          <cell r="BH1213">
            <v>40310</v>
          </cell>
          <cell r="BJ1213">
            <v>15.357900000000001</v>
          </cell>
        </row>
        <row r="1214">
          <cell r="D1214">
            <v>40309</v>
          </cell>
          <cell r="F1214">
            <v>112.74588</v>
          </cell>
          <cell r="K1214">
            <v>40309</v>
          </cell>
          <cell r="M1214">
            <v>22.987069999999999</v>
          </cell>
          <cell r="R1214">
            <v>40309</v>
          </cell>
          <cell r="T1214">
            <v>9.07</v>
          </cell>
          <cell r="Y1214">
            <v>40309</v>
          </cell>
          <cell r="AA1214">
            <v>130.46</v>
          </cell>
          <cell r="AF1214">
            <v>40309</v>
          </cell>
          <cell r="AH1214">
            <v>34.12135</v>
          </cell>
          <cell r="AM1214">
            <v>40309</v>
          </cell>
          <cell r="AO1214">
            <v>31.240760000000002</v>
          </cell>
          <cell r="AT1214">
            <v>40309</v>
          </cell>
          <cell r="AV1214">
            <v>22.622319999999998</v>
          </cell>
          <cell r="BA1214">
            <v>40309</v>
          </cell>
          <cell r="BC1214">
            <v>16.153289999999998</v>
          </cell>
          <cell r="BH1214">
            <v>40309</v>
          </cell>
          <cell r="BJ1214">
            <v>14.991440000000001</v>
          </cell>
        </row>
        <row r="1215">
          <cell r="D1215">
            <v>40308</v>
          </cell>
          <cell r="F1215">
            <v>112.19499</v>
          </cell>
          <cell r="K1215">
            <v>40308</v>
          </cell>
          <cell r="M1215">
            <v>23.137599999999999</v>
          </cell>
          <cell r="R1215">
            <v>40308</v>
          </cell>
          <cell r="T1215">
            <v>8.99</v>
          </cell>
          <cell r="Y1215">
            <v>40308</v>
          </cell>
          <cell r="AA1215">
            <v>131.29</v>
          </cell>
          <cell r="AF1215">
            <v>40308</v>
          </cell>
          <cell r="AH1215">
            <v>33.78481</v>
          </cell>
          <cell r="AM1215">
            <v>40308</v>
          </cell>
          <cell r="AO1215">
            <v>31.178329999999999</v>
          </cell>
          <cell r="AT1215">
            <v>40308</v>
          </cell>
          <cell r="AV1215">
            <v>22.80377</v>
          </cell>
          <cell r="BA1215">
            <v>40308</v>
          </cell>
          <cell r="BC1215">
            <v>16.20074</v>
          </cell>
          <cell r="BH1215">
            <v>40308</v>
          </cell>
          <cell r="BJ1215">
            <v>15.024760000000001</v>
          </cell>
        </row>
        <row r="1216">
          <cell r="D1216">
            <v>40305</v>
          </cell>
          <cell r="F1216">
            <v>108.48981000000001</v>
          </cell>
          <cell r="K1216">
            <v>40305</v>
          </cell>
          <cell r="M1216">
            <v>21.880220000000001</v>
          </cell>
          <cell r="R1216">
            <v>40305</v>
          </cell>
          <cell r="T1216">
            <v>8.3800000000000008</v>
          </cell>
          <cell r="Y1216">
            <v>40305</v>
          </cell>
          <cell r="AA1216">
            <v>124.98</v>
          </cell>
          <cell r="AF1216">
            <v>40305</v>
          </cell>
          <cell r="AH1216">
            <v>31.37323</v>
          </cell>
          <cell r="AM1216">
            <v>40305</v>
          </cell>
          <cell r="AO1216">
            <v>30.134889999999999</v>
          </cell>
          <cell r="AT1216">
            <v>40305</v>
          </cell>
          <cell r="AV1216">
            <v>22.225660000000001</v>
          </cell>
          <cell r="BA1216">
            <v>40305</v>
          </cell>
          <cell r="BC1216">
            <v>15.13777</v>
          </cell>
          <cell r="BH1216">
            <v>40305</v>
          </cell>
          <cell r="BJ1216">
            <v>14.05864</v>
          </cell>
        </row>
        <row r="1217">
          <cell r="D1217">
            <v>40304</v>
          </cell>
          <cell r="F1217">
            <v>110.10693999999999</v>
          </cell>
          <cell r="K1217">
            <v>40304</v>
          </cell>
          <cell r="M1217">
            <v>22.569120000000002</v>
          </cell>
          <cell r="R1217">
            <v>40304</v>
          </cell>
          <cell r="T1217">
            <v>8.27</v>
          </cell>
          <cell r="Y1217">
            <v>40304</v>
          </cell>
          <cell r="AA1217">
            <v>128.71</v>
          </cell>
          <cell r="AF1217">
            <v>40304</v>
          </cell>
          <cell r="AH1217">
            <v>32.755270000000003</v>
          </cell>
          <cell r="AM1217">
            <v>40304</v>
          </cell>
          <cell r="AO1217">
            <v>30.696739999999998</v>
          </cell>
          <cell r="AT1217">
            <v>40304</v>
          </cell>
          <cell r="AV1217">
            <v>22.069520000000001</v>
          </cell>
          <cell r="BA1217">
            <v>40304</v>
          </cell>
          <cell r="BC1217">
            <v>15.175739999999999</v>
          </cell>
          <cell r="BH1217">
            <v>40304</v>
          </cell>
          <cell r="BJ1217">
            <v>14.41677</v>
          </cell>
        </row>
        <row r="1218">
          <cell r="D1218">
            <v>40303</v>
          </cell>
          <cell r="F1218">
            <v>112.6748</v>
          </cell>
          <cell r="K1218">
            <v>40303</v>
          </cell>
          <cell r="M1218">
            <v>23.509499999999999</v>
          </cell>
          <cell r="R1218">
            <v>40303</v>
          </cell>
          <cell r="T1218">
            <v>8.58</v>
          </cell>
          <cell r="Y1218">
            <v>40303</v>
          </cell>
          <cell r="AA1218">
            <v>130.93</v>
          </cell>
          <cell r="AF1218">
            <v>40303</v>
          </cell>
          <cell r="AH1218">
            <v>34.050179999999997</v>
          </cell>
          <cell r="AM1218">
            <v>40303</v>
          </cell>
          <cell r="AO1218">
            <v>31.90963</v>
          </cell>
          <cell r="AT1218">
            <v>40303</v>
          </cell>
          <cell r="AV1218">
            <v>22.643419999999999</v>
          </cell>
          <cell r="BA1218">
            <v>40303</v>
          </cell>
          <cell r="BC1218">
            <v>15.76416</v>
          </cell>
          <cell r="BH1218">
            <v>40303</v>
          </cell>
          <cell r="BJ1218">
            <v>15.074730000000001</v>
          </cell>
        </row>
        <row r="1219">
          <cell r="D1219">
            <v>40302</v>
          </cell>
          <cell r="F1219">
            <v>113.25824</v>
          </cell>
          <cell r="K1219">
            <v>40302</v>
          </cell>
          <cell r="M1219">
            <v>23.51614</v>
          </cell>
          <cell r="R1219">
            <v>40302</v>
          </cell>
          <cell r="T1219">
            <v>8.68</v>
          </cell>
          <cell r="Y1219">
            <v>40302</v>
          </cell>
          <cell r="AA1219">
            <v>129.83000000000001</v>
          </cell>
          <cell r="AF1219">
            <v>40302</v>
          </cell>
          <cell r="AH1219">
            <v>34.408659999999998</v>
          </cell>
          <cell r="AM1219">
            <v>40302</v>
          </cell>
          <cell r="AO1219">
            <v>31.09807</v>
          </cell>
          <cell r="AT1219">
            <v>40302</v>
          </cell>
          <cell r="AV1219">
            <v>22.44087</v>
          </cell>
          <cell r="BA1219">
            <v>40302</v>
          </cell>
          <cell r="BC1219">
            <v>16.371569999999998</v>
          </cell>
          <cell r="BH1219">
            <v>40302</v>
          </cell>
          <cell r="BJ1219">
            <v>15.474500000000001</v>
          </cell>
        </row>
        <row r="1220">
          <cell r="D1220">
            <v>40301</v>
          </cell>
          <cell r="F1220">
            <v>114.56656</v>
          </cell>
          <cell r="K1220">
            <v>40301</v>
          </cell>
          <cell r="M1220">
            <v>24.386130000000001</v>
          </cell>
          <cell r="R1220">
            <v>40301</v>
          </cell>
          <cell r="T1220">
            <v>9.2899999999999991</v>
          </cell>
          <cell r="Y1220">
            <v>40301</v>
          </cell>
          <cell r="AA1220">
            <v>137.49</v>
          </cell>
          <cell r="AF1220">
            <v>40301</v>
          </cell>
          <cell r="AH1220">
            <v>35.428899999999999</v>
          </cell>
          <cell r="AM1220">
            <v>40301</v>
          </cell>
          <cell r="AO1220">
            <v>31.517230000000001</v>
          </cell>
          <cell r="AT1220">
            <v>40301</v>
          </cell>
          <cell r="AV1220">
            <v>22.68561</v>
          </cell>
          <cell r="BA1220">
            <v>40301</v>
          </cell>
          <cell r="BC1220">
            <v>16.98847</v>
          </cell>
          <cell r="BH1220">
            <v>40301</v>
          </cell>
          <cell r="BJ1220">
            <v>16.040839999999999</v>
          </cell>
        </row>
        <row r="1221">
          <cell r="D1221">
            <v>40298</v>
          </cell>
          <cell r="F1221">
            <v>114.03616</v>
          </cell>
          <cell r="K1221">
            <v>40298</v>
          </cell>
          <cell r="M1221">
            <v>23.845980000000001</v>
          </cell>
          <cell r="R1221">
            <v>40298</v>
          </cell>
          <cell r="T1221">
            <v>9.07</v>
          </cell>
          <cell r="Y1221">
            <v>40298</v>
          </cell>
          <cell r="AA1221">
            <v>137.1</v>
          </cell>
          <cell r="AF1221">
            <v>40298</v>
          </cell>
          <cell r="AH1221">
            <v>34.729230000000001</v>
          </cell>
          <cell r="AM1221">
            <v>40298</v>
          </cell>
          <cell r="AO1221">
            <v>30.937539999999998</v>
          </cell>
          <cell r="AT1221">
            <v>40298</v>
          </cell>
          <cell r="AV1221">
            <v>22.5548</v>
          </cell>
          <cell r="BA1221">
            <v>40298</v>
          </cell>
          <cell r="BC1221">
            <v>17.04542</v>
          </cell>
          <cell r="BH1221">
            <v>40298</v>
          </cell>
          <cell r="BJ1221">
            <v>15.707700000000001</v>
          </cell>
        </row>
        <row r="1222">
          <cell r="D1222">
            <v>40297</v>
          </cell>
          <cell r="F1222">
            <v>115.32680000000001</v>
          </cell>
          <cell r="K1222">
            <v>40297</v>
          </cell>
          <cell r="M1222">
            <v>24.377269999999999</v>
          </cell>
          <cell r="R1222">
            <v>40297</v>
          </cell>
          <cell r="T1222">
            <v>9.7200000000000006</v>
          </cell>
          <cell r="Y1222">
            <v>40297</v>
          </cell>
          <cell r="AA1222">
            <v>141.72999999999999</v>
          </cell>
          <cell r="AF1222">
            <v>40297</v>
          </cell>
          <cell r="AH1222">
            <v>35.733499999999999</v>
          </cell>
          <cell r="AM1222">
            <v>40297</v>
          </cell>
          <cell r="AO1222">
            <v>31.793690000000002</v>
          </cell>
          <cell r="AT1222">
            <v>40297</v>
          </cell>
          <cell r="AV1222">
            <v>22.67717</v>
          </cell>
          <cell r="BA1222">
            <v>40297</v>
          </cell>
          <cell r="BC1222">
            <v>17.766719999999999</v>
          </cell>
          <cell r="BH1222">
            <v>40297</v>
          </cell>
          <cell r="BJ1222">
            <v>16.232399999999998</v>
          </cell>
        </row>
        <row r="1223">
          <cell r="D1223">
            <v>40296</v>
          </cell>
          <cell r="F1223">
            <v>115.00856</v>
          </cell>
          <cell r="K1223">
            <v>40296</v>
          </cell>
          <cell r="M1223">
            <v>23.94162</v>
          </cell>
          <cell r="R1223">
            <v>40296</v>
          </cell>
          <cell r="T1223">
            <v>9.5500000000000007</v>
          </cell>
          <cell r="Y1223">
            <v>40296</v>
          </cell>
          <cell r="AA1223">
            <v>139.35</v>
          </cell>
          <cell r="AF1223">
            <v>40296</v>
          </cell>
          <cell r="AH1223">
            <v>34.797069999999998</v>
          </cell>
          <cell r="AM1223">
            <v>40296</v>
          </cell>
          <cell r="AO1223">
            <v>32.364460000000001</v>
          </cell>
          <cell r="AT1223">
            <v>40296</v>
          </cell>
          <cell r="AV1223">
            <v>22.516819999999999</v>
          </cell>
          <cell r="BA1223">
            <v>40296</v>
          </cell>
          <cell r="BC1223">
            <v>17.320650000000001</v>
          </cell>
          <cell r="BH1223">
            <v>40296</v>
          </cell>
          <cell r="BJ1223">
            <v>15.78266</v>
          </cell>
        </row>
        <row r="1224">
          <cell r="D1224">
            <v>40295</v>
          </cell>
          <cell r="F1224">
            <v>113.87703999999999</v>
          </cell>
          <cell r="K1224">
            <v>40295</v>
          </cell>
          <cell r="M1224">
            <v>23.916820000000001</v>
          </cell>
          <cell r="R1224">
            <v>40295</v>
          </cell>
          <cell r="T1224">
            <v>9.58</v>
          </cell>
          <cell r="Y1224">
            <v>40295</v>
          </cell>
          <cell r="AA1224">
            <v>142.02000000000001</v>
          </cell>
          <cell r="AF1224">
            <v>40295</v>
          </cell>
          <cell r="AH1224">
            <v>34.855600000000003</v>
          </cell>
          <cell r="AM1224">
            <v>40295</v>
          </cell>
          <cell r="AO1224">
            <v>31.838280000000001</v>
          </cell>
          <cell r="AT1224">
            <v>40295</v>
          </cell>
          <cell r="AV1224">
            <v>22.31005</v>
          </cell>
          <cell r="BA1224">
            <v>40295</v>
          </cell>
          <cell r="BC1224">
            <v>17.159310000000001</v>
          </cell>
          <cell r="BH1224">
            <v>40295</v>
          </cell>
          <cell r="BJ1224">
            <v>15.574439999999999</v>
          </cell>
        </row>
        <row r="1225">
          <cell r="D1225">
            <v>40294</v>
          </cell>
          <cell r="F1225">
            <v>115.56547999999999</v>
          </cell>
          <cell r="K1225">
            <v>40294</v>
          </cell>
          <cell r="M1225">
            <v>24.412690000000001</v>
          </cell>
          <cell r="R1225">
            <v>40294</v>
          </cell>
          <cell r="T1225">
            <v>9.9700000000000006</v>
          </cell>
          <cell r="Y1225">
            <v>40294</v>
          </cell>
          <cell r="AA1225">
            <v>147.11000000000001</v>
          </cell>
          <cell r="AF1225">
            <v>40294</v>
          </cell>
          <cell r="AH1225">
            <v>35.847900000000003</v>
          </cell>
          <cell r="AM1225">
            <v>40294</v>
          </cell>
          <cell r="AO1225">
            <v>32.328789999999998</v>
          </cell>
          <cell r="AT1225">
            <v>40294</v>
          </cell>
          <cell r="AV1225">
            <v>22.67295</v>
          </cell>
          <cell r="BA1225">
            <v>40294</v>
          </cell>
          <cell r="BC1225">
            <v>17.700279999999999</v>
          </cell>
          <cell r="BH1225">
            <v>40294</v>
          </cell>
          <cell r="BJ1225">
            <v>16.074159999999999</v>
          </cell>
        </row>
        <row r="1226">
          <cell r="D1226">
            <v>40291</v>
          </cell>
          <cell r="F1226">
            <v>114.91132</v>
          </cell>
          <cell r="K1226">
            <v>40291</v>
          </cell>
          <cell r="M1226">
            <v>24.32414</v>
          </cell>
          <cell r="R1226">
            <v>40291</v>
          </cell>
          <cell r="T1226">
            <v>9.76</v>
          </cell>
          <cell r="Y1226">
            <v>40291</v>
          </cell>
          <cell r="AA1226">
            <v>143.63</v>
          </cell>
          <cell r="AF1226">
            <v>40291</v>
          </cell>
          <cell r="AH1226">
            <v>36.024810000000002</v>
          </cell>
          <cell r="AM1226">
            <v>40291</v>
          </cell>
          <cell r="AO1226">
            <v>32.284199999999998</v>
          </cell>
          <cell r="AT1226">
            <v>40291</v>
          </cell>
          <cell r="AV1226">
            <v>22.736249999999998</v>
          </cell>
          <cell r="BA1226">
            <v>40291</v>
          </cell>
          <cell r="BC1226">
            <v>17.463010000000001</v>
          </cell>
          <cell r="BH1226">
            <v>40291</v>
          </cell>
          <cell r="BJ1226">
            <v>15.8826</v>
          </cell>
        </row>
        <row r="1227">
          <cell r="D1227">
            <v>40290</v>
          </cell>
          <cell r="F1227">
            <v>114.15107999999999</v>
          </cell>
          <cell r="K1227">
            <v>40290</v>
          </cell>
          <cell r="M1227">
            <v>24.191320000000001</v>
          </cell>
          <cell r="R1227">
            <v>40290</v>
          </cell>
          <cell r="T1227">
            <v>9.86</v>
          </cell>
          <cell r="Y1227">
            <v>40290</v>
          </cell>
          <cell r="AA1227">
            <v>150.09</v>
          </cell>
          <cell r="AF1227">
            <v>40290</v>
          </cell>
          <cell r="AH1227">
            <v>35.444789999999998</v>
          </cell>
          <cell r="AM1227">
            <v>40290</v>
          </cell>
          <cell r="AO1227">
            <v>32.052320000000002</v>
          </cell>
          <cell r="AT1227">
            <v>40290</v>
          </cell>
          <cell r="AV1227">
            <v>22.9177</v>
          </cell>
          <cell r="BA1227">
            <v>40290</v>
          </cell>
          <cell r="BC1227">
            <v>17.425049999999999</v>
          </cell>
          <cell r="BH1227">
            <v>40290</v>
          </cell>
          <cell r="BJ1227">
            <v>15.78266</v>
          </cell>
        </row>
        <row r="1228">
          <cell r="D1228">
            <v>40289</v>
          </cell>
          <cell r="F1228">
            <v>114.02732</v>
          </cell>
          <cell r="K1228">
            <v>40289</v>
          </cell>
          <cell r="M1228">
            <v>24.120480000000001</v>
          </cell>
          <cell r="R1228">
            <v>40289</v>
          </cell>
          <cell r="T1228">
            <v>9.7799999999999994</v>
          </cell>
          <cell r="Y1228">
            <v>40289</v>
          </cell>
          <cell r="AA1228">
            <v>146.43</v>
          </cell>
          <cell r="AF1228">
            <v>40289</v>
          </cell>
          <cell r="AH1228">
            <v>34.480490000000003</v>
          </cell>
          <cell r="AM1228">
            <v>40289</v>
          </cell>
          <cell r="AO1228">
            <v>31.722349999999999</v>
          </cell>
          <cell r="AT1228">
            <v>40289</v>
          </cell>
          <cell r="AV1228">
            <v>22.867059999999999</v>
          </cell>
          <cell r="BA1228">
            <v>40289</v>
          </cell>
          <cell r="BC1228">
            <v>16.884080000000001</v>
          </cell>
          <cell r="BH1228">
            <v>40289</v>
          </cell>
          <cell r="BJ1228">
            <v>15.84928</v>
          </cell>
        </row>
        <row r="1229">
          <cell r="D1229">
            <v>40288</v>
          </cell>
          <cell r="F1229">
            <v>114.64612</v>
          </cell>
          <cell r="K1229">
            <v>40288</v>
          </cell>
          <cell r="M1229">
            <v>24.067350000000001</v>
          </cell>
          <cell r="R1229">
            <v>40288</v>
          </cell>
          <cell r="T1229">
            <v>9.77</v>
          </cell>
          <cell r="Y1229">
            <v>40288</v>
          </cell>
          <cell r="AA1229">
            <v>144.19999999999999</v>
          </cell>
          <cell r="AF1229">
            <v>40288</v>
          </cell>
          <cell r="AH1229">
            <v>32.534460000000003</v>
          </cell>
          <cell r="AM1229">
            <v>40288</v>
          </cell>
          <cell r="AO1229">
            <v>31.989889999999999</v>
          </cell>
          <cell r="AT1229">
            <v>40288</v>
          </cell>
          <cell r="AV1229">
            <v>22.985220000000002</v>
          </cell>
          <cell r="BA1229">
            <v>40288</v>
          </cell>
          <cell r="BC1229">
            <v>16.732220000000002</v>
          </cell>
          <cell r="BH1229">
            <v>40288</v>
          </cell>
          <cell r="BJ1229">
            <v>15.824299999999999</v>
          </cell>
        </row>
        <row r="1230">
          <cell r="D1230">
            <v>40287</v>
          </cell>
          <cell r="F1230">
            <v>116.89148</v>
          </cell>
          <cell r="K1230">
            <v>40287</v>
          </cell>
          <cell r="M1230">
            <v>23.969950000000001</v>
          </cell>
          <cell r="R1230">
            <v>40287</v>
          </cell>
          <cell r="T1230">
            <v>9.58</v>
          </cell>
          <cell r="Y1230">
            <v>40287</v>
          </cell>
          <cell r="AA1230">
            <v>142.43</v>
          </cell>
          <cell r="AF1230">
            <v>40287</v>
          </cell>
          <cell r="AH1230">
            <v>32.864339999999999</v>
          </cell>
          <cell r="AM1230">
            <v>40287</v>
          </cell>
          <cell r="AO1230">
            <v>31.33886</v>
          </cell>
          <cell r="AT1230">
            <v>40287</v>
          </cell>
          <cell r="AV1230">
            <v>23.343900000000001</v>
          </cell>
          <cell r="BA1230">
            <v>40287</v>
          </cell>
          <cell r="BC1230">
            <v>16.466480000000001</v>
          </cell>
          <cell r="BH1230">
            <v>40287</v>
          </cell>
          <cell r="BJ1230">
            <v>15.774330000000001</v>
          </cell>
        </row>
        <row r="1231">
          <cell r="D1231">
            <v>40284</v>
          </cell>
          <cell r="F1231">
            <v>115.47708</v>
          </cell>
          <cell r="K1231">
            <v>40284</v>
          </cell>
          <cell r="M1231">
            <v>23.890260000000001</v>
          </cell>
          <cell r="R1231">
            <v>40284</v>
          </cell>
          <cell r="T1231">
            <v>9.81</v>
          </cell>
          <cell r="Y1231">
            <v>40284</v>
          </cell>
          <cell r="AA1231">
            <v>142.17099999999999</v>
          </cell>
          <cell r="AF1231">
            <v>40284</v>
          </cell>
          <cell r="AH1231">
            <v>32.908239999999999</v>
          </cell>
          <cell r="AM1231">
            <v>40284</v>
          </cell>
          <cell r="AO1231">
            <v>31.276430000000001</v>
          </cell>
          <cell r="AT1231">
            <v>40284</v>
          </cell>
          <cell r="AV1231">
            <v>23.196210000000001</v>
          </cell>
          <cell r="BA1231">
            <v>40284</v>
          </cell>
          <cell r="BC1231">
            <v>16.665790000000001</v>
          </cell>
          <cell r="BH1231">
            <v>40284</v>
          </cell>
          <cell r="BJ1231">
            <v>15.79931</v>
          </cell>
        </row>
        <row r="1232">
          <cell r="D1232">
            <v>40283</v>
          </cell>
          <cell r="F1232">
            <v>115.70692</v>
          </cell>
          <cell r="K1232">
            <v>40283</v>
          </cell>
          <cell r="M1232">
            <v>24.093920000000001</v>
          </cell>
          <cell r="R1232">
            <v>40283</v>
          </cell>
          <cell r="T1232">
            <v>10.16</v>
          </cell>
          <cell r="Y1232">
            <v>40283</v>
          </cell>
          <cell r="AA1232">
            <v>145.82</v>
          </cell>
          <cell r="AF1232">
            <v>40283</v>
          </cell>
          <cell r="AH1232">
            <v>33.110419999999998</v>
          </cell>
          <cell r="AM1232">
            <v>40283</v>
          </cell>
          <cell r="AO1232">
            <v>31.820450000000001</v>
          </cell>
          <cell r="AT1232">
            <v>40283</v>
          </cell>
          <cell r="AV1232">
            <v>22.896599999999999</v>
          </cell>
          <cell r="BA1232">
            <v>40283</v>
          </cell>
          <cell r="BC1232">
            <v>16.248190000000001</v>
          </cell>
          <cell r="BH1232">
            <v>40283</v>
          </cell>
          <cell r="BJ1232">
            <v>16.240729999999999</v>
          </cell>
        </row>
        <row r="1233">
          <cell r="D1233">
            <v>40282</v>
          </cell>
          <cell r="F1233">
            <v>116.02516</v>
          </cell>
          <cell r="K1233">
            <v>40282</v>
          </cell>
          <cell r="M1233">
            <v>23.80171</v>
          </cell>
          <cell r="R1233">
            <v>40282</v>
          </cell>
          <cell r="T1233">
            <v>9.89</v>
          </cell>
          <cell r="Y1233">
            <v>40282</v>
          </cell>
          <cell r="AA1233">
            <v>144.28</v>
          </cell>
          <cell r="AF1233">
            <v>40282</v>
          </cell>
          <cell r="AH1233">
            <v>32.680779999999999</v>
          </cell>
          <cell r="AM1233">
            <v>40282</v>
          </cell>
          <cell r="AO1233">
            <v>31.722349999999999</v>
          </cell>
          <cell r="AT1233">
            <v>40282</v>
          </cell>
          <cell r="AV1233">
            <v>23.18777</v>
          </cell>
          <cell r="BA1233">
            <v>40282</v>
          </cell>
          <cell r="BC1233">
            <v>16.115320000000001</v>
          </cell>
          <cell r="BH1233">
            <v>40282</v>
          </cell>
          <cell r="BJ1233">
            <v>16.1158</v>
          </cell>
        </row>
        <row r="1234">
          <cell r="D1234">
            <v>40281</v>
          </cell>
          <cell r="F1234">
            <v>114.06268</v>
          </cell>
          <cell r="K1234">
            <v>40281</v>
          </cell>
          <cell r="M1234">
            <v>23.412099999999999</v>
          </cell>
          <cell r="R1234">
            <v>40281</v>
          </cell>
          <cell r="T1234">
            <v>9.56</v>
          </cell>
          <cell r="Y1234">
            <v>40281</v>
          </cell>
          <cell r="AA1234">
            <v>140.16</v>
          </cell>
          <cell r="AF1234">
            <v>40281</v>
          </cell>
          <cell r="AH1234">
            <v>32.247149999999998</v>
          </cell>
          <cell r="AM1234">
            <v>40281</v>
          </cell>
          <cell r="AO1234">
            <v>32.043399999999998</v>
          </cell>
          <cell r="AT1234">
            <v>40281</v>
          </cell>
          <cell r="AV1234">
            <v>23.217310000000001</v>
          </cell>
          <cell r="BA1234">
            <v>40281</v>
          </cell>
          <cell r="BC1234">
            <v>15.318099999999999</v>
          </cell>
          <cell r="BH1234">
            <v>40281</v>
          </cell>
          <cell r="BJ1234">
            <v>15.78266</v>
          </cell>
        </row>
        <row r="1235">
          <cell r="D1235">
            <v>40280</v>
          </cell>
          <cell r="F1235">
            <v>113.4704</v>
          </cell>
          <cell r="K1235">
            <v>40280</v>
          </cell>
          <cell r="M1235">
            <v>23.491790000000002</v>
          </cell>
          <cell r="R1235">
            <v>40280</v>
          </cell>
          <cell r="T1235">
            <v>9.42</v>
          </cell>
          <cell r="Y1235">
            <v>40280</v>
          </cell>
          <cell r="AA1235">
            <v>141.19999999999999</v>
          </cell>
          <cell r="AF1235">
            <v>40280</v>
          </cell>
          <cell r="AH1235">
            <v>32.228520000000003</v>
          </cell>
          <cell r="AM1235">
            <v>40280</v>
          </cell>
          <cell r="AO1235">
            <v>32.070160000000001</v>
          </cell>
          <cell r="AT1235">
            <v>40280</v>
          </cell>
          <cell r="AV1235">
            <v>23.107589999999998</v>
          </cell>
          <cell r="BA1235">
            <v>40280</v>
          </cell>
          <cell r="BC1235">
            <v>15.365550000000001</v>
          </cell>
          <cell r="BH1235">
            <v>40280</v>
          </cell>
          <cell r="BJ1235">
            <v>15.58277</v>
          </cell>
        </row>
        <row r="1236">
          <cell r="D1236">
            <v>40277</v>
          </cell>
          <cell r="F1236">
            <v>113.824</v>
          </cell>
          <cell r="K1236">
            <v>40277</v>
          </cell>
          <cell r="M1236">
            <v>23.55378</v>
          </cell>
          <cell r="R1236">
            <v>40277</v>
          </cell>
          <cell r="T1236">
            <v>9.3000000000000007</v>
          </cell>
          <cell r="Y1236">
            <v>40277</v>
          </cell>
          <cell r="AA1236">
            <v>140.06</v>
          </cell>
          <cell r="AF1236">
            <v>40277</v>
          </cell>
          <cell r="AH1236">
            <v>32.162019999999998</v>
          </cell>
          <cell r="AM1236">
            <v>40277</v>
          </cell>
          <cell r="AO1236">
            <v>32.507159999999999</v>
          </cell>
          <cell r="AT1236">
            <v>40277</v>
          </cell>
          <cell r="AV1236">
            <v>23.03586</v>
          </cell>
          <cell r="BA1236">
            <v>40277</v>
          </cell>
          <cell r="BC1236">
            <v>15.24217</v>
          </cell>
          <cell r="BH1236">
            <v>40277</v>
          </cell>
          <cell r="BJ1236">
            <v>15.424530000000001</v>
          </cell>
        </row>
        <row r="1237">
          <cell r="D1237">
            <v>40276</v>
          </cell>
          <cell r="F1237">
            <v>112.8074</v>
          </cell>
          <cell r="K1237">
            <v>40276</v>
          </cell>
          <cell r="M1237">
            <v>23.270420000000001</v>
          </cell>
          <cell r="R1237">
            <v>40276</v>
          </cell>
          <cell r="T1237">
            <v>9.42</v>
          </cell>
          <cell r="Y1237">
            <v>40276</v>
          </cell>
          <cell r="AA1237">
            <v>140.96</v>
          </cell>
          <cell r="AF1237">
            <v>40276</v>
          </cell>
          <cell r="AH1237">
            <v>31.917269999999998</v>
          </cell>
          <cell r="AM1237">
            <v>40276</v>
          </cell>
          <cell r="AO1237">
            <v>32.034489999999998</v>
          </cell>
          <cell r="AT1237">
            <v>40276</v>
          </cell>
          <cell r="AV1237">
            <v>22.68561</v>
          </cell>
          <cell r="BA1237">
            <v>40276</v>
          </cell>
          <cell r="BC1237">
            <v>15.318099999999999</v>
          </cell>
          <cell r="BH1237">
            <v>40276</v>
          </cell>
          <cell r="BJ1237">
            <v>15.457839999999999</v>
          </cell>
        </row>
        <row r="1238">
          <cell r="D1238">
            <v>40275</v>
          </cell>
          <cell r="F1238">
            <v>113.57648</v>
          </cell>
          <cell r="K1238">
            <v>40275</v>
          </cell>
          <cell r="M1238">
            <v>23.323550000000001</v>
          </cell>
          <cell r="R1238">
            <v>40275</v>
          </cell>
          <cell r="T1238">
            <v>9.66</v>
          </cell>
          <cell r="Y1238">
            <v>40275</v>
          </cell>
          <cell r="AA1238">
            <v>134.87</v>
          </cell>
          <cell r="AF1238">
            <v>40275</v>
          </cell>
          <cell r="AH1238">
            <v>32.003729999999997</v>
          </cell>
          <cell r="AM1238">
            <v>40275</v>
          </cell>
          <cell r="AO1238">
            <v>31.820450000000001</v>
          </cell>
          <cell r="AT1238">
            <v>40275</v>
          </cell>
          <cell r="AV1238">
            <v>22.710930000000001</v>
          </cell>
          <cell r="BA1238">
            <v>40275</v>
          </cell>
          <cell r="BC1238">
            <v>15.109299999999999</v>
          </cell>
          <cell r="BH1238">
            <v>40275</v>
          </cell>
          <cell r="BJ1238">
            <v>15.407870000000001</v>
          </cell>
        </row>
        <row r="1239">
          <cell r="D1239">
            <v>40274</v>
          </cell>
          <cell r="F1239">
            <v>113.97427999999999</v>
          </cell>
          <cell r="K1239">
            <v>40274</v>
          </cell>
          <cell r="M1239">
            <v>23.217289999999998</v>
          </cell>
          <cell r="R1239">
            <v>40274</v>
          </cell>
          <cell r="T1239">
            <v>9.35</v>
          </cell>
          <cell r="Y1239">
            <v>40274</v>
          </cell>
          <cell r="AA1239">
            <v>135.56</v>
          </cell>
          <cell r="AF1239">
            <v>40274</v>
          </cell>
          <cell r="AH1239">
            <v>31.862729999999999</v>
          </cell>
          <cell r="AM1239">
            <v>40274</v>
          </cell>
          <cell r="AO1239">
            <v>32.19502</v>
          </cell>
          <cell r="AT1239">
            <v>40274</v>
          </cell>
          <cell r="AV1239">
            <v>22.90926</v>
          </cell>
          <cell r="BA1239">
            <v>40274</v>
          </cell>
          <cell r="BC1239">
            <v>15.318099999999999</v>
          </cell>
          <cell r="BH1239">
            <v>40274</v>
          </cell>
          <cell r="BJ1239">
            <v>15.491160000000001</v>
          </cell>
        </row>
        <row r="1240">
          <cell r="D1240">
            <v>40273</v>
          </cell>
          <cell r="F1240">
            <v>114.34556000000001</v>
          </cell>
          <cell r="K1240">
            <v>40273</v>
          </cell>
          <cell r="M1240">
            <v>23.173020000000001</v>
          </cell>
          <cell r="R1240">
            <v>40273</v>
          </cell>
          <cell r="T1240">
            <v>9.5299999999999994</v>
          </cell>
          <cell r="Y1240">
            <v>40273</v>
          </cell>
          <cell r="AA1240">
            <v>131.49</v>
          </cell>
          <cell r="AF1240">
            <v>40273</v>
          </cell>
          <cell r="AH1240">
            <v>31.72306</v>
          </cell>
          <cell r="AM1240">
            <v>40273</v>
          </cell>
          <cell r="AO1240">
            <v>32.40014</v>
          </cell>
          <cell r="AT1240">
            <v>40273</v>
          </cell>
          <cell r="AV1240">
            <v>23.149789999999999</v>
          </cell>
          <cell r="BA1240">
            <v>40273</v>
          </cell>
          <cell r="BC1240">
            <v>15.37504</v>
          </cell>
          <cell r="BH1240">
            <v>40273</v>
          </cell>
          <cell r="BJ1240">
            <v>15.43286</v>
          </cell>
        </row>
        <row r="1241">
          <cell r="D1241">
            <v>40269</v>
          </cell>
          <cell r="F1241">
            <v>113.37316</v>
          </cell>
          <cell r="K1241">
            <v>40269</v>
          </cell>
          <cell r="M1241">
            <v>22.871960000000001</v>
          </cell>
          <cell r="R1241">
            <v>40269</v>
          </cell>
          <cell r="T1241">
            <v>9.3699999999999992</v>
          </cell>
          <cell r="Y1241">
            <v>40269</v>
          </cell>
          <cell r="AA1241">
            <v>131.81</v>
          </cell>
          <cell r="AF1241">
            <v>40269</v>
          </cell>
          <cell r="AH1241">
            <v>31.38786</v>
          </cell>
          <cell r="AM1241">
            <v>40269</v>
          </cell>
          <cell r="AO1241">
            <v>32.355539999999998</v>
          </cell>
          <cell r="AT1241">
            <v>40269</v>
          </cell>
          <cell r="AV1241">
            <v>23.335460000000001</v>
          </cell>
          <cell r="BA1241">
            <v>40269</v>
          </cell>
          <cell r="BC1241">
            <v>15.004899999999999</v>
          </cell>
          <cell r="BH1241">
            <v>40269</v>
          </cell>
          <cell r="BJ1241">
            <v>15.26628</v>
          </cell>
        </row>
        <row r="1242">
          <cell r="D1242">
            <v>40268</v>
          </cell>
          <cell r="F1242">
            <v>113.37316</v>
          </cell>
          <cell r="K1242">
            <v>40268</v>
          </cell>
          <cell r="M1242">
            <v>23.049050000000001</v>
          </cell>
          <cell r="R1242">
            <v>40268</v>
          </cell>
          <cell r="T1242">
            <v>9.27</v>
          </cell>
          <cell r="Y1242">
            <v>40268</v>
          </cell>
          <cell r="AA1242">
            <v>135.77000000000001</v>
          </cell>
          <cell r="AF1242">
            <v>40268</v>
          </cell>
          <cell r="AH1242">
            <v>31.25883</v>
          </cell>
          <cell r="AM1242">
            <v>40268</v>
          </cell>
          <cell r="AO1242">
            <v>32.13259</v>
          </cell>
          <cell r="AT1242">
            <v>40268</v>
          </cell>
          <cell r="AV1242">
            <v>23.208870000000001</v>
          </cell>
          <cell r="BA1242">
            <v>40268</v>
          </cell>
          <cell r="BC1242">
            <v>14.824579999999999</v>
          </cell>
          <cell r="BH1242">
            <v>40268</v>
          </cell>
          <cell r="BJ1242">
            <v>15.158010000000001</v>
          </cell>
        </row>
        <row r="1243">
          <cell r="D1243">
            <v>40267</v>
          </cell>
          <cell r="F1243">
            <v>113.83284</v>
          </cell>
          <cell r="K1243">
            <v>40267</v>
          </cell>
          <cell r="M1243">
            <v>23.598050000000001</v>
          </cell>
          <cell r="R1243">
            <v>40267</v>
          </cell>
          <cell r="T1243">
            <v>9.27</v>
          </cell>
          <cell r="Y1243">
            <v>40267</v>
          </cell>
          <cell r="AA1243">
            <v>136.57900000000001</v>
          </cell>
          <cell r="AF1243">
            <v>40267</v>
          </cell>
          <cell r="AH1243">
            <v>31.371230000000001</v>
          </cell>
          <cell r="AM1243">
            <v>40267</v>
          </cell>
          <cell r="AO1243">
            <v>32.507159999999999</v>
          </cell>
          <cell r="AT1243">
            <v>40267</v>
          </cell>
          <cell r="AV1243">
            <v>23.15401</v>
          </cell>
          <cell r="BA1243">
            <v>40267</v>
          </cell>
          <cell r="BC1243">
            <v>14.976430000000001</v>
          </cell>
          <cell r="BH1243">
            <v>40267</v>
          </cell>
          <cell r="BJ1243">
            <v>15.241300000000001</v>
          </cell>
        </row>
        <row r="1244">
          <cell r="D1244">
            <v>40266</v>
          </cell>
          <cell r="F1244">
            <v>113.67372</v>
          </cell>
          <cell r="K1244">
            <v>40266</v>
          </cell>
          <cell r="M1244">
            <v>23.474080000000001</v>
          </cell>
          <cell r="R1244">
            <v>40266</v>
          </cell>
          <cell r="T1244">
            <v>9.11</v>
          </cell>
          <cell r="Y1244">
            <v>40266</v>
          </cell>
          <cell r="AA1244">
            <v>135.12</v>
          </cell>
          <cell r="AF1244">
            <v>40266</v>
          </cell>
          <cell r="AH1244">
            <v>30.911660000000001</v>
          </cell>
          <cell r="AM1244">
            <v>40266</v>
          </cell>
          <cell r="AO1244">
            <v>32.012189999999997</v>
          </cell>
          <cell r="AT1244">
            <v>40266</v>
          </cell>
          <cell r="AV1244">
            <v>23.111809999999998</v>
          </cell>
          <cell r="BA1244">
            <v>40266</v>
          </cell>
          <cell r="BC1244">
            <v>15.147259999999999</v>
          </cell>
          <cell r="BH1244">
            <v>40266</v>
          </cell>
          <cell r="BJ1244">
            <v>15.324579999999999</v>
          </cell>
        </row>
        <row r="1245">
          <cell r="D1245">
            <v>40263</v>
          </cell>
          <cell r="F1245">
            <v>114.26600000000001</v>
          </cell>
          <cell r="K1245">
            <v>40263</v>
          </cell>
          <cell r="M1245">
            <v>23.43778</v>
          </cell>
          <cell r="R1245">
            <v>40263</v>
          </cell>
          <cell r="T1245">
            <v>9.02</v>
          </cell>
          <cell r="Y1245">
            <v>40263</v>
          </cell>
          <cell r="AA1245">
            <v>135.06</v>
          </cell>
          <cell r="AF1245">
            <v>40263</v>
          </cell>
          <cell r="AH1245">
            <v>30.713470000000001</v>
          </cell>
          <cell r="AM1245">
            <v>40263</v>
          </cell>
          <cell r="AO1245">
            <v>31.435310000000001</v>
          </cell>
          <cell r="AT1245">
            <v>40263</v>
          </cell>
          <cell r="AV1245">
            <v>23.06118</v>
          </cell>
          <cell r="BA1245">
            <v>40263</v>
          </cell>
          <cell r="BC1245">
            <v>14.966939999999999</v>
          </cell>
          <cell r="BH1245">
            <v>40263</v>
          </cell>
          <cell r="BJ1245">
            <v>15.274609999999999</v>
          </cell>
        </row>
        <row r="1246">
          <cell r="D1246">
            <v>40262</v>
          </cell>
          <cell r="F1246">
            <v>114.24832000000001</v>
          </cell>
          <cell r="K1246">
            <v>40262</v>
          </cell>
          <cell r="M1246">
            <v>23.40324</v>
          </cell>
          <cell r="R1246">
            <v>40262</v>
          </cell>
          <cell r="T1246">
            <v>9.0299999999999994</v>
          </cell>
          <cell r="Y1246">
            <v>40262</v>
          </cell>
          <cell r="AA1246">
            <v>134.72999999999999</v>
          </cell>
          <cell r="AF1246">
            <v>40262</v>
          </cell>
          <cell r="AH1246">
            <v>30.148150000000001</v>
          </cell>
          <cell r="AM1246">
            <v>40262</v>
          </cell>
          <cell r="AO1246">
            <v>31.728190000000001</v>
          </cell>
          <cell r="AT1246">
            <v>40262</v>
          </cell>
          <cell r="AV1246">
            <v>23.124469999999999</v>
          </cell>
          <cell r="BA1246">
            <v>40262</v>
          </cell>
          <cell r="BC1246">
            <v>14.86281</v>
          </cell>
          <cell r="BH1246">
            <v>40262</v>
          </cell>
          <cell r="BJ1246">
            <v>15.241300000000001</v>
          </cell>
        </row>
        <row r="1247">
          <cell r="D1247">
            <v>40261</v>
          </cell>
          <cell r="F1247">
            <v>113.62067999999999</v>
          </cell>
          <cell r="K1247">
            <v>40261</v>
          </cell>
          <cell r="M1247">
            <v>23.420950000000001</v>
          </cell>
          <cell r="R1247">
            <v>40261</v>
          </cell>
          <cell r="T1247">
            <v>9.23</v>
          </cell>
          <cell r="Y1247">
            <v>40261</v>
          </cell>
          <cell r="AA1247">
            <v>128.04</v>
          </cell>
          <cell r="AF1247">
            <v>40261</v>
          </cell>
          <cell r="AH1247">
            <v>30.50995</v>
          </cell>
          <cell r="AM1247">
            <v>40261</v>
          </cell>
          <cell r="AO1247">
            <v>31.76369</v>
          </cell>
          <cell r="AT1247">
            <v>40261</v>
          </cell>
          <cell r="AV1247">
            <v>23.04852</v>
          </cell>
          <cell r="BA1247">
            <v>40261</v>
          </cell>
          <cell r="BC1247">
            <v>14.881740000000001</v>
          </cell>
          <cell r="BH1247">
            <v>40261</v>
          </cell>
          <cell r="BJ1247">
            <v>15.36623</v>
          </cell>
        </row>
        <row r="1248">
          <cell r="D1248">
            <v>40260</v>
          </cell>
          <cell r="F1248">
            <v>114.36324</v>
          </cell>
          <cell r="K1248">
            <v>40260</v>
          </cell>
          <cell r="M1248">
            <v>23.589189999999999</v>
          </cell>
          <cell r="R1248">
            <v>40260</v>
          </cell>
          <cell r="T1248">
            <v>9.4499999999999993</v>
          </cell>
          <cell r="Y1248">
            <v>40260</v>
          </cell>
          <cell r="AA1248">
            <v>129.26</v>
          </cell>
          <cell r="AF1248">
            <v>40260</v>
          </cell>
          <cell r="AH1248">
            <v>30.375610000000002</v>
          </cell>
          <cell r="AM1248">
            <v>40260</v>
          </cell>
          <cell r="AO1248">
            <v>32.180819999999997</v>
          </cell>
          <cell r="AT1248">
            <v>40260</v>
          </cell>
          <cell r="AV1248">
            <v>23.335460000000001</v>
          </cell>
          <cell r="BA1248">
            <v>40260</v>
          </cell>
          <cell r="BC1248">
            <v>14.75867</v>
          </cell>
          <cell r="BH1248">
            <v>40260</v>
          </cell>
          <cell r="BJ1248">
            <v>15.26628</v>
          </cell>
        </row>
        <row r="1249">
          <cell r="D1249">
            <v>40259</v>
          </cell>
          <cell r="F1249">
            <v>113.13448</v>
          </cell>
          <cell r="K1249">
            <v>40259</v>
          </cell>
          <cell r="M1249">
            <v>23.270420000000001</v>
          </cell>
          <cell r="R1249">
            <v>40259</v>
          </cell>
          <cell r="T1249">
            <v>9.31</v>
          </cell>
          <cell r="Y1249">
            <v>40259</v>
          </cell>
          <cell r="AA1249">
            <v>130.47</v>
          </cell>
          <cell r="AF1249">
            <v>40259</v>
          </cell>
          <cell r="AH1249">
            <v>29.895420000000001</v>
          </cell>
          <cell r="AM1249">
            <v>40259</v>
          </cell>
          <cell r="AO1249">
            <v>32.118690000000001</v>
          </cell>
          <cell r="AT1249">
            <v>40259</v>
          </cell>
          <cell r="AV1249">
            <v>23.014759999999999</v>
          </cell>
          <cell r="BA1249">
            <v>40259</v>
          </cell>
          <cell r="BC1249">
            <v>14.37053</v>
          </cell>
          <cell r="BH1249">
            <v>40259</v>
          </cell>
          <cell r="BJ1249">
            <v>15.04974</v>
          </cell>
        </row>
        <row r="1250">
          <cell r="D1250">
            <v>40256</v>
          </cell>
          <cell r="F1250">
            <v>112.89579999999999</v>
          </cell>
          <cell r="K1250">
            <v>40256</v>
          </cell>
          <cell r="M1250">
            <v>23.15531</v>
          </cell>
          <cell r="R1250">
            <v>40256</v>
          </cell>
          <cell r="T1250">
            <v>9.11</v>
          </cell>
          <cell r="Y1250">
            <v>40256</v>
          </cell>
          <cell r="AA1250">
            <v>130.35</v>
          </cell>
          <cell r="AF1250">
            <v>40256</v>
          </cell>
          <cell r="AH1250">
            <v>29.562860000000001</v>
          </cell>
          <cell r="AM1250">
            <v>40256</v>
          </cell>
          <cell r="AO1250">
            <v>31.816939999999999</v>
          </cell>
          <cell r="AT1250">
            <v>40256</v>
          </cell>
          <cell r="AV1250">
            <v>23.103370000000002</v>
          </cell>
          <cell r="BA1250">
            <v>40256</v>
          </cell>
          <cell r="BC1250">
            <v>14.58827</v>
          </cell>
          <cell r="BH1250">
            <v>40256</v>
          </cell>
          <cell r="BJ1250">
            <v>15.04974</v>
          </cell>
        </row>
        <row r="1251">
          <cell r="D1251">
            <v>40255</v>
          </cell>
          <cell r="F1251">
            <v>113.48808</v>
          </cell>
          <cell r="K1251">
            <v>40255</v>
          </cell>
          <cell r="M1251">
            <v>23.323550000000001</v>
          </cell>
          <cell r="R1251">
            <v>40255</v>
          </cell>
          <cell r="T1251">
            <v>9.39</v>
          </cell>
          <cell r="Y1251">
            <v>40255</v>
          </cell>
          <cell r="AA1251">
            <v>132.76</v>
          </cell>
          <cell r="AF1251">
            <v>40255</v>
          </cell>
          <cell r="AH1251">
            <v>29.88212</v>
          </cell>
          <cell r="AM1251">
            <v>40255</v>
          </cell>
          <cell r="AO1251">
            <v>31.550689999999999</v>
          </cell>
          <cell r="AT1251">
            <v>40255</v>
          </cell>
          <cell r="AV1251">
            <v>22.765789999999999</v>
          </cell>
          <cell r="BA1251">
            <v>40255</v>
          </cell>
          <cell r="BC1251">
            <v>14.82494</v>
          </cell>
          <cell r="BH1251">
            <v>40255</v>
          </cell>
          <cell r="BJ1251">
            <v>15.14968</v>
          </cell>
        </row>
        <row r="1252">
          <cell r="D1252">
            <v>40254</v>
          </cell>
          <cell r="F1252">
            <v>112.94</v>
          </cell>
          <cell r="K1252">
            <v>40254</v>
          </cell>
          <cell r="M1252">
            <v>23.25271</v>
          </cell>
          <cell r="R1252">
            <v>40254</v>
          </cell>
          <cell r="T1252">
            <v>9.67</v>
          </cell>
          <cell r="Y1252">
            <v>40254</v>
          </cell>
          <cell r="AA1252">
            <v>131.34</v>
          </cell>
          <cell r="AF1252">
            <v>40254</v>
          </cell>
          <cell r="AH1252">
            <v>29.811620000000001</v>
          </cell>
          <cell r="AM1252">
            <v>40254</v>
          </cell>
          <cell r="AO1252">
            <v>31.497440000000001</v>
          </cell>
          <cell r="AT1252">
            <v>40254</v>
          </cell>
          <cell r="AV1252">
            <v>22.719370000000001</v>
          </cell>
          <cell r="BA1252">
            <v>40254</v>
          </cell>
          <cell r="BC1252">
            <v>14.966939999999999</v>
          </cell>
          <cell r="BH1252">
            <v>40254</v>
          </cell>
          <cell r="BJ1252">
            <v>15.024760000000001</v>
          </cell>
        </row>
        <row r="1253">
          <cell r="D1253">
            <v>40253</v>
          </cell>
          <cell r="F1253">
            <v>113.74444</v>
          </cell>
          <cell r="K1253">
            <v>40253</v>
          </cell>
          <cell r="M1253">
            <v>23.15531</v>
          </cell>
          <cell r="R1253">
            <v>40253</v>
          </cell>
          <cell r="T1253">
            <v>9.4</v>
          </cell>
          <cell r="Y1253">
            <v>40253</v>
          </cell>
          <cell r="AA1253">
            <v>131.79</v>
          </cell>
          <cell r="AF1253">
            <v>40253</v>
          </cell>
          <cell r="AH1253">
            <v>29.855509999999999</v>
          </cell>
          <cell r="AM1253">
            <v>40253</v>
          </cell>
          <cell r="AO1253">
            <v>31.34656</v>
          </cell>
          <cell r="AT1253">
            <v>40253</v>
          </cell>
          <cell r="AV1253">
            <v>22.66029</v>
          </cell>
          <cell r="BA1253">
            <v>40253</v>
          </cell>
          <cell r="BC1253">
            <v>14.91961</v>
          </cell>
          <cell r="BH1253">
            <v>40253</v>
          </cell>
          <cell r="BJ1253">
            <v>15.04974</v>
          </cell>
        </row>
        <row r="1254">
          <cell r="D1254">
            <v>40252</v>
          </cell>
          <cell r="F1254">
            <v>113.00188</v>
          </cell>
          <cell r="K1254">
            <v>40252</v>
          </cell>
          <cell r="M1254">
            <v>23.093330000000002</v>
          </cell>
          <cell r="R1254">
            <v>40252</v>
          </cell>
          <cell r="T1254">
            <v>8.92</v>
          </cell>
          <cell r="Y1254">
            <v>40252</v>
          </cell>
          <cell r="AA1254">
            <v>131.13</v>
          </cell>
          <cell r="AF1254">
            <v>40252</v>
          </cell>
          <cell r="AH1254">
            <v>29.774370000000001</v>
          </cell>
          <cell r="AM1254">
            <v>40252</v>
          </cell>
          <cell r="AO1254">
            <v>31.444189999999999</v>
          </cell>
          <cell r="AT1254">
            <v>40252</v>
          </cell>
          <cell r="AV1254">
            <v>22.639199999999999</v>
          </cell>
          <cell r="BA1254">
            <v>40252</v>
          </cell>
          <cell r="BC1254">
            <v>14.94801</v>
          </cell>
          <cell r="BH1254">
            <v>40252</v>
          </cell>
          <cell r="BJ1254">
            <v>14.40011</v>
          </cell>
        </row>
        <row r="1255">
          <cell r="D1255">
            <v>40249</v>
          </cell>
          <cell r="F1255">
            <v>113.09912</v>
          </cell>
          <cell r="K1255">
            <v>40249</v>
          </cell>
          <cell r="M1255">
            <v>22.916229999999999</v>
          </cell>
          <cell r="R1255">
            <v>40249</v>
          </cell>
          <cell r="T1255">
            <v>8.93</v>
          </cell>
          <cell r="Y1255">
            <v>40249</v>
          </cell>
          <cell r="AA1255">
            <v>131.82</v>
          </cell>
          <cell r="AF1255">
            <v>40249</v>
          </cell>
          <cell r="AH1255">
            <v>30.141500000000001</v>
          </cell>
          <cell r="AM1255">
            <v>40249</v>
          </cell>
          <cell r="AO1255">
            <v>30.982690000000002</v>
          </cell>
          <cell r="AT1255">
            <v>40249</v>
          </cell>
          <cell r="AV1255">
            <v>22.512599999999999</v>
          </cell>
          <cell r="BA1255">
            <v>40249</v>
          </cell>
          <cell r="BC1255">
            <v>15.05214</v>
          </cell>
          <cell r="BH1255">
            <v>40249</v>
          </cell>
          <cell r="BJ1255">
            <v>14.1919</v>
          </cell>
        </row>
        <row r="1256">
          <cell r="D1256">
            <v>40248</v>
          </cell>
          <cell r="F1256">
            <v>112.79855999999999</v>
          </cell>
          <cell r="K1256">
            <v>40248</v>
          </cell>
          <cell r="M1256">
            <v>22.995920000000002</v>
          </cell>
          <cell r="R1256">
            <v>40248</v>
          </cell>
          <cell r="T1256">
            <v>8.9499999999999993</v>
          </cell>
          <cell r="Y1256">
            <v>40248</v>
          </cell>
          <cell r="AA1256">
            <v>133.58000000000001</v>
          </cell>
          <cell r="AF1256">
            <v>40248</v>
          </cell>
          <cell r="AH1256">
            <v>29.995180000000001</v>
          </cell>
          <cell r="AM1256">
            <v>40248</v>
          </cell>
          <cell r="AO1256">
            <v>31.05369</v>
          </cell>
          <cell r="AT1256">
            <v>40248</v>
          </cell>
          <cell r="AV1256">
            <v>22.618099999999998</v>
          </cell>
          <cell r="BA1256">
            <v>40248</v>
          </cell>
          <cell r="BC1256">
            <v>15.156280000000001</v>
          </cell>
          <cell r="BH1256">
            <v>40248</v>
          </cell>
          <cell r="BJ1256">
            <v>13.7255</v>
          </cell>
        </row>
        <row r="1257">
          <cell r="D1257">
            <v>40247</v>
          </cell>
          <cell r="F1257">
            <v>111.04823</v>
          </cell>
          <cell r="K1257">
            <v>40247</v>
          </cell>
          <cell r="M1257">
            <v>22.90915</v>
          </cell>
          <cell r="R1257">
            <v>40247</v>
          </cell>
          <cell r="T1257">
            <v>8.92</v>
          </cell>
          <cell r="Y1257">
            <v>40247</v>
          </cell>
          <cell r="AA1257">
            <v>130.51</v>
          </cell>
          <cell r="AF1257">
            <v>40247</v>
          </cell>
          <cell r="AH1257">
            <v>29.907389999999999</v>
          </cell>
          <cell r="AM1257">
            <v>40247</v>
          </cell>
          <cell r="AO1257">
            <v>31.080310000000001</v>
          </cell>
          <cell r="AT1257">
            <v>40247</v>
          </cell>
          <cell r="AV1257">
            <v>22.68561</v>
          </cell>
          <cell r="BA1257">
            <v>40247</v>
          </cell>
          <cell r="BC1257">
            <v>14.90067</v>
          </cell>
          <cell r="BH1257">
            <v>40247</v>
          </cell>
          <cell r="BJ1257">
            <v>13.75048</v>
          </cell>
        </row>
        <row r="1258">
          <cell r="D1258">
            <v>40246</v>
          </cell>
          <cell r="F1258">
            <v>110.98635</v>
          </cell>
          <cell r="K1258">
            <v>40246</v>
          </cell>
          <cell r="M1258">
            <v>23.137599999999999</v>
          </cell>
          <cell r="R1258">
            <v>40246</v>
          </cell>
          <cell r="T1258">
            <v>8.6300000000000008</v>
          </cell>
          <cell r="Y1258">
            <v>40246</v>
          </cell>
          <cell r="AA1258">
            <v>128.82</v>
          </cell>
          <cell r="AF1258">
            <v>40246</v>
          </cell>
          <cell r="AH1258">
            <v>29.665299999999998</v>
          </cell>
          <cell r="AM1258">
            <v>40246</v>
          </cell>
          <cell r="AO1258">
            <v>31.24006</v>
          </cell>
          <cell r="AT1258">
            <v>40246</v>
          </cell>
          <cell r="AV1258">
            <v>22.677240000000001</v>
          </cell>
          <cell r="BA1258">
            <v>40246</v>
          </cell>
          <cell r="BC1258">
            <v>14.98587</v>
          </cell>
          <cell r="BH1258">
            <v>40246</v>
          </cell>
          <cell r="BJ1258">
            <v>13.733829999999999</v>
          </cell>
        </row>
        <row r="1259">
          <cell r="D1259">
            <v>40245</v>
          </cell>
          <cell r="F1259">
            <v>111.7466</v>
          </cell>
          <cell r="K1259">
            <v>40245</v>
          </cell>
          <cell r="M1259">
            <v>23.137599999999999</v>
          </cell>
          <cell r="R1259">
            <v>40245</v>
          </cell>
          <cell r="T1259">
            <v>8.64</v>
          </cell>
          <cell r="Y1259">
            <v>40245</v>
          </cell>
          <cell r="AA1259">
            <v>130.11000000000001</v>
          </cell>
          <cell r="AF1259">
            <v>40245</v>
          </cell>
          <cell r="AH1259">
            <v>29.141210000000001</v>
          </cell>
          <cell r="AM1259">
            <v>40245</v>
          </cell>
          <cell r="AO1259">
            <v>31.328810000000001</v>
          </cell>
          <cell r="AT1259">
            <v>40245</v>
          </cell>
          <cell r="AV1259">
            <v>22.794440000000002</v>
          </cell>
          <cell r="BA1259">
            <v>40245</v>
          </cell>
          <cell r="BC1259">
            <v>15.09947</v>
          </cell>
          <cell r="BH1259">
            <v>40245</v>
          </cell>
          <cell r="BJ1259">
            <v>13.550599999999999</v>
          </cell>
        </row>
        <row r="1260">
          <cell r="D1260">
            <v>40242</v>
          </cell>
          <cell r="F1260">
            <v>112.48916</v>
          </cell>
          <cell r="K1260">
            <v>40242</v>
          </cell>
          <cell r="M1260">
            <v>22.322959999999998</v>
          </cell>
          <cell r="R1260">
            <v>40242</v>
          </cell>
          <cell r="T1260">
            <v>8.61</v>
          </cell>
          <cell r="Y1260">
            <v>40242</v>
          </cell>
          <cell r="AA1260">
            <v>128.91</v>
          </cell>
          <cell r="AF1260">
            <v>40242</v>
          </cell>
          <cell r="AH1260">
            <v>29.123919999999998</v>
          </cell>
          <cell r="AM1260">
            <v>40242</v>
          </cell>
          <cell r="AO1260">
            <v>31.506309999999999</v>
          </cell>
          <cell r="AT1260">
            <v>40242</v>
          </cell>
          <cell r="AV1260">
            <v>22.89489</v>
          </cell>
          <cell r="BA1260">
            <v>40242</v>
          </cell>
          <cell r="BC1260">
            <v>15.468680000000001</v>
          </cell>
          <cell r="BH1260">
            <v>40242</v>
          </cell>
          <cell r="BJ1260">
            <v>13.617229999999999</v>
          </cell>
        </row>
        <row r="1261">
          <cell r="D1261">
            <v>40241</v>
          </cell>
          <cell r="F1261">
            <v>112.02064</v>
          </cell>
          <cell r="K1261">
            <v>40241</v>
          </cell>
          <cell r="M1261">
            <v>22.09273</v>
          </cell>
          <cell r="R1261">
            <v>40241</v>
          </cell>
          <cell r="T1261">
            <v>8.5</v>
          </cell>
          <cell r="Y1261">
            <v>40241</v>
          </cell>
          <cell r="AA1261">
            <v>128.53</v>
          </cell>
          <cell r="AF1261">
            <v>40241</v>
          </cell>
          <cell r="AH1261">
            <v>28.02787</v>
          </cell>
          <cell r="AM1261">
            <v>40241</v>
          </cell>
          <cell r="AO1261">
            <v>31.275559999999999</v>
          </cell>
          <cell r="AT1261">
            <v>40241</v>
          </cell>
          <cell r="AV1261">
            <v>22.79862</v>
          </cell>
          <cell r="BA1261">
            <v>40241</v>
          </cell>
          <cell r="BC1261">
            <v>18.04364</v>
          </cell>
          <cell r="BH1261">
            <v>40241</v>
          </cell>
          <cell r="BJ1261">
            <v>13.417339999999999</v>
          </cell>
        </row>
        <row r="1262">
          <cell r="D1262">
            <v>40240</v>
          </cell>
          <cell r="F1262">
            <v>112.16208</v>
          </cell>
          <cell r="K1262">
            <v>40240</v>
          </cell>
          <cell r="M1262">
            <v>21.995329999999999</v>
          </cell>
          <cell r="R1262">
            <v>40240</v>
          </cell>
          <cell r="T1262">
            <v>8.35</v>
          </cell>
          <cell r="Y1262">
            <v>40240</v>
          </cell>
          <cell r="AA1262">
            <v>125.89</v>
          </cell>
          <cell r="AF1262">
            <v>40240</v>
          </cell>
          <cell r="AH1262">
            <v>27.84431</v>
          </cell>
          <cell r="AM1262">
            <v>40240</v>
          </cell>
          <cell r="AO1262">
            <v>31.204560000000001</v>
          </cell>
          <cell r="AT1262">
            <v>40240</v>
          </cell>
          <cell r="AV1262">
            <v>22.572600000000001</v>
          </cell>
          <cell r="BA1262">
            <v>40240</v>
          </cell>
          <cell r="BC1262">
            <v>17.825900000000001</v>
          </cell>
          <cell r="BH1262">
            <v>40240</v>
          </cell>
          <cell r="BJ1262">
            <v>13.350709999999999</v>
          </cell>
        </row>
        <row r="1263">
          <cell r="D1263">
            <v>40239</v>
          </cell>
          <cell r="F1263">
            <v>112.63943999999999</v>
          </cell>
          <cell r="K1263">
            <v>40239</v>
          </cell>
          <cell r="M1263">
            <v>21.79167</v>
          </cell>
          <cell r="R1263">
            <v>40239</v>
          </cell>
          <cell r="T1263">
            <v>8.3800000000000008</v>
          </cell>
          <cell r="Y1263">
            <v>40239</v>
          </cell>
          <cell r="AA1263">
            <v>125.53</v>
          </cell>
          <cell r="AF1263">
            <v>40239</v>
          </cell>
          <cell r="AH1263">
            <v>27.780460000000001</v>
          </cell>
          <cell r="AM1263">
            <v>40239</v>
          </cell>
          <cell r="AO1263">
            <v>31.550689999999999</v>
          </cell>
          <cell r="AT1263">
            <v>40239</v>
          </cell>
          <cell r="AV1263">
            <v>22.308920000000001</v>
          </cell>
          <cell r="BA1263">
            <v>40239</v>
          </cell>
          <cell r="BC1263">
            <v>17.89217</v>
          </cell>
          <cell r="BH1263">
            <v>40239</v>
          </cell>
          <cell r="BJ1263">
            <v>13.24244</v>
          </cell>
        </row>
        <row r="1264">
          <cell r="D1264">
            <v>40238</v>
          </cell>
          <cell r="F1264">
            <v>113.65604</v>
          </cell>
          <cell r="K1264">
            <v>40238</v>
          </cell>
          <cell r="M1264">
            <v>21.782810000000001</v>
          </cell>
          <cell r="R1264">
            <v>40238</v>
          </cell>
          <cell r="T1264">
            <v>8.2100000000000009</v>
          </cell>
          <cell r="Y1264">
            <v>40238</v>
          </cell>
          <cell r="AA1264">
            <v>124.54</v>
          </cell>
          <cell r="AF1264">
            <v>40238</v>
          </cell>
          <cell r="AH1264">
            <v>27.79908</v>
          </cell>
          <cell r="AM1264">
            <v>40238</v>
          </cell>
          <cell r="AO1264">
            <v>31.124690000000001</v>
          </cell>
          <cell r="AT1264">
            <v>40238</v>
          </cell>
          <cell r="AV1264">
            <v>22.29636</v>
          </cell>
          <cell r="BA1264">
            <v>40238</v>
          </cell>
          <cell r="BC1264">
            <v>17.627099999999999</v>
          </cell>
          <cell r="BH1264">
            <v>40238</v>
          </cell>
          <cell r="BJ1264">
            <v>13.24244</v>
          </cell>
        </row>
        <row r="1265">
          <cell r="D1265">
            <v>40235</v>
          </cell>
          <cell r="F1265">
            <v>112.4096</v>
          </cell>
          <cell r="K1265">
            <v>40235</v>
          </cell>
          <cell r="M1265">
            <v>21.54374</v>
          </cell>
          <cell r="R1265">
            <v>40235</v>
          </cell>
          <cell r="T1265">
            <v>7.91</v>
          </cell>
          <cell r="Y1265">
            <v>40235</v>
          </cell>
          <cell r="AA1265">
            <v>118.4</v>
          </cell>
          <cell r="AF1265">
            <v>40235</v>
          </cell>
          <cell r="AH1265">
            <v>27.2178</v>
          </cell>
          <cell r="AM1265">
            <v>40235</v>
          </cell>
          <cell r="AO1265">
            <v>30.148440000000001</v>
          </cell>
          <cell r="AT1265">
            <v>40235</v>
          </cell>
          <cell r="AV1265">
            <v>22.06615</v>
          </cell>
          <cell r="BA1265">
            <v>40235</v>
          </cell>
          <cell r="BC1265">
            <v>17.153759999999998</v>
          </cell>
          <cell r="BH1265">
            <v>40235</v>
          </cell>
          <cell r="BJ1265">
            <v>13.3757</v>
          </cell>
        </row>
        <row r="1266">
          <cell r="D1266">
            <v>40234</v>
          </cell>
          <cell r="F1266">
            <v>112.33004</v>
          </cell>
          <cell r="K1266">
            <v>40234</v>
          </cell>
          <cell r="M1266">
            <v>21.54374</v>
          </cell>
          <cell r="R1266">
            <v>40234</v>
          </cell>
          <cell r="T1266">
            <v>7.89</v>
          </cell>
          <cell r="Y1266">
            <v>40234</v>
          </cell>
          <cell r="AA1266">
            <v>118.2</v>
          </cell>
          <cell r="AF1266">
            <v>40234</v>
          </cell>
          <cell r="AH1266">
            <v>26.869299999999999</v>
          </cell>
          <cell r="AM1266">
            <v>40234</v>
          </cell>
          <cell r="AO1266">
            <v>29.828939999999999</v>
          </cell>
          <cell r="AT1266">
            <v>40234</v>
          </cell>
          <cell r="AV1266">
            <v>22.23358</v>
          </cell>
          <cell r="BA1266">
            <v>40234</v>
          </cell>
          <cell r="BC1266">
            <v>17.163229999999999</v>
          </cell>
          <cell r="BH1266">
            <v>40234</v>
          </cell>
          <cell r="BJ1266">
            <v>13.2591</v>
          </cell>
        </row>
        <row r="1267">
          <cell r="D1267">
            <v>40233</v>
          </cell>
          <cell r="F1267">
            <v>112.78972</v>
          </cell>
          <cell r="K1267">
            <v>40233</v>
          </cell>
          <cell r="M1267">
            <v>21.552589999999999</v>
          </cell>
          <cell r="R1267">
            <v>40233</v>
          </cell>
          <cell r="T1267">
            <v>8.0500000000000007</v>
          </cell>
          <cell r="Y1267">
            <v>40233</v>
          </cell>
          <cell r="AA1267">
            <v>119.72</v>
          </cell>
          <cell r="AF1267">
            <v>40233</v>
          </cell>
          <cell r="AH1267">
            <v>26.690519999999999</v>
          </cell>
          <cell r="AM1267">
            <v>40233</v>
          </cell>
          <cell r="AO1267">
            <v>29.51831</v>
          </cell>
          <cell r="AT1267">
            <v>40233</v>
          </cell>
          <cell r="AV1267">
            <v>23.087430000000001</v>
          </cell>
          <cell r="BA1267">
            <v>40233</v>
          </cell>
          <cell r="BC1267">
            <v>17.257899999999999</v>
          </cell>
          <cell r="BH1267">
            <v>40233</v>
          </cell>
          <cell r="BJ1267">
            <v>13.34238</v>
          </cell>
        </row>
        <row r="1268">
          <cell r="D1268">
            <v>40232</v>
          </cell>
          <cell r="F1268">
            <v>111.7908</v>
          </cell>
          <cell r="K1268">
            <v>40232</v>
          </cell>
          <cell r="M1268">
            <v>21.2958</v>
          </cell>
          <cell r="R1268">
            <v>40232</v>
          </cell>
          <cell r="T1268">
            <v>7.79</v>
          </cell>
          <cell r="Y1268">
            <v>40232</v>
          </cell>
          <cell r="AA1268">
            <v>117.24</v>
          </cell>
          <cell r="AF1268">
            <v>40232</v>
          </cell>
          <cell r="AH1268">
            <v>26.212060000000001</v>
          </cell>
          <cell r="AM1268">
            <v>40232</v>
          </cell>
          <cell r="AO1268">
            <v>29.278680000000001</v>
          </cell>
          <cell r="AT1268">
            <v>40232</v>
          </cell>
          <cell r="AV1268">
            <v>22.949300000000001</v>
          </cell>
          <cell r="BA1268">
            <v>40232</v>
          </cell>
          <cell r="BC1268">
            <v>17.248429999999999</v>
          </cell>
          <cell r="BH1268">
            <v>40232</v>
          </cell>
          <cell r="BJ1268">
            <v>13.20167</v>
          </cell>
        </row>
        <row r="1269">
          <cell r="D1269">
            <v>40231</v>
          </cell>
          <cell r="F1269">
            <v>112.13556</v>
          </cell>
          <cell r="K1269">
            <v>40231</v>
          </cell>
          <cell r="M1269">
            <v>21.51717</v>
          </cell>
          <cell r="R1269">
            <v>40231</v>
          </cell>
          <cell r="T1269">
            <v>7.9</v>
          </cell>
          <cell r="Y1269">
            <v>40231</v>
          </cell>
          <cell r="AA1269">
            <v>118.01</v>
          </cell>
          <cell r="AF1269">
            <v>40231</v>
          </cell>
          <cell r="AH1269">
            <v>26.6586</v>
          </cell>
          <cell r="AM1269">
            <v>40231</v>
          </cell>
          <cell r="AO1269">
            <v>29.882190000000001</v>
          </cell>
          <cell r="AT1269">
            <v>40231</v>
          </cell>
          <cell r="AV1269">
            <v>23.179510000000001</v>
          </cell>
          <cell r="BA1269">
            <v>40231</v>
          </cell>
          <cell r="BC1269">
            <v>17.522960000000001</v>
          </cell>
          <cell r="BH1269">
            <v>40231</v>
          </cell>
          <cell r="BJ1269">
            <v>13.44998</v>
          </cell>
        </row>
        <row r="1270">
          <cell r="D1270">
            <v>40228</v>
          </cell>
          <cell r="F1270">
            <v>112.43612</v>
          </cell>
          <cell r="K1270">
            <v>40228</v>
          </cell>
          <cell r="M1270">
            <v>21.5703</v>
          </cell>
          <cell r="R1270">
            <v>40228</v>
          </cell>
          <cell r="T1270">
            <v>7.93</v>
          </cell>
          <cell r="Y1270">
            <v>40228</v>
          </cell>
          <cell r="AA1270">
            <v>117.52</v>
          </cell>
          <cell r="AF1270">
            <v>40228</v>
          </cell>
          <cell r="AH1270">
            <v>26.825399999999998</v>
          </cell>
          <cell r="AM1270">
            <v>40228</v>
          </cell>
          <cell r="AO1270">
            <v>30.024190000000001</v>
          </cell>
          <cell r="AT1270">
            <v>40228</v>
          </cell>
          <cell r="AV1270">
            <v>23.321819999999999</v>
          </cell>
          <cell r="BA1270">
            <v>40228</v>
          </cell>
          <cell r="BC1270">
            <v>17.797499999999999</v>
          </cell>
          <cell r="BH1270">
            <v>40228</v>
          </cell>
          <cell r="BJ1270">
            <v>13.38377</v>
          </cell>
        </row>
        <row r="1271">
          <cell r="D1271">
            <v>40227</v>
          </cell>
          <cell r="F1271">
            <v>112.9842</v>
          </cell>
          <cell r="K1271">
            <v>40227</v>
          </cell>
          <cell r="M1271">
            <v>21.499459999999999</v>
          </cell>
          <cell r="R1271">
            <v>40227</v>
          </cell>
          <cell r="T1271">
            <v>7.95</v>
          </cell>
          <cell r="Y1271">
            <v>40227</v>
          </cell>
          <cell r="AA1271">
            <v>118.08</v>
          </cell>
          <cell r="AF1271">
            <v>40227</v>
          </cell>
          <cell r="AH1271">
            <v>26.992740000000001</v>
          </cell>
          <cell r="AM1271">
            <v>40227</v>
          </cell>
          <cell r="AO1271">
            <v>29.970939999999999</v>
          </cell>
          <cell r="AT1271">
            <v>40227</v>
          </cell>
          <cell r="AV1271">
            <v>23.401340000000001</v>
          </cell>
          <cell r="BA1271">
            <v>40227</v>
          </cell>
          <cell r="BC1271">
            <v>17.456700000000001</v>
          </cell>
          <cell r="BH1271">
            <v>40227</v>
          </cell>
          <cell r="BJ1271">
            <v>13.44171</v>
          </cell>
        </row>
        <row r="1272">
          <cell r="D1272">
            <v>40226</v>
          </cell>
          <cell r="F1272">
            <v>111.67588000000001</v>
          </cell>
          <cell r="K1272">
            <v>40226</v>
          </cell>
          <cell r="M1272">
            <v>21.313510000000001</v>
          </cell>
          <cell r="R1272">
            <v>40226</v>
          </cell>
          <cell r="T1272">
            <v>8.0299999999999994</v>
          </cell>
          <cell r="Y1272">
            <v>40226</v>
          </cell>
          <cell r="AA1272">
            <v>116.31</v>
          </cell>
          <cell r="AF1272">
            <v>40226</v>
          </cell>
          <cell r="AH1272">
            <v>26.942460000000001</v>
          </cell>
          <cell r="AM1272">
            <v>40226</v>
          </cell>
          <cell r="AO1272">
            <v>29.953189999999999</v>
          </cell>
          <cell r="AT1272">
            <v>40226</v>
          </cell>
          <cell r="AV1272">
            <v>23.158580000000001</v>
          </cell>
          <cell r="BA1272">
            <v>40226</v>
          </cell>
          <cell r="BC1272">
            <v>17.238959999999999</v>
          </cell>
          <cell r="BH1272">
            <v>40226</v>
          </cell>
          <cell r="BJ1272">
            <v>13.36721</v>
          </cell>
        </row>
        <row r="1273">
          <cell r="D1273">
            <v>40225</v>
          </cell>
          <cell r="F1273">
            <v>110.70347</v>
          </cell>
          <cell r="K1273">
            <v>40225</v>
          </cell>
          <cell r="M1273">
            <v>21.251529999999999</v>
          </cell>
          <cell r="R1273">
            <v>40225</v>
          </cell>
          <cell r="T1273">
            <v>8.06</v>
          </cell>
          <cell r="Y1273">
            <v>40225</v>
          </cell>
          <cell r="AA1273">
            <v>117.53</v>
          </cell>
          <cell r="AF1273">
            <v>40225</v>
          </cell>
          <cell r="AH1273">
            <v>27.055520000000001</v>
          </cell>
          <cell r="AM1273">
            <v>40225</v>
          </cell>
          <cell r="AO1273">
            <v>29.76681</v>
          </cell>
          <cell r="AT1273">
            <v>40225</v>
          </cell>
          <cell r="AV1273">
            <v>22.945119999999999</v>
          </cell>
          <cell r="BA1273">
            <v>40225</v>
          </cell>
          <cell r="BC1273">
            <v>17.18216</v>
          </cell>
          <cell r="BH1273">
            <v>40225</v>
          </cell>
          <cell r="BJ1273">
            <v>13.27617</v>
          </cell>
        </row>
        <row r="1274">
          <cell r="D1274">
            <v>40221</v>
          </cell>
          <cell r="F1274">
            <v>109.61615</v>
          </cell>
          <cell r="K1274">
            <v>40221</v>
          </cell>
          <cell r="M1274">
            <v>21.039010000000001</v>
          </cell>
          <cell r="R1274">
            <v>40221</v>
          </cell>
          <cell r="T1274">
            <v>7.87</v>
          </cell>
          <cell r="Y1274">
            <v>40221</v>
          </cell>
          <cell r="AA1274">
            <v>119.66</v>
          </cell>
          <cell r="AF1274">
            <v>40221</v>
          </cell>
          <cell r="AH1274">
            <v>26.65381</v>
          </cell>
          <cell r="AM1274">
            <v>40221</v>
          </cell>
          <cell r="AO1274">
            <v>29.62481</v>
          </cell>
          <cell r="AT1274">
            <v>40221</v>
          </cell>
          <cell r="AV1274">
            <v>22.593530000000001</v>
          </cell>
          <cell r="BA1274">
            <v>40221</v>
          </cell>
          <cell r="BC1274">
            <v>16.822420000000001</v>
          </cell>
          <cell r="BH1274">
            <v>40221</v>
          </cell>
          <cell r="BJ1274">
            <v>12.8706</v>
          </cell>
        </row>
        <row r="1275">
          <cell r="D1275">
            <v>40220</v>
          </cell>
          <cell r="F1275">
            <v>109.37747</v>
          </cell>
          <cell r="K1275">
            <v>40220</v>
          </cell>
          <cell r="M1275">
            <v>21.189540000000001</v>
          </cell>
          <cell r="R1275">
            <v>40220</v>
          </cell>
          <cell r="T1275">
            <v>7.84</v>
          </cell>
          <cell r="Y1275">
            <v>40220</v>
          </cell>
          <cell r="AA1275">
            <v>120.09</v>
          </cell>
          <cell r="AF1275">
            <v>40220</v>
          </cell>
          <cell r="AH1275">
            <v>26.426349999999999</v>
          </cell>
          <cell r="AM1275">
            <v>40220</v>
          </cell>
          <cell r="AO1275">
            <v>29.509440000000001</v>
          </cell>
          <cell r="AT1275">
            <v>40220</v>
          </cell>
          <cell r="AV1275">
            <v>22.69398</v>
          </cell>
          <cell r="BA1275">
            <v>40220</v>
          </cell>
          <cell r="BC1275">
            <v>16.64256</v>
          </cell>
          <cell r="BH1275">
            <v>40220</v>
          </cell>
          <cell r="BJ1275">
            <v>13.05269</v>
          </cell>
        </row>
        <row r="1276">
          <cell r="D1276">
            <v>40219</v>
          </cell>
          <cell r="F1276">
            <v>108.56419</v>
          </cell>
          <cell r="K1276">
            <v>40219</v>
          </cell>
          <cell r="M1276">
            <v>21.039010000000001</v>
          </cell>
          <cell r="R1276">
            <v>40219</v>
          </cell>
          <cell r="T1276">
            <v>7.64</v>
          </cell>
          <cell r="Y1276">
            <v>40219</v>
          </cell>
          <cell r="AA1276">
            <v>117.36</v>
          </cell>
          <cell r="AF1276">
            <v>40219</v>
          </cell>
          <cell r="AH1276">
            <v>25.953610000000001</v>
          </cell>
          <cell r="AM1276">
            <v>40219</v>
          </cell>
          <cell r="AO1276">
            <v>28.542059999999999</v>
          </cell>
          <cell r="AT1276">
            <v>40219</v>
          </cell>
          <cell r="AV1276">
            <v>22.514009999999999</v>
          </cell>
          <cell r="BA1276">
            <v>40219</v>
          </cell>
          <cell r="BC1276">
            <v>15.79055</v>
          </cell>
          <cell r="BH1276">
            <v>40219</v>
          </cell>
          <cell r="BJ1276">
            <v>12.98648</v>
          </cell>
        </row>
        <row r="1277">
          <cell r="D1277">
            <v>40218</v>
          </cell>
          <cell r="F1277">
            <v>108.91779</v>
          </cell>
          <cell r="K1277">
            <v>40218</v>
          </cell>
          <cell r="M1277">
            <v>21.154119999999999</v>
          </cell>
          <cell r="R1277">
            <v>40218</v>
          </cell>
          <cell r="T1277">
            <v>7.54</v>
          </cell>
          <cell r="Y1277">
            <v>40218</v>
          </cell>
          <cell r="AA1277">
            <v>118.03</v>
          </cell>
          <cell r="AF1277">
            <v>40218</v>
          </cell>
          <cell r="AH1277">
            <v>26.09647</v>
          </cell>
          <cell r="AM1277">
            <v>40218</v>
          </cell>
          <cell r="AO1277">
            <v>28.968060000000001</v>
          </cell>
          <cell r="AT1277">
            <v>40218</v>
          </cell>
          <cell r="AV1277">
            <v>22.606089999999998</v>
          </cell>
          <cell r="BA1277">
            <v>40218</v>
          </cell>
          <cell r="BC1277">
            <v>15.67695</v>
          </cell>
          <cell r="BH1277">
            <v>40218</v>
          </cell>
          <cell r="BJ1277">
            <v>12.91198</v>
          </cell>
        </row>
        <row r="1278">
          <cell r="D1278">
            <v>40217</v>
          </cell>
          <cell r="F1278">
            <v>107.74207</v>
          </cell>
          <cell r="K1278">
            <v>40217</v>
          </cell>
          <cell r="M1278">
            <v>20.8079</v>
          </cell>
          <cell r="R1278">
            <v>40217</v>
          </cell>
          <cell r="T1278">
            <v>7.42</v>
          </cell>
          <cell r="Y1278">
            <v>40217</v>
          </cell>
          <cell r="AA1278">
            <v>116.83</v>
          </cell>
          <cell r="AF1278">
            <v>40217</v>
          </cell>
          <cell r="AH1278">
            <v>25.82113</v>
          </cell>
          <cell r="AM1278">
            <v>40217</v>
          </cell>
          <cell r="AO1278">
            <v>28.63081</v>
          </cell>
          <cell r="AT1278">
            <v>40217</v>
          </cell>
          <cell r="AV1278">
            <v>22.036860000000001</v>
          </cell>
          <cell r="BA1278">
            <v>40217</v>
          </cell>
          <cell r="BC1278">
            <v>15.468680000000001</v>
          </cell>
          <cell r="BH1278">
            <v>40217</v>
          </cell>
          <cell r="BJ1278">
            <v>12.91198</v>
          </cell>
        </row>
        <row r="1279">
          <cell r="D1279">
            <v>40214</v>
          </cell>
          <cell r="F1279">
            <v>108.70563</v>
          </cell>
          <cell r="K1279">
            <v>40214</v>
          </cell>
          <cell r="M1279">
            <v>20.985880000000002</v>
          </cell>
          <cell r="R1279">
            <v>40214</v>
          </cell>
          <cell r="T1279">
            <v>7.35</v>
          </cell>
          <cell r="Y1279">
            <v>40214</v>
          </cell>
          <cell r="AA1279">
            <v>117.39</v>
          </cell>
          <cell r="AF1279">
            <v>40214</v>
          </cell>
          <cell r="AH1279">
            <v>25.999369999999999</v>
          </cell>
          <cell r="AM1279">
            <v>40214</v>
          </cell>
          <cell r="AO1279">
            <v>28.81718</v>
          </cell>
          <cell r="AT1279">
            <v>40214</v>
          </cell>
          <cell r="AV1279">
            <v>22.221019999999999</v>
          </cell>
          <cell r="BA1279">
            <v>40214</v>
          </cell>
          <cell r="BC1279">
            <v>15.667479999999999</v>
          </cell>
          <cell r="BH1279">
            <v>40214</v>
          </cell>
          <cell r="BJ1279">
            <v>13.069240000000001</v>
          </cell>
        </row>
        <row r="1280">
          <cell r="D1280">
            <v>40213</v>
          </cell>
          <cell r="F1280">
            <v>108.248</v>
          </cell>
          <cell r="K1280">
            <v>40213</v>
          </cell>
          <cell r="M1280">
            <v>20.507719999999999</v>
          </cell>
          <cell r="R1280">
            <v>40213</v>
          </cell>
          <cell r="T1280">
            <v>7.19</v>
          </cell>
          <cell r="Y1280">
            <v>40213</v>
          </cell>
          <cell r="AA1280">
            <v>115.94</v>
          </cell>
          <cell r="AF1280">
            <v>40213</v>
          </cell>
          <cell r="AH1280">
            <v>25.545780000000001</v>
          </cell>
          <cell r="AM1280">
            <v>40213</v>
          </cell>
          <cell r="AO1280">
            <v>28.932559999999999</v>
          </cell>
          <cell r="AT1280">
            <v>40213</v>
          </cell>
          <cell r="AV1280">
            <v>22.363330000000001</v>
          </cell>
          <cell r="BA1280">
            <v>40213</v>
          </cell>
          <cell r="BC1280">
            <v>15.478149999999999</v>
          </cell>
          <cell r="BH1280">
            <v>40213</v>
          </cell>
          <cell r="BJ1280">
            <v>13.27617</v>
          </cell>
        </row>
        <row r="1281">
          <cell r="D1281">
            <v>40212</v>
          </cell>
          <cell r="F1281">
            <v>110.58897</v>
          </cell>
          <cell r="K1281">
            <v>40212</v>
          </cell>
          <cell r="M1281">
            <v>20.42803</v>
          </cell>
          <cell r="R1281">
            <v>40212</v>
          </cell>
          <cell r="T1281">
            <v>7.81</v>
          </cell>
          <cell r="Y1281">
            <v>40212</v>
          </cell>
          <cell r="AA1281">
            <v>119.1</v>
          </cell>
          <cell r="AF1281">
            <v>40212</v>
          </cell>
          <cell r="AH1281">
            <v>26.50084</v>
          </cell>
          <cell r="AM1281">
            <v>40212</v>
          </cell>
          <cell r="AO1281">
            <v>29.91769</v>
          </cell>
          <cell r="AT1281">
            <v>40212</v>
          </cell>
          <cell r="AV1281">
            <v>22.96604</v>
          </cell>
          <cell r="BA1281">
            <v>40212</v>
          </cell>
          <cell r="BC1281">
            <v>16.065079999999998</v>
          </cell>
          <cell r="BH1281">
            <v>40212</v>
          </cell>
          <cell r="BJ1281">
            <v>13.80589</v>
          </cell>
        </row>
        <row r="1282">
          <cell r="D1282">
            <v>40211</v>
          </cell>
          <cell r="F1282">
            <v>110.47456</v>
          </cell>
          <cell r="K1282">
            <v>40211</v>
          </cell>
          <cell r="M1282">
            <v>20.383759999999999</v>
          </cell>
          <cell r="R1282">
            <v>40211</v>
          </cell>
          <cell r="T1282">
            <v>7.91</v>
          </cell>
          <cell r="Y1282">
            <v>40211</v>
          </cell>
          <cell r="AA1282">
            <v>118.12</v>
          </cell>
          <cell r="AF1282">
            <v>40211</v>
          </cell>
          <cell r="AH1282">
            <v>26.052579999999999</v>
          </cell>
          <cell r="AM1282">
            <v>40211</v>
          </cell>
          <cell r="AO1282">
            <v>30.396940000000001</v>
          </cell>
          <cell r="AT1282">
            <v>40211</v>
          </cell>
          <cell r="AV1282">
            <v>23.04138</v>
          </cell>
          <cell r="BA1282">
            <v>40211</v>
          </cell>
          <cell r="BC1282">
            <v>15.68641</v>
          </cell>
          <cell r="BH1282">
            <v>40211</v>
          </cell>
          <cell r="BJ1282">
            <v>13.9466</v>
          </cell>
        </row>
        <row r="1283">
          <cell r="D1283">
            <v>40210</v>
          </cell>
          <cell r="F1283">
            <v>109.71771</v>
          </cell>
          <cell r="K1283">
            <v>40210</v>
          </cell>
          <cell r="M1283">
            <v>20.12697</v>
          </cell>
          <cell r="R1283">
            <v>40210</v>
          </cell>
          <cell r="T1283">
            <v>7.98</v>
          </cell>
          <cell r="Y1283">
            <v>40210</v>
          </cell>
          <cell r="AA1283">
            <v>118.87</v>
          </cell>
          <cell r="AF1283">
            <v>40210</v>
          </cell>
          <cell r="AH1283">
            <v>25.902270000000001</v>
          </cell>
          <cell r="AM1283">
            <v>40210</v>
          </cell>
          <cell r="AO1283">
            <v>29.87331</v>
          </cell>
          <cell r="AT1283">
            <v>40210</v>
          </cell>
          <cell r="AV1283">
            <v>22.760950000000001</v>
          </cell>
          <cell r="BA1283">
            <v>40210</v>
          </cell>
          <cell r="BC1283">
            <v>15.620150000000001</v>
          </cell>
          <cell r="BH1283">
            <v>40210</v>
          </cell>
          <cell r="BJ1283">
            <v>13.44998</v>
          </cell>
        </row>
        <row r="1284">
          <cell r="D1284">
            <v>40207</v>
          </cell>
          <cell r="F1284">
            <v>107.71116000000001</v>
          </cell>
          <cell r="K1284">
            <v>40207</v>
          </cell>
          <cell r="M1284">
            <v>19.896740000000001</v>
          </cell>
          <cell r="R1284">
            <v>40207</v>
          </cell>
          <cell r="T1284">
            <v>7.46</v>
          </cell>
          <cell r="Y1284">
            <v>40207</v>
          </cell>
          <cell r="AA1284">
            <v>125.41</v>
          </cell>
          <cell r="AF1284">
            <v>40207</v>
          </cell>
          <cell r="AH1284">
            <v>25.547509999999999</v>
          </cell>
          <cell r="AM1284">
            <v>40207</v>
          </cell>
          <cell r="AO1284">
            <v>29.349689999999999</v>
          </cell>
          <cell r="AT1284">
            <v>40207</v>
          </cell>
          <cell r="AV1284">
            <v>22.70654</v>
          </cell>
          <cell r="BA1284">
            <v>40207</v>
          </cell>
          <cell r="BC1284">
            <v>15.53495</v>
          </cell>
          <cell r="BH1284">
            <v>40207</v>
          </cell>
          <cell r="BJ1284">
            <v>13.30927</v>
          </cell>
        </row>
        <row r="1285">
          <cell r="D1285">
            <v>40206</v>
          </cell>
          <cell r="F1285">
            <v>108.90805</v>
          </cell>
          <cell r="K1285">
            <v>40206</v>
          </cell>
          <cell r="M1285">
            <v>19.941020000000002</v>
          </cell>
          <cell r="R1285">
            <v>40206</v>
          </cell>
          <cell r="T1285">
            <v>7.88</v>
          </cell>
          <cell r="Y1285">
            <v>40206</v>
          </cell>
          <cell r="AA1285">
            <v>126.03</v>
          </cell>
          <cell r="AF1285">
            <v>40206</v>
          </cell>
          <cell r="AH1285">
            <v>26.50882</v>
          </cell>
          <cell r="AM1285">
            <v>40206</v>
          </cell>
          <cell r="AO1285">
            <v>29.20768</v>
          </cell>
          <cell r="AT1285">
            <v>40206</v>
          </cell>
          <cell r="AV1285">
            <v>22.677240000000001</v>
          </cell>
          <cell r="BA1285">
            <v>40206</v>
          </cell>
          <cell r="BC1285">
            <v>16.150279999999999</v>
          </cell>
          <cell r="BH1285">
            <v>40206</v>
          </cell>
          <cell r="BJ1285">
            <v>13.375489999999999</v>
          </cell>
        </row>
        <row r="1286">
          <cell r="D1286">
            <v>40205</v>
          </cell>
          <cell r="F1286">
            <v>111.17861000000001</v>
          </cell>
          <cell r="K1286">
            <v>40205</v>
          </cell>
          <cell r="M1286">
            <v>20.49887</v>
          </cell>
          <cell r="R1286">
            <v>40205</v>
          </cell>
          <cell r="T1286">
            <v>8.19</v>
          </cell>
          <cell r="Y1286">
            <v>40205</v>
          </cell>
          <cell r="AA1286">
            <v>122.75</v>
          </cell>
          <cell r="AF1286">
            <v>40205</v>
          </cell>
          <cell r="AH1286">
            <v>27.651959999999999</v>
          </cell>
          <cell r="AM1286">
            <v>40205</v>
          </cell>
          <cell r="AO1286">
            <v>27.787680000000002</v>
          </cell>
          <cell r="AT1286">
            <v>40205</v>
          </cell>
          <cell r="AV1286">
            <v>22.815370000000001</v>
          </cell>
          <cell r="BA1286">
            <v>40205</v>
          </cell>
          <cell r="BC1286">
            <v>16.557359999999999</v>
          </cell>
          <cell r="BH1286">
            <v>40205</v>
          </cell>
          <cell r="BJ1286">
            <v>13.49137</v>
          </cell>
        </row>
        <row r="1287">
          <cell r="D1287">
            <v>40204</v>
          </cell>
          <cell r="F1287">
            <v>110.66818000000001</v>
          </cell>
          <cell r="K1287">
            <v>40204</v>
          </cell>
          <cell r="M1287">
            <v>20.2775</v>
          </cell>
          <cell r="R1287">
            <v>40204</v>
          </cell>
          <cell r="T1287">
            <v>8.09</v>
          </cell>
          <cell r="Y1287">
            <v>40204</v>
          </cell>
          <cell r="AA1287">
            <v>119.48</v>
          </cell>
          <cell r="AF1287">
            <v>40204</v>
          </cell>
          <cell r="AH1287">
            <v>27.393380000000001</v>
          </cell>
          <cell r="AM1287">
            <v>40204</v>
          </cell>
          <cell r="AO1287">
            <v>28.746179999999999</v>
          </cell>
          <cell r="AT1287">
            <v>40204</v>
          </cell>
          <cell r="AV1287">
            <v>22.660499999999999</v>
          </cell>
          <cell r="BA1287">
            <v>40204</v>
          </cell>
          <cell r="BC1287">
            <v>16.472149999999999</v>
          </cell>
          <cell r="BH1287">
            <v>40204</v>
          </cell>
          <cell r="BJ1287">
            <v>13.53275</v>
          </cell>
        </row>
        <row r="1288">
          <cell r="D1288">
            <v>40203</v>
          </cell>
          <cell r="F1288">
            <v>110.99379999999999</v>
          </cell>
          <cell r="K1288">
            <v>40203</v>
          </cell>
          <cell r="M1288">
            <v>20.357189999999999</v>
          </cell>
          <cell r="R1288">
            <v>40203</v>
          </cell>
          <cell r="T1288">
            <v>8.07</v>
          </cell>
          <cell r="Y1288">
            <v>40203</v>
          </cell>
          <cell r="AA1288">
            <v>120.31</v>
          </cell>
          <cell r="AF1288">
            <v>40203</v>
          </cell>
          <cell r="AH1288">
            <v>27.01229</v>
          </cell>
          <cell r="AM1288">
            <v>40203</v>
          </cell>
          <cell r="AO1288">
            <v>28.58643</v>
          </cell>
          <cell r="AT1288">
            <v>40203</v>
          </cell>
          <cell r="AV1288">
            <v>22.7484</v>
          </cell>
          <cell r="BA1288">
            <v>40203</v>
          </cell>
          <cell r="BC1288">
            <v>17.248429999999999</v>
          </cell>
          <cell r="BH1288">
            <v>40203</v>
          </cell>
          <cell r="BJ1288">
            <v>13.54931</v>
          </cell>
        </row>
        <row r="1289">
          <cell r="D1289">
            <v>40200</v>
          </cell>
          <cell r="F1289">
            <v>110.44816</v>
          </cell>
          <cell r="K1289">
            <v>40200</v>
          </cell>
          <cell r="M1289">
            <v>20.339479999999998</v>
          </cell>
          <cell r="R1289">
            <v>40200</v>
          </cell>
          <cell r="T1289">
            <v>7.88</v>
          </cell>
          <cell r="Y1289">
            <v>40200</v>
          </cell>
          <cell r="AA1289">
            <v>121.43</v>
          </cell>
          <cell r="AF1289">
            <v>40200</v>
          </cell>
          <cell r="AH1289">
            <v>26.303979999999999</v>
          </cell>
          <cell r="AM1289">
            <v>40200</v>
          </cell>
          <cell r="AO1289">
            <v>28.373429999999999</v>
          </cell>
          <cell r="AT1289">
            <v>40200</v>
          </cell>
          <cell r="AV1289">
            <v>22.702359999999999</v>
          </cell>
          <cell r="BA1289">
            <v>40200</v>
          </cell>
          <cell r="BC1289">
            <v>17.362030000000001</v>
          </cell>
          <cell r="BH1289">
            <v>40200</v>
          </cell>
          <cell r="BJ1289">
            <v>13.334110000000001</v>
          </cell>
        </row>
        <row r="1290">
          <cell r="D1290">
            <v>40199</v>
          </cell>
          <cell r="F1290">
            <v>113.52839</v>
          </cell>
          <cell r="K1290">
            <v>40199</v>
          </cell>
          <cell r="M1290">
            <v>21.233820000000001</v>
          </cell>
          <cell r="R1290">
            <v>40199</v>
          </cell>
          <cell r="T1290">
            <v>8.99</v>
          </cell>
          <cell r="Y1290">
            <v>40199</v>
          </cell>
          <cell r="AA1290">
            <v>126.62</v>
          </cell>
          <cell r="AF1290">
            <v>40199</v>
          </cell>
          <cell r="AH1290">
            <v>27.676970000000001</v>
          </cell>
          <cell r="AM1290">
            <v>40199</v>
          </cell>
          <cell r="AO1290">
            <v>28.426680000000001</v>
          </cell>
          <cell r="AT1290">
            <v>40199</v>
          </cell>
          <cell r="AV1290">
            <v>22.756769999999999</v>
          </cell>
          <cell r="BA1290">
            <v>40199</v>
          </cell>
          <cell r="BC1290">
            <v>18.081499999999998</v>
          </cell>
          <cell r="BH1290">
            <v>40199</v>
          </cell>
          <cell r="BJ1290">
            <v>13.25961</v>
          </cell>
        </row>
        <row r="1291">
          <cell r="D1291">
            <v>40198</v>
          </cell>
          <cell r="F1291">
            <v>114.62846999999999</v>
          </cell>
          <cell r="K1291">
            <v>40198</v>
          </cell>
          <cell r="M1291">
            <v>21.614570000000001</v>
          </cell>
          <cell r="R1291">
            <v>40198</v>
          </cell>
          <cell r="T1291">
            <v>8.8699999999999992</v>
          </cell>
          <cell r="Y1291">
            <v>40198</v>
          </cell>
          <cell r="AA1291">
            <v>125.78</v>
          </cell>
          <cell r="AF1291">
            <v>40198</v>
          </cell>
          <cell r="AH1291">
            <v>28.162880000000001</v>
          </cell>
          <cell r="AM1291">
            <v>40198</v>
          </cell>
          <cell r="AO1291">
            <v>29.12781</v>
          </cell>
          <cell r="AT1291">
            <v>40198</v>
          </cell>
          <cell r="AV1291">
            <v>23.22973</v>
          </cell>
          <cell r="BA1291">
            <v>40198</v>
          </cell>
          <cell r="BC1291">
            <v>19.103909999999999</v>
          </cell>
          <cell r="BH1291">
            <v>40198</v>
          </cell>
          <cell r="BJ1291">
            <v>13.6569</v>
          </cell>
        </row>
        <row r="1292">
          <cell r="D1292">
            <v>40197</v>
          </cell>
          <cell r="F1292">
            <v>118.05192</v>
          </cell>
          <cell r="K1292">
            <v>40197</v>
          </cell>
          <cell r="M1292">
            <v>22.004180000000002</v>
          </cell>
          <cell r="R1292">
            <v>40197</v>
          </cell>
          <cell r="T1292">
            <v>9.01</v>
          </cell>
          <cell r="Y1292">
            <v>40197</v>
          </cell>
          <cell r="AA1292">
            <v>127.61</v>
          </cell>
          <cell r="AF1292">
            <v>40197</v>
          </cell>
          <cell r="AH1292">
            <v>28.603829999999999</v>
          </cell>
          <cell r="AM1292">
            <v>40197</v>
          </cell>
          <cell r="AO1292">
            <v>29.358560000000001</v>
          </cell>
          <cell r="AT1292">
            <v>40197</v>
          </cell>
          <cell r="AV1292">
            <v>23.614799999999999</v>
          </cell>
          <cell r="BA1292">
            <v>40197</v>
          </cell>
          <cell r="BC1292">
            <v>19.548850000000002</v>
          </cell>
          <cell r="BH1292">
            <v>40197</v>
          </cell>
          <cell r="BJ1292">
            <v>13.690009999999999</v>
          </cell>
        </row>
        <row r="1293">
          <cell r="D1293">
            <v>40193</v>
          </cell>
          <cell r="F1293">
            <v>115.97497</v>
          </cell>
          <cell r="K1293">
            <v>40193</v>
          </cell>
          <cell r="M1293">
            <v>21.605720000000002</v>
          </cell>
          <cell r="R1293">
            <v>40193</v>
          </cell>
          <cell r="T1293">
            <v>8.84</v>
          </cell>
          <cell r="Y1293">
            <v>40193</v>
          </cell>
          <cell r="AA1293">
            <v>127.14</v>
          </cell>
          <cell r="AF1293">
            <v>40193</v>
          </cell>
          <cell r="AH1293">
            <v>27.392050000000001</v>
          </cell>
          <cell r="AM1293">
            <v>40193</v>
          </cell>
          <cell r="AO1293">
            <v>28.701809999999998</v>
          </cell>
          <cell r="AT1293">
            <v>40193</v>
          </cell>
          <cell r="AV1293">
            <v>23.560390000000002</v>
          </cell>
          <cell r="BA1293">
            <v>40193</v>
          </cell>
          <cell r="BC1293">
            <v>18.857780000000002</v>
          </cell>
          <cell r="BH1293">
            <v>40193</v>
          </cell>
          <cell r="BJ1293">
            <v>13.607240000000001</v>
          </cell>
        </row>
        <row r="1294">
          <cell r="D1294">
            <v>40192</v>
          </cell>
          <cell r="F1294">
            <v>116.4414</v>
          </cell>
          <cell r="K1294">
            <v>40192</v>
          </cell>
          <cell r="M1294">
            <v>22.09273</v>
          </cell>
          <cell r="R1294">
            <v>40192</v>
          </cell>
          <cell r="T1294">
            <v>9</v>
          </cell>
          <cell r="Y1294">
            <v>40192</v>
          </cell>
          <cell r="AA1294">
            <v>127.35</v>
          </cell>
          <cell r="AF1294">
            <v>40192</v>
          </cell>
          <cell r="AH1294">
            <v>27.857610000000001</v>
          </cell>
          <cell r="AM1294">
            <v>40192</v>
          </cell>
          <cell r="AO1294">
            <v>28.950310000000002</v>
          </cell>
          <cell r="AT1294">
            <v>40192</v>
          </cell>
          <cell r="AV1294">
            <v>23.91198</v>
          </cell>
          <cell r="BA1294">
            <v>40192</v>
          </cell>
          <cell r="BC1294">
            <v>19.577249999999999</v>
          </cell>
          <cell r="BH1294">
            <v>40192</v>
          </cell>
          <cell r="BJ1294">
            <v>13.82244</v>
          </cell>
        </row>
        <row r="1295">
          <cell r="D1295">
            <v>40191</v>
          </cell>
          <cell r="F1295">
            <v>114.61087000000001</v>
          </cell>
          <cell r="K1295">
            <v>40191</v>
          </cell>
          <cell r="M1295">
            <v>21.81823</v>
          </cell>
          <cell r="R1295">
            <v>40191</v>
          </cell>
          <cell r="T1295">
            <v>9.15</v>
          </cell>
          <cell r="Y1295">
            <v>40191</v>
          </cell>
          <cell r="AA1295">
            <v>129.11000000000001</v>
          </cell>
          <cell r="AF1295">
            <v>40191</v>
          </cell>
          <cell r="AH1295">
            <v>28.01989</v>
          </cell>
          <cell r="AM1295">
            <v>40191</v>
          </cell>
          <cell r="AO1295">
            <v>28.408930000000002</v>
          </cell>
          <cell r="AT1295">
            <v>40191</v>
          </cell>
          <cell r="AV1295">
            <v>23.87012</v>
          </cell>
          <cell r="BA1295">
            <v>40191</v>
          </cell>
          <cell r="BC1295">
            <v>19.870719999999999</v>
          </cell>
          <cell r="BH1295">
            <v>40191</v>
          </cell>
          <cell r="BJ1295">
            <v>13.93004</v>
          </cell>
        </row>
        <row r="1296">
          <cell r="D1296">
            <v>40190</v>
          </cell>
          <cell r="F1296">
            <v>114.85729000000001</v>
          </cell>
          <cell r="K1296">
            <v>40190</v>
          </cell>
          <cell r="M1296">
            <v>21.428619999999999</v>
          </cell>
          <cell r="R1296">
            <v>40190</v>
          </cell>
          <cell r="T1296">
            <v>8.65</v>
          </cell>
          <cell r="Y1296">
            <v>40190</v>
          </cell>
          <cell r="AA1296">
            <v>127.35</v>
          </cell>
          <cell r="AF1296">
            <v>40190</v>
          </cell>
          <cell r="AH1296">
            <v>27.63015</v>
          </cell>
          <cell r="AM1296">
            <v>40190</v>
          </cell>
          <cell r="AO1296">
            <v>28.249179999999999</v>
          </cell>
          <cell r="AT1296">
            <v>40190</v>
          </cell>
          <cell r="AV1296">
            <v>23.80734</v>
          </cell>
          <cell r="BA1296">
            <v>40190</v>
          </cell>
          <cell r="BC1296">
            <v>19.965389999999999</v>
          </cell>
          <cell r="BH1296">
            <v>40190</v>
          </cell>
          <cell r="BJ1296">
            <v>13.880380000000001</v>
          </cell>
        </row>
        <row r="1297">
          <cell r="D1297">
            <v>40189</v>
          </cell>
          <cell r="F1297">
            <v>113.95081999999999</v>
          </cell>
          <cell r="K1297">
            <v>40189</v>
          </cell>
          <cell r="M1297">
            <v>21.773959999999999</v>
          </cell>
          <cell r="R1297">
            <v>40189</v>
          </cell>
          <cell r="T1297">
            <v>9.14</v>
          </cell>
          <cell r="Y1297">
            <v>40189</v>
          </cell>
          <cell r="AA1297">
            <v>130.30799999999999</v>
          </cell>
          <cell r="AF1297">
            <v>40189</v>
          </cell>
          <cell r="AH1297">
            <v>27.948060000000002</v>
          </cell>
          <cell r="AM1297">
            <v>40189</v>
          </cell>
          <cell r="AO1297">
            <v>28.417809999999999</v>
          </cell>
          <cell r="AT1297">
            <v>40189</v>
          </cell>
          <cell r="AV1297">
            <v>23.552019999999999</v>
          </cell>
          <cell r="BA1297">
            <v>40189</v>
          </cell>
          <cell r="BC1297">
            <v>20.51446</v>
          </cell>
          <cell r="BH1297">
            <v>40189</v>
          </cell>
          <cell r="BJ1297">
            <v>13.8721</v>
          </cell>
        </row>
        <row r="1298">
          <cell r="D1298">
            <v>40186</v>
          </cell>
          <cell r="F1298">
            <v>115.15651</v>
          </cell>
          <cell r="K1298">
            <v>40186</v>
          </cell>
          <cell r="M1298">
            <v>21.835940000000001</v>
          </cell>
          <cell r="R1298">
            <v>40186</v>
          </cell>
          <cell r="T1298">
            <v>9.43</v>
          </cell>
          <cell r="Y1298">
            <v>40186</v>
          </cell>
          <cell r="AA1298">
            <v>133.52000000000001</v>
          </cell>
          <cell r="AF1298">
            <v>40186</v>
          </cell>
          <cell r="AH1298">
            <v>28.1968</v>
          </cell>
          <cell r="AM1298">
            <v>40186</v>
          </cell>
          <cell r="AO1298">
            <v>28.045059999999999</v>
          </cell>
          <cell r="AT1298">
            <v>40186</v>
          </cell>
          <cell r="AV1298">
            <v>23.08324</v>
          </cell>
          <cell r="BA1298">
            <v>40186</v>
          </cell>
          <cell r="BC1298">
            <v>20.874199999999998</v>
          </cell>
          <cell r="BH1298">
            <v>40186</v>
          </cell>
          <cell r="BJ1298">
            <v>13.73967</v>
          </cell>
        </row>
        <row r="1299">
          <cell r="D1299">
            <v>40185</v>
          </cell>
          <cell r="F1299">
            <v>114.01242000000001</v>
          </cell>
          <cell r="K1299">
            <v>40185</v>
          </cell>
          <cell r="M1299">
            <v>21.720829999999999</v>
          </cell>
          <cell r="R1299">
            <v>40185</v>
          </cell>
          <cell r="T1299">
            <v>9.4700000000000006</v>
          </cell>
          <cell r="Y1299">
            <v>40185</v>
          </cell>
          <cell r="AA1299">
            <v>130</v>
          </cell>
          <cell r="AF1299">
            <v>40185</v>
          </cell>
          <cell r="AH1299">
            <v>28.010580000000001</v>
          </cell>
          <cell r="AM1299">
            <v>40185</v>
          </cell>
          <cell r="AO1299">
            <v>28.13381</v>
          </cell>
          <cell r="AT1299">
            <v>40185</v>
          </cell>
          <cell r="AV1299">
            <v>23.518540000000002</v>
          </cell>
          <cell r="BA1299">
            <v>40185</v>
          </cell>
          <cell r="BC1299">
            <v>20.495529999999999</v>
          </cell>
          <cell r="BH1299">
            <v>40185</v>
          </cell>
          <cell r="BJ1299">
            <v>13.44998</v>
          </cell>
        </row>
        <row r="1300">
          <cell r="D1300">
            <v>40184</v>
          </cell>
          <cell r="F1300">
            <v>114.40845</v>
          </cell>
          <cell r="K1300">
            <v>40184</v>
          </cell>
          <cell r="M1300">
            <v>21.623429999999999</v>
          </cell>
          <cell r="R1300">
            <v>40184</v>
          </cell>
          <cell r="T1300">
            <v>9.57</v>
          </cell>
          <cell r="Y1300">
            <v>40184</v>
          </cell>
          <cell r="AA1300">
            <v>132.25</v>
          </cell>
          <cell r="AF1300">
            <v>40184</v>
          </cell>
          <cell r="AH1300">
            <v>28.062449999999998</v>
          </cell>
          <cell r="AM1300">
            <v>40184</v>
          </cell>
          <cell r="AO1300">
            <v>28.142679999999999</v>
          </cell>
          <cell r="AT1300">
            <v>40184</v>
          </cell>
          <cell r="AV1300">
            <v>23.57713</v>
          </cell>
          <cell r="BA1300">
            <v>40184</v>
          </cell>
          <cell r="BC1300">
            <v>20.476590000000002</v>
          </cell>
          <cell r="BH1300">
            <v>40184</v>
          </cell>
          <cell r="BJ1300">
            <v>12.78783</v>
          </cell>
        </row>
        <row r="1301">
          <cell r="D1301">
            <v>40183</v>
          </cell>
          <cell r="F1301">
            <v>115.15651</v>
          </cell>
          <cell r="K1301">
            <v>40183</v>
          </cell>
          <cell r="M1301">
            <v>21.76511</v>
          </cell>
          <cell r="R1301">
            <v>40183</v>
          </cell>
          <cell r="T1301">
            <v>9.7100000000000009</v>
          </cell>
          <cell r="Y1301">
            <v>40183</v>
          </cell>
          <cell r="AA1301">
            <v>134.69</v>
          </cell>
          <cell r="AF1301">
            <v>40183</v>
          </cell>
          <cell r="AH1301">
            <v>28.51604</v>
          </cell>
          <cell r="AM1301">
            <v>40183</v>
          </cell>
          <cell r="AO1301">
            <v>28.613060000000001</v>
          </cell>
          <cell r="AT1301">
            <v>40183</v>
          </cell>
          <cell r="AV1301">
            <v>23.5855</v>
          </cell>
          <cell r="BA1301">
            <v>40183</v>
          </cell>
          <cell r="BC1301">
            <v>19.993790000000001</v>
          </cell>
          <cell r="BH1301">
            <v>40183</v>
          </cell>
          <cell r="BJ1301">
            <v>12.854039999999999</v>
          </cell>
        </row>
        <row r="1302">
          <cell r="D1302">
            <v>40182</v>
          </cell>
          <cell r="F1302">
            <v>116.56461</v>
          </cell>
          <cell r="K1302">
            <v>40182</v>
          </cell>
          <cell r="M1302">
            <v>21.86251</v>
          </cell>
          <cell r="R1302">
            <v>40182</v>
          </cell>
          <cell r="T1302">
            <v>9.6999999999999993</v>
          </cell>
          <cell r="Y1302">
            <v>40182</v>
          </cell>
          <cell r="AA1302">
            <v>133.9</v>
          </cell>
          <cell r="AF1302">
            <v>40182</v>
          </cell>
          <cell r="AH1302">
            <v>28.466819999999998</v>
          </cell>
          <cell r="AM1302">
            <v>40182</v>
          </cell>
          <cell r="AO1302">
            <v>28.870429999999999</v>
          </cell>
          <cell r="AT1302">
            <v>40182</v>
          </cell>
          <cell r="AV1302">
            <v>23.874310000000001</v>
          </cell>
          <cell r="BA1302">
            <v>40182</v>
          </cell>
          <cell r="BC1302">
            <v>19.463650000000001</v>
          </cell>
          <cell r="BH1302">
            <v>40182</v>
          </cell>
          <cell r="BJ1302">
            <v>12.78783</v>
          </cell>
        </row>
        <row r="1303">
          <cell r="D1303">
            <v>40178</v>
          </cell>
          <cell r="F1303">
            <v>115.20050999999999</v>
          </cell>
          <cell r="K1303">
            <v>40178</v>
          </cell>
          <cell r="M1303">
            <v>21.198399999999999</v>
          </cell>
          <cell r="R1303">
            <v>40178</v>
          </cell>
          <cell r="T1303">
            <v>9.68</v>
          </cell>
          <cell r="Y1303">
            <v>40178</v>
          </cell>
          <cell r="AA1303">
            <v>134.52000000000001</v>
          </cell>
          <cell r="AF1303">
            <v>40178</v>
          </cell>
          <cell r="AH1303">
            <v>28.03079</v>
          </cell>
          <cell r="AM1303">
            <v>40178</v>
          </cell>
          <cell r="AO1303">
            <v>28.613060000000001</v>
          </cell>
          <cell r="AT1303">
            <v>40178</v>
          </cell>
          <cell r="AV1303">
            <v>23.857559999999999</v>
          </cell>
          <cell r="BA1303">
            <v>40178</v>
          </cell>
          <cell r="BC1303">
            <v>18.980840000000001</v>
          </cell>
          <cell r="BH1303">
            <v>40178</v>
          </cell>
          <cell r="BJ1303">
            <v>12.522970000000001</v>
          </cell>
        </row>
        <row r="1304">
          <cell r="D1304">
            <v>40177</v>
          </cell>
          <cell r="F1304">
            <v>116.67022</v>
          </cell>
          <cell r="K1304">
            <v>40177</v>
          </cell>
          <cell r="M1304">
            <v>21.410910000000001</v>
          </cell>
          <cell r="R1304">
            <v>40177</v>
          </cell>
          <cell r="T1304">
            <v>9.7200000000000006</v>
          </cell>
          <cell r="Y1304">
            <v>40177</v>
          </cell>
          <cell r="AA1304">
            <v>136.49</v>
          </cell>
          <cell r="AF1304">
            <v>40177</v>
          </cell>
          <cell r="AH1304">
            <v>28.15157</v>
          </cell>
          <cell r="AM1304">
            <v>40177</v>
          </cell>
          <cell r="AO1304">
            <v>28.950310000000002</v>
          </cell>
          <cell r="AT1304">
            <v>40177</v>
          </cell>
          <cell r="AV1304">
            <v>24.14218</v>
          </cell>
          <cell r="BA1304">
            <v>40177</v>
          </cell>
          <cell r="BC1304">
            <v>19.236450000000001</v>
          </cell>
          <cell r="BH1304">
            <v>40177</v>
          </cell>
          <cell r="BJ1304">
            <v>12.70506</v>
          </cell>
        </row>
        <row r="1305">
          <cell r="D1305">
            <v>40176</v>
          </cell>
          <cell r="F1305">
            <v>116.03657</v>
          </cell>
          <cell r="K1305">
            <v>40176</v>
          </cell>
          <cell r="M1305">
            <v>21.340070000000001</v>
          </cell>
          <cell r="R1305">
            <v>40176</v>
          </cell>
          <cell r="T1305">
            <v>9.75</v>
          </cell>
          <cell r="Y1305">
            <v>40176</v>
          </cell>
          <cell r="AA1305">
            <v>139.41</v>
          </cell>
          <cell r="AF1305">
            <v>40176</v>
          </cell>
          <cell r="AH1305">
            <v>27.81371</v>
          </cell>
          <cell r="AM1305">
            <v>40176</v>
          </cell>
          <cell r="AO1305">
            <v>29.243179999999999</v>
          </cell>
          <cell r="AT1305">
            <v>40176</v>
          </cell>
          <cell r="AV1305">
            <v>24.167290000000001</v>
          </cell>
          <cell r="BA1305">
            <v>40176</v>
          </cell>
          <cell r="BC1305">
            <v>19.141780000000001</v>
          </cell>
          <cell r="BH1305">
            <v>40176</v>
          </cell>
          <cell r="BJ1305">
            <v>12.77955</v>
          </cell>
        </row>
        <row r="1306">
          <cell r="D1306">
            <v>40175</v>
          </cell>
          <cell r="F1306">
            <v>116.4414</v>
          </cell>
          <cell r="K1306">
            <v>40175</v>
          </cell>
          <cell r="M1306">
            <v>21.322369999999999</v>
          </cell>
          <cell r="R1306">
            <v>40175</v>
          </cell>
          <cell r="T1306">
            <v>9.83</v>
          </cell>
          <cell r="Y1306">
            <v>40175</v>
          </cell>
          <cell r="AA1306">
            <v>139.31</v>
          </cell>
          <cell r="AF1306">
            <v>40175</v>
          </cell>
          <cell r="AH1306">
            <v>28.147580000000001</v>
          </cell>
          <cell r="AM1306">
            <v>40175</v>
          </cell>
          <cell r="AO1306">
            <v>28.84825</v>
          </cell>
          <cell r="AT1306">
            <v>40175</v>
          </cell>
          <cell r="AV1306">
            <v>24.041730000000001</v>
          </cell>
          <cell r="BA1306">
            <v>40175</v>
          </cell>
          <cell r="BC1306">
            <v>19.29325</v>
          </cell>
          <cell r="BH1306">
            <v>40175</v>
          </cell>
          <cell r="BJ1306">
            <v>12.69678</v>
          </cell>
        </row>
        <row r="1307">
          <cell r="D1307">
            <v>40171</v>
          </cell>
          <cell r="F1307">
            <v>114.91009</v>
          </cell>
          <cell r="K1307">
            <v>40171</v>
          </cell>
          <cell r="M1307">
            <v>21.21611</v>
          </cell>
          <cell r="R1307">
            <v>40171</v>
          </cell>
          <cell r="T1307">
            <v>9.91</v>
          </cell>
          <cell r="Y1307">
            <v>40171</v>
          </cell>
          <cell r="AA1307">
            <v>138.47</v>
          </cell>
          <cell r="AF1307">
            <v>40171</v>
          </cell>
          <cell r="AH1307">
            <v>27.805730000000001</v>
          </cell>
          <cell r="AM1307">
            <v>40171</v>
          </cell>
          <cell r="AO1307">
            <v>28.777629999999998</v>
          </cell>
          <cell r="AT1307">
            <v>40171</v>
          </cell>
          <cell r="AV1307">
            <v>24.041730000000001</v>
          </cell>
          <cell r="BA1307">
            <v>40171</v>
          </cell>
          <cell r="BC1307">
            <v>19.331040000000002</v>
          </cell>
          <cell r="BH1307">
            <v>40171</v>
          </cell>
          <cell r="BJ1307">
            <v>12.77955</v>
          </cell>
        </row>
        <row r="1308">
          <cell r="D1308">
            <v>40170</v>
          </cell>
          <cell r="F1308">
            <v>114.40845</v>
          </cell>
          <cell r="K1308">
            <v>40170</v>
          </cell>
          <cell r="M1308">
            <v>21.056719999999999</v>
          </cell>
          <cell r="R1308">
            <v>40170</v>
          </cell>
          <cell r="T1308">
            <v>9.67</v>
          </cell>
          <cell r="Y1308">
            <v>40170</v>
          </cell>
          <cell r="AA1308">
            <v>138.94</v>
          </cell>
          <cell r="AF1308">
            <v>40170</v>
          </cell>
          <cell r="AH1308">
            <v>26.8826</v>
          </cell>
          <cell r="AM1308">
            <v>40170</v>
          </cell>
          <cell r="AO1308">
            <v>28.812940000000001</v>
          </cell>
          <cell r="AT1308">
            <v>40170</v>
          </cell>
          <cell r="AV1308">
            <v>23.978940000000001</v>
          </cell>
          <cell r="BA1308">
            <v>40170</v>
          </cell>
          <cell r="BC1308">
            <v>19.123180000000001</v>
          </cell>
          <cell r="BH1308">
            <v>40170</v>
          </cell>
          <cell r="BJ1308">
            <v>12.754720000000001</v>
          </cell>
        </row>
        <row r="1309">
          <cell r="D1309">
            <v>40169</v>
          </cell>
          <cell r="F1309">
            <v>114.34685</v>
          </cell>
          <cell r="K1309">
            <v>40169</v>
          </cell>
          <cell r="M1309">
            <v>21.030159999999999</v>
          </cell>
          <cell r="R1309">
            <v>40169</v>
          </cell>
          <cell r="T1309">
            <v>9.43</v>
          </cell>
          <cell r="Y1309">
            <v>40169</v>
          </cell>
          <cell r="AA1309">
            <v>133.75</v>
          </cell>
          <cell r="AF1309">
            <v>40169</v>
          </cell>
          <cell r="AH1309">
            <v>26.651150000000001</v>
          </cell>
          <cell r="AM1309">
            <v>40169</v>
          </cell>
          <cell r="AO1309">
            <v>28.8659</v>
          </cell>
          <cell r="AT1309">
            <v>40169</v>
          </cell>
          <cell r="AV1309">
            <v>23.970569999999999</v>
          </cell>
          <cell r="BA1309">
            <v>40169</v>
          </cell>
          <cell r="BC1309">
            <v>18.981459999999998</v>
          </cell>
          <cell r="BH1309">
            <v>40169</v>
          </cell>
          <cell r="BJ1309">
            <v>12.729889999999999</v>
          </cell>
        </row>
        <row r="1310">
          <cell r="D1310">
            <v>40168</v>
          </cell>
          <cell r="F1310">
            <v>113.22036</v>
          </cell>
          <cell r="K1310">
            <v>40168</v>
          </cell>
          <cell r="M1310">
            <v>20.932749999999999</v>
          </cell>
          <cell r="R1310">
            <v>40168</v>
          </cell>
          <cell r="T1310">
            <v>9.5299999999999994</v>
          </cell>
          <cell r="Y1310">
            <v>40168</v>
          </cell>
          <cell r="AA1310">
            <v>132.79</v>
          </cell>
          <cell r="AF1310">
            <v>40168</v>
          </cell>
          <cell r="AH1310">
            <v>26.367819999999998</v>
          </cell>
          <cell r="AM1310">
            <v>40168</v>
          </cell>
          <cell r="AO1310">
            <v>28.574590000000001</v>
          </cell>
          <cell r="AT1310">
            <v>40168</v>
          </cell>
          <cell r="AV1310">
            <v>23.9329</v>
          </cell>
          <cell r="BA1310">
            <v>40168</v>
          </cell>
          <cell r="BC1310">
            <v>18.82084</v>
          </cell>
          <cell r="BH1310">
            <v>40168</v>
          </cell>
          <cell r="BJ1310">
            <v>12.803900000000001</v>
          </cell>
        </row>
        <row r="1311">
          <cell r="D1311">
            <v>40165</v>
          </cell>
          <cell r="F1311">
            <v>112.56912</v>
          </cell>
          <cell r="K1311">
            <v>40165</v>
          </cell>
          <cell r="M1311">
            <v>20.658249999999999</v>
          </cell>
          <cell r="R1311">
            <v>40165</v>
          </cell>
          <cell r="T1311">
            <v>9.0500000000000007</v>
          </cell>
          <cell r="Y1311">
            <v>40165</v>
          </cell>
          <cell r="AA1311">
            <v>128.47999999999999</v>
          </cell>
          <cell r="AF1311">
            <v>40165</v>
          </cell>
          <cell r="AH1311">
            <v>25.995380000000001</v>
          </cell>
          <cell r="AM1311">
            <v>40165</v>
          </cell>
          <cell r="AO1311">
            <v>28.371559999999999</v>
          </cell>
          <cell r="AT1311">
            <v>40165</v>
          </cell>
          <cell r="AV1311">
            <v>23.824079999999999</v>
          </cell>
          <cell r="BA1311">
            <v>40165</v>
          </cell>
          <cell r="BC1311">
            <v>18.34843</v>
          </cell>
          <cell r="BH1311">
            <v>40165</v>
          </cell>
          <cell r="BJ1311">
            <v>12.820349999999999</v>
          </cell>
        </row>
        <row r="1312">
          <cell r="D1312">
            <v>40164</v>
          </cell>
          <cell r="F1312">
            <v>112.12027999999999</v>
          </cell>
          <cell r="K1312">
            <v>40164</v>
          </cell>
          <cell r="M1312">
            <v>20.52543</v>
          </cell>
          <cell r="R1312">
            <v>40164</v>
          </cell>
          <cell r="T1312">
            <v>9.1199999999999992</v>
          </cell>
          <cell r="Y1312">
            <v>40164</v>
          </cell>
          <cell r="AA1312">
            <v>126.91</v>
          </cell>
          <cell r="AF1312">
            <v>40164</v>
          </cell>
          <cell r="AH1312">
            <v>25.520510000000002</v>
          </cell>
          <cell r="AM1312">
            <v>40164</v>
          </cell>
          <cell r="AO1312">
            <v>28.168530000000001</v>
          </cell>
          <cell r="AT1312">
            <v>40164</v>
          </cell>
          <cell r="AV1312">
            <v>23.84919</v>
          </cell>
          <cell r="BA1312">
            <v>40164</v>
          </cell>
          <cell r="BC1312">
            <v>18.37677</v>
          </cell>
          <cell r="BH1312">
            <v>40164</v>
          </cell>
          <cell r="BJ1312">
            <v>12.984819999999999</v>
          </cell>
        </row>
        <row r="1313">
          <cell r="D1313">
            <v>40163</v>
          </cell>
          <cell r="F1313">
            <v>113.27316999999999</v>
          </cell>
          <cell r="K1313">
            <v>40163</v>
          </cell>
          <cell r="M1313">
            <v>20.764510000000001</v>
          </cell>
          <cell r="R1313">
            <v>40163</v>
          </cell>
          <cell r="T1313">
            <v>9.15</v>
          </cell>
          <cell r="Y1313">
            <v>40163</v>
          </cell>
          <cell r="AA1313">
            <v>128.36000000000001</v>
          </cell>
          <cell r="AF1313">
            <v>40163</v>
          </cell>
          <cell r="AH1313">
            <v>25.942170000000001</v>
          </cell>
          <cell r="AM1313">
            <v>40163</v>
          </cell>
          <cell r="AO1313">
            <v>28.751139999999999</v>
          </cell>
          <cell r="AT1313">
            <v>40163</v>
          </cell>
          <cell r="AV1313">
            <v>24.451910000000002</v>
          </cell>
          <cell r="BA1313">
            <v>40163</v>
          </cell>
          <cell r="BC1313">
            <v>18.527940000000001</v>
          </cell>
          <cell r="BH1313">
            <v>40163</v>
          </cell>
          <cell r="BJ1313">
            <v>12.90258</v>
          </cell>
        </row>
        <row r="1314">
          <cell r="D1314">
            <v>40162</v>
          </cell>
          <cell r="F1314">
            <v>113.07955</v>
          </cell>
          <cell r="K1314">
            <v>40162</v>
          </cell>
          <cell r="M1314">
            <v>20.791080000000001</v>
          </cell>
          <cell r="R1314">
            <v>40162</v>
          </cell>
          <cell r="T1314">
            <v>8.82</v>
          </cell>
          <cell r="Y1314">
            <v>40162</v>
          </cell>
          <cell r="AA1314">
            <v>130.22999999999999</v>
          </cell>
          <cell r="AF1314">
            <v>40162</v>
          </cell>
          <cell r="AH1314">
            <v>25.827780000000001</v>
          </cell>
          <cell r="AM1314">
            <v>40162</v>
          </cell>
          <cell r="AO1314">
            <v>29.068930000000002</v>
          </cell>
          <cell r="AT1314">
            <v>40162</v>
          </cell>
          <cell r="AV1314">
            <v>24.71978</v>
          </cell>
          <cell r="BA1314">
            <v>40162</v>
          </cell>
          <cell r="BC1314">
            <v>18.64132</v>
          </cell>
          <cell r="BH1314">
            <v>40162</v>
          </cell>
          <cell r="BJ1314">
            <v>12.951919999999999</v>
          </cell>
        </row>
        <row r="1315">
          <cell r="D1315">
            <v>40161</v>
          </cell>
          <cell r="F1315">
            <v>114.34685</v>
          </cell>
          <cell r="K1315">
            <v>40161</v>
          </cell>
          <cell r="M1315">
            <v>21.109850000000002</v>
          </cell>
          <cell r="R1315">
            <v>40161</v>
          </cell>
          <cell r="T1315">
            <v>8.68</v>
          </cell>
          <cell r="Y1315">
            <v>40161</v>
          </cell>
          <cell r="AA1315">
            <v>131.38</v>
          </cell>
          <cell r="AF1315">
            <v>40161</v>
          </cell>
          <cell r="AH1315">
            <v>26.201550000000001</v>
          </cell>
          <cell r="AM1315">
            <v>40161</v>
          </cell>
          <cell r="AO1315">
            <v>28.8659</v>
          </cell>
          <cell r="AT1315">
            <v>40161</v>
          </cell>
          <cell r="AV1315">
            <v>24.711410000000001</v>
          </cell>
          <cell r="BA1315">
            <v>40161</v>
          </cell>
          <cell r="BC1315">
            <v>18.792490000000001</v>
          </cell>
          <cell r="BH1315">
            <v>40161</v>
          </cell>
          <cell r="BJ1315">
            <v>13.116390000000001</v>
          </cell>
        </row>
        <row r="1316">
          <cell r="D1316">
            <v>40158</v>
          </cell>
          <cell r="F1316">
            <v>114.12683</v>
          </cell>
          <cell r="K1316">
            <v>40158</v>
          </cell>
          <cell r="M1316">
            <v>21.046099999999999</v>
          </cell>
          <cell r="R1316">
            <v>40158</v>
          </cell>
          <cell r="T1316">
            <v>8.64</v>
          </cell>
          <cell r="Y1316">
            <v>40158</v>
          </cell>
          <cell r="AA1316">
            <v>134.15</v>
          </cell>
          <cell r="AF1316">
            <v>40158</v>
          </cell>
          <cell r="AH1316">
            <v>25.894290000000002</v>
          </cell>
          <cell r="AM1316">
            <v>40158</v>
          </cell>
          <cell r="AO1316">
            <v>28.424530000000001</v>
          </cell>
          <cell r="AT1316">
            <v>40158</v>
          </cell>
          <cell r="AV1316">
            <v>24.74071</v>
          </cell>
          <cell r="BA1316">
            <v>40158</v>
          </cell>
          <cell r="BC1316">
            <v>18.424009999999999</v>
          </cell>
          <cell r="BH1316">
            <v>40158</v>
          </cell>
          <cell r="BJ1316">
            <v>13.09172</v>
          </cell>
        </row>
        <row r="1317">
          <cell r="D1317">
            <v>40157</v>
          </cell>
          <cell r="F1317">
            <v>113.82761000000001</v>
          </cell>
          <cell r="K1317">
            <v>40157</v>
          </cell>
          <cell r="M1317">
            <v>21.198399999999999</v>
          </cell>
          <cell r="R1317">
            <v>40157</v>
          </cell>
          <cell r="T1317">
            <v>8.58</v>
          </cell>
          <cell r="Y1317">
            <v>40157</v>
          </cell>
          <cell r="AA1317">
            <v>135.38</v>
          </cell>
          <cell r="AF1317">
            <v>40157</v>
          </cell>
          <cell r="AH1317">
            <v>26.12839</v>
          </cell>
          <cell r="AM1317">
            <v>40157</v>
          </cell>
          <cell r="AO1317">
            <v>28.512799999999999</v>
          </cell>
          <cell r="AT1317">
            <v>40157</v>
          </cell>
          <cell r="AV1317">
            <v>24.518879999999999</v>
          </cell>
          <cell r="BA1317">
            <v>40157</v>
          </cell>
          <cell r="BC1317">
            <v>18.34843</v>
          </cell>
          <cell r="BH1317">
            <v>40157</v>
          </cell>
          <cell r="BJ1317">
            <v>12.8368</v>
          </cell>
        </row>
        <row r="1318">
          <cell r="D1318">
            <v>40156</v>
          </cell>
          <cell r="F1318">
            <v>112.99155</v>
          </cell>
          <cell r="K1318">
            <v>40156</v>
          </cell>
          <cell r="M1318">
            <v>21.127559999999999</v>
          </cell>
          <cell r="R1318">
            <v>40156</v>
          </cell>
          <cell r="T1318">
            <v>8.7100000000000009</v>
          </cell>
          <cell r="Y1318">
            <v>40156</v>
          </cell>
          <cell r="AA1318">
            <v>131.31</v>
          </cell>
          <cell r="AF1318">
            <v>40156</v>
          </cell>
          <cell r="AH1318">
            <v>26.31063</v>
          </cell>
          <cell r="AM1318">
            <v>40156</v>
          </cell>
          <cell r="AO1318">
            <v>28.071429999999999</v>
          </cell>
          <cell r="AT1318">
            <v>40156</v>
          </cell>
          <cell r="AV1318">
            <v>24.20496</v>
          </cell>
          <cell r="BA1318">
            <v>40156</v>
          </cell>
          <cell r="BC1318">
            <v>18.338979999999999</v>
          </cell>
          <cell r="BH1318">
            <v>40156</v>
          </cell>
          <cell r="BJ1318">
            <v>12.87791</v>
          </cell>
        </row>
        <row r="1319">
          <cell r="D1319">
            <v>40155</v>
          </cell>
          <cell r="F1319">
            <v>111.59224</v>
          </cell>
          <cell r="K1319">
            <v>40155</v>
          </cell>
          <cell r="M1319">
            <v>21.083290000000002</v>
          </cell>
          <cell r="R1319">
            <v>40155</v>
          </cell>
          <cell r="T1319">
            <v>8.67</v>
          </cell>
          <cell r="Y1319">
            <v>40155</v>
          </cell>
          <cell r="AA1319">
            <v>134.11000000000001</v>
          </cell>
          <cell r="AF1319">
            <v>40155</v>
          </cell>
          <cell r="AH1319">
            <v>25.25581</v>
          </cell>
          <cell r="AM1319">
            <v>40155</v>
          </cell>
          <cell r="AO1319">
            <v>28.124390000000002</v>
          </cell>
          <cell r="AT1319">
            <v>40155</v>
          </cell>
          <cell r="AV1319">
            <v>24.14218</v>
          </cell>
          <cell r="BA1319">
            <v>40155</v>
          </cell>
          <cell r="BC1319">
            <v>18.206700000000001</v>
          </cell>
          <cell r="BH1319">
            <v>40155</v>
          </cell>
          <cell r="BJ1319">
            <v>12.927250000000001</v>
          </cell>
        </row>
        <row r="1320">
          <cell r="D1320">
            <v>40154</v>
          </cell>
          <cell r="F1320">
            <v>111.80346</v>
          </cell>
          <cell r="K1320">
            <v>40154</v>
          </cell>
          <cell r="M1320">
            <v>21.437480000000001</v>
          </cell>
          <cell r="R1320">
            <v>40154</v>
          </cell>
          <cell r="T1320">
            <v>8.52</v>
          </cell>
          <cell r="Y1320">
            <v>40154</v>
          </cell>
          <cell r="AA1320">
            <v>134.21</v>
          </cell>
          <cell r="AF1320">
            <v>40154</v>
          </cell>
          <cell r="AH1320">
            <v>25.133430000000001</v>
          </cell>
          <cell r="AM1320">
            <v>40154</v>
          </cell>
          <cell r="AO1320">
            <v>28.662870000000002</v>
          </cell>
          <cell r="AT1320">
            <v>40154</v>
          </cell>
          <cell r="AV1320">
            <v>24.221710000000002</v>
          </cell>
          <cell r="BA1320">
            <v>40154</v>
          </cell>
          <cell r="BC1320">
            <v>18.716909999999999</v>
          </cell>
          <cell r="BH1320">
            <v>40154</v>
          </cell>
          <cell r="BJ1320">
            <v>13.2233</v>
          </cell>
        </row>
        <row r="1321">
          <cell r="D1321">
            <v>40151</v>
          </cell>
          <cell r="F1321">
            <v>111.98827</v>
          </cell>
          <cell r="K1321">
            <v>40151</v>
          </cell>
          <cell r="M1321">
            <v>21.3932</v>
          </cell>
          <cell r="R1321">
            <v>40151</v>
          </cell>
          <cell r="T1321">
            <v>7.86</v>
          </cell>
          <cell r="Y1321">
            <v>40151</v>
          </cell>
          <cell r="AA1321">
            <v>137.58000000000001</v>
          </cell>
          <cell r="AF1321">
            <v>40151</v>
          </cell>
          <cell r="AH1321">
            <v>25.71471</v>
          </cell>
          <cell r="AM1321">
            <v>40151</v>
          </cell>
          <cell r="AO1321">
            <v>28.371559999999999</v>
          </cell>
          <cell r="AT1321">
            <v>40151</v>
          </cell>
          <cell r="AV1321">
            <v>24.062660000000001</v>
          </cell>
          <cell r="BA1321">
            <v>40151</v>
          </cell>
          <cell r="BC1321">
            <v>18.452359999999999</v>
          </cell>
          <cell r="BH1321">
            <v>40151</v>
          </cell>
          <cell r="BJ1321">
            <v>13.32198</v>
          </cell>
        </row>
        <row r="1322">
          <cell r="D1322">
            <v>40150</v>
          </cell>
          <cell r="F1322">
            <v>112.25229</v>
          </cell>
          <cell r="K1322">
            <v>40150</v>
          </cell>
          <cell r="M1322">
            <v>21.100999999999999</v>
          </cell>
          <cell r="R1322">
            <v>40150</v>
          </cell>
          <cell r="T1322">
            <v>8.0299999999999994</v>
          </cell>
          <cell r="Y1322">
            <v>40150</v>
          </cell>
          <cell r="AA1322">
            <v>141.16999999999999</v>
          </cell>
          <cell r="AF1322">
            <v>40150</v>
          </cell>
          <cell r="AH1322">
            <v>26.13505</v>
          </cell>
          <cell r="AM1322">
            <v>40150</v>
          </cell>
          <cell r="AO1322">
            <v>28.486319999999999</v>
          </cell>
          <cell r="AT1322">
            <v>40150</v>
          </cell>
          <cell r="AV1322">
            <v>23.970569999999999</v>
          </cell>
          <cell r="BA1322">
            <v>40150</v>
          </cell>
          <cell r="BC1322">
            <v>18.01774</v>
          </cell>
          <cell r="BH1322">
            <v>40150</v>
          </cell>
          <cell r="BJ1322">
            <v>13.15751</v>
          </cell>
        </row>
        <row r="1323">
          <cell r="D1323">
            <v>40149</v>
          </cell>
          <cell r="F1323">
            <v>111.95307</v>
          </cell>
          <cell r="K1323">
            <v>40149</v>
          </cell>
          <cell r="M1323">
            <v>21.136410000000001</v>
          </cell>
          <cell r="R1323">
            <v>40149</v>
          </cell>
          <cell r="T1323">
            <v>7.3</v>
          </cell>
          <cell r="Y1323">
            <v>40149</v>
          </cell>
          <cell r="AA1323">
            <v>142.25</v>
          </cell>
          <cell r="AF1323">
            <v>40149</v>
          </cell>
          <cell r="AH1323">
            <v>26.101790000000001</v>
          </cell>
          <cell r="AM1323">
            <v>40149</v>
          </cell>
          <cell r="AO1323">
            <v>29.077760000000001</v>
          </cell>
          <cell r="AT1323">
            <v>40149</v>
          </cell>
          <cell r="AV1323">
            <v>24.25938</v>
          </cell>
          <cell r="BA1323">
            <v>40149</v>
          </cell>
          <cell r="BC1323">
            <v>18.584630000000001</v>
          </cell>
          <cell r="BH1323">
            <v>40149</v>
          </cell>
          <cell r="BJ1323">
            <v>13.215070000000001</v>
          </cell>
        </row>
        <row r="1324">
          <cell r="D1324">
            <v>40148</v>
          </cell>
          <cell r="F1324">
            <v>112.59551999999999</v>
          </cell>
          <cell r="K1324">
            <v>40148</v>
          </cell>
          <cell r="M1324">
            <v>21.180689999999998</v>
          </cell>
          <cell r="R1324">
            <v>40148</v>
          </cell>
          <cell r="T1324">
            <v>7.2</v>
          </cell>
          <cell r="Y1324">
            <v>40148</v>
          </cell>
          <cell r="AA1324">
            <v>138.5</v>
          </cell>
          <cell r="AF1324">
            <v>40148</v>
          </cell>
          <cell r="AH1324">
            <v>26.200220000000002</v>
          </cell>
          <cell r="AM1324">
            <v>40148</v>
          </cell>
          <cell r="AO1324">
            <v>28.654039999999998</v>
          </cell>
          <cell r="AT1324">
            <v>40148</v>
          </cell>
          <cell r="AV1324">
            <v>24.3096</v>
          </cell>
          <cell r="BA1324">
            <v>40148</v>
          </cell>
          <cell r="BC1324">
            <v>18.31063</v>
          </cell>
          <cell r="BH1324">
            <v>40148</v>
          </cell>
          <cell r="BJ1324">
            <v>13.29731</v>
          </cell>
        </row>
        <row r="1325">
          <cell r="D1325">
            <v>40147</v>
          </cell>
          <cell r="F1325">
            <v>111.19622</v>
          </cell>
          <cell r="K1325">
            <v>40147</v>
          </cell>
          <cell r="M1325">
            <v>20.72024</v>
          </cell>
          <cell r="R1325">
            <v>40147</v>
          </cell>
          <cell r="T1325">
            <v>7.01</v>
          </cell>
          <cell r="Y1325">
            <v>40147</v>
          </cell>
          <cell r="AA1325">
            <v>135.91</v>
          </cell>
          <cell r="AF1325">
            <v>40147</v>
          </cell>
          <cell r="AH1325">
            <v>26.591290000000001</v>
          </cell>
          <cell r="AM1325">
            <v>40147</v>
          </cell>
          <cell r="AO1325">
            <v>28.45101</v>
          </cell>
          <cell r="AT1325">
            <v>40147</v>
          </cell>
          <cell r="AV1325">
            <v>23.941269999999999</v>
          </cell>
          <cell r="BA1325">
            <v>40147</v>
          </cell>
          <cell r="BC1325">
            <v>18.07443</v>
          </cell>
          <cell r="BH1325">
            <v>40147</v>
          </cell>
          <cell r="BJ1325">
            <v>13.173959999999999</v>
          </cell>
        </row>
        <row r="1326">
          <cell r="D1326">
            <v>40144</v>
          </cell>
          <cell r="F1326">
            <v>110.62417000000001</v>
          </cell>
          <cell r="K1326">
            <v>40144</v>
          </cell>
          <cell r="M1326">
            <v>20.702529999999999</v>
          </cell>
          <cell r="R1326">
            <v>40144</v>
          </cell>
          <cell r="T1326">
            <v>6.85</v>
          </cell>
          <cell r="Y1326">
            <v>40144</v>
          </cell>
          <cell r="AA1326">
            <v>131.74</v>
          </cell>
          <cell r="AF1326">
            <v>40144</v>
          </cell>
          <cell r="AH1326">
            <v>26.681740000000001</v>
          </cell>
          <cell r="AM1326">
            <v>40144</v>
          </cell>
          <cell r="AO1326">
            <v>28.274460000000001</v>
          </cell>
          <cell r="AT1326">
            <v>40144</v>
          </cell>
          <cell r="AV1326">
            <v>23.9329</v>
          </cell>
          <cell r="BA1326">
            <v>40144</v>
          </cell>
          <cell r="BC1326">
            <v>17.979949999999999</v>
          </cell>
          <cell r="BH1326">
            <v>40144</v>
          </cell>
          <cell r="BJ1326">
            <v>13.108169999999999</v>
          </cell>
        </row>
        <row r="1327">
          <cell r="D1327">
            <v>40142</v>
          </cell>
          <cell r="F1327">
            <v>112.01468</v>
          </cell>
          <cell r="K1327">
            <v>40142</v>
          </cell>
          <cell r="M1327">
            <v>21.0213</v>
          </cell>
          <cell r="R1327">
            <v>40142</v>
          </cell>
          <cell r="T1327">
            <v>7.11</v>
          </cell>
          <cell r="Y1327">
            <v>40142</v>
          </cell>
          <cell r="AA1327">
            <v>134.03</v>
          </cell>
          <cell r="AF1327">
            <v>40142</v>
          </cell>
          <cell r="AH1327">
            <v>27.160599999999999</v>
          </cell>
          <cell r="AM1327">
            <v>40142</v>
          </cell>
          <cell r="AO1327">
            <v>28.671700000000001</v>
          </cell>
          <cell r="AT1327">
            <v>40142</v>
          </cell>
          <cell r="AV1327">
            <v>24.150549999999999</v>
          </cell>
          <cell r="BA1327">
            <v>40142</v>
          </cell>
          <cell r="BC1327">
            <v>18.72635</v>
          </cell>
          <cell r="BH1327">
            <v>40142</v>
          </cell>
          <cell r="BJ1327">
            <v>13.305529999999999</v>
          </cell>
        </row>
        <row r="1328">
          <cell r="D1328">
            <v>40141</v>
          </cell>
          <cell r="F1328">
            <v>112.58672</v>
          </cell>
          <cell r="K1328">
            <v>40141</v>
          </cell>
          <cell r="M1328">
            <v>21.0213</v>
          </cell>
          <cell r="R1328">
            <v>40141</v>
          </cell>
          <cell r="T1328">
            <v>6.95</v>
          </cell>
          <cell r="Y1328">
            <v>40141</v>
          </cell>
          <cell r="AA1328">
            <v>132.94</v>
          </cell>
          <cell r="AF1328">
            <v>40141</v>
          </cell>
          <cell r="AH1328">
            <v>27.193860000000001</v>
          </cell>
          <cell r="AM1328">
            <v>40141</v>
          </cell>
          <cell r="AO1328">
            <v>28.521629999999998</v>
          </cell>
          <cell r="AT1328">
            <v>40141</v>
          </cell>
          <cell r="AV1328">
            <v>24.183800000000002</v>
          </cell>
          <cell r="BA1328">
            <v>40141</v>
          </cell>
          <cell r="BC1328">
            <v>18.886970000000002</v>
          </cell>
          <cell r="BH1328">
            <v>40141</v>
          </cell>
          <cell r="BJ1328">
            <v>13.25619</v>
          </cell>
        </row>
        <row r="1329">
          <cell r="D1329">
            <v>40140</v>
          </cell>
          <cell r="F1329">
            <v>112.82434000000001</v>
          </cell>
          <cell r="K1329">
            <v>40140</v>
          </cell>
          <cell r="M1329">
            <v>21.162980000000001</v>
          </cell>
          <cell r="R1329">
            <v>40140</v>
          </cell>
          <cell r="T1329">
            <v>7</v>
          </cell>
          <cell r="Y1329">
            <v>40140</v>
          </cell>
          <cell r="AA1329">
            <v>133</v>
          </cell>
          <cell r="AF1329">
            <v>40140</v>
          </cell>
          <cell r="AH1329">
            <v>27.385400000000001</v>
          </cell>
          <cell r="AM1329">
            <v>40140</v>
          </cell>
          <cell r="AO1329">
            <v>28.45101</v>
          </cell>
          <cell r="AT1329">
            <v>40140</v>
          </cell>
          <cell r="AV1329">
            <v>24.20458</v>
          </cell>
          <cell r="BA1329">
            <v>40140</v>
          </cell>
          <cell r="BC1329">
            <v>19.094840000000001</v>
          </cell>
          <cell r="BH1329">
            <v>40140</v>
          </cell>
          <cell r="BJ1329">
            <v>13.173959999999999</v>
          </cell>
        </row>
        <row r="1330">
          <cell r="D1330">
            <v>40137</v>
          </cell>
          <cell r="F1330">
            <v>111.73305000000001</v>
          </cell>
          <cell r="K1330">
            <v>40137</v>
          </cell>
          <cell r="M1330">
            <v>20.77337</v>
          </cell>
          <cell r="R1330">
            <v>40137</v>
          </cell>
          <cell r="T1330">
            <v>6.95</v>
          </cell>
          <cell r="Y1330">
            <v>40137</v>
          </cell>
          <cell r="AA1330">
            <v>129.66</v>
          </cell>
          <cell r="AF1330">
            <v>40137</v>
          </cell>
          <cell r="AH1330">
            <v>26.59262</v>
          </cell>
          <cell r="AM1330">
            <v>40137</v>
          </cell>
          <cell r="AO1330">
            <v>28.04494</v>
          </cell>
          <cell r="AT1330">
            <v>40137</v>
          </cell>
          <cell r="AV1330">
            <v>23.888719999999999</v>
          </cell>
          <cell r="BA1330">
            <v>40137</v>
          </cell>
          <cell r="BC1330">
            <v>18.811389999999999</v>
          </cell>
          <cell r="BH1330">
            <v>40137</v>
          </cell>
          <cell r="BJ1330">
            <v>12.820349999999999</v>
          </cell>
        </row>
        <row r="1331">
          <cell r="D1331">
            <v>40136</v>
          </cell>
          <cell r="F1331">
            <v>112.24348999999999</v>
          </cell>
          <cell r="K1331">
            <v>40136</v>
          </cell>
          <cell r="M1331">
            <v>20.968170000000001</v>
          </cell>
          <cell r="R1331">
            <v>40136</v>
          </cell>
          <cell r="T1331">
            <v>7.05</v>
          </cell>
          <cell r="Y1331">
            <v>40136</v>
          </cell>
          <cell r="AA1331">
            <v>128.99</v>
          </cell>
          <cell r="AF1331">
            <v>40136</v>
          </cell>
          <cell r="AH1331">
            <v>26.671099999999999</v>
          </cell>
          <cell r="AM1331">
            <v>40136</v>
          </cell>
          <cell r="AO1331">
            <v>27.886050000000001</v>
          </cell>
          <cell r="AT1331">
            <v>40136</v>
          </cell>
          <cell r="AV1331">
            <v>23.63936</v>
          </cell>
          <cell r="BA1331">
            <v>40136</v>
          </cell>
          <cell r="BC1331">
            <v>18.830290000000002</v>
          </cell>
          <cell r="BH1331">
            <v>40136</v>
          </cell>
          <cell r="BJ1331">
            <v>12.960150000000001</v>
          </cell>
        </row>
        <row r="1332">
          <cell r="D1332">
            <v>40135</v>
          </cell>
          <cell r="F1332">
            <v>112.78033000000001</v>
          </cell>
          <cell r="K1332">
            <v>40135</v>
          </cell>
          <cell r="M1332">
            <v>21.251529999999999</v>
          </cell>
          <cell r="R1332">
            <v>40135</v>
          </cell>
          <cell r="T1332">
            <v>7.32</v>
          </cell>
          <cell r="Y1332">
            <v>40135</v>
          </cell>
          <cell r="AA1332">
            <v>131.29</v>
          </cell>
          <cell r="AF1332">
            <v>40135</v>
          </cell>
          <cell r="AH1332">
            <v>27.396039999999999</v>
          </cell>
          <cell r="AM1332">
            <v>40135</v>
          </cell>
          <cell r="AO1332">
            <v>27.886050000000001</v>
          </cell>
          <cell r="AT1332">
            <v>40135</v>
          </cell>
          <cell r="AV1332">
            <v>23.514679999999998</v>
          </cell>
          <cell r="BA1332">
            <v>40135</v>
          </cell>
          <cell r="BC1332">
            <v>19.567250000000001</v>
          </cell>
          <cell r="BH1332">
            <v>40135</v>
          </cell>
          <cell r="BJ1332">
            <v>13.23152</v>
          </cell>
        </row>
        <row r="1333">
          <cell r="D1333">
            <v>40134</v>
          </cell>
          <cell r="F1333">
            <v>113.20276</v>
          </cell>
          <cell r="K1333">
            <v>40134</v>
          </cell>
          <cell r="M1333">
            <v>21.331219999999998</v>
          </cell>
          <cell r="R1333">
            <v>40134</v>
          </cell>
          <cell r="T1333">
            <v>6.62</v>
          </cell>
          <cell r="Y1333">
            <v>40134</v>
          </cell>
          <cell r="AA1333">
            <v>131.25</v>
          </cell>
          <cell r="AF1333">
            <v>40134</v>
          </cell>
          <cell r="AH1333">
            <v>27.534379999999999</v>
          </cell>
          <cell r="AM1333">
            <v>40134</v>
          </cell>
          <cell r="AO1333">
            <v>27.79777</v>
          </cell>
          <cell r="AT1333">
            <v>40134</v>
          </cell>
          <cell r="AV1333">
            <v>23.635210000000001</v>
          </cell>
          <cell r="BA1333">
            <v>40134</v>
          </cell>
          <cell r="BC1333">
            <v>19.64283</v>
          </cell>
          <cell r="BH1333">
            <v>40134</v>
          </cell>
          <cell r="BJ1333">
            <v>13.173959999999999</v>
          </cell>
        </row>
        <row r="1334">
          <cell r="D1334">
            <v>40133</v>
          </cell>
          <cell r="F1334">
            <v>112.83314</v>
          </cell>
          <cell r="K1334">
            <v>40133</v>
          </cell>
          <cell r="M1334">
            <v>21.136410000000001</v>
          </cell>
          <cell r="R1334">
            <v>40133</v>
          </cell>
          <cell r="T1334">
            <v>6.43</v>
          </cell>
          <cell r="Y1334">
            <v>40133</v>
          </cell>
          <cell r="AA1334">
            <v>131.59</v>
          </cell>
          <cell r="AF1334">
            <v>40133</v>
          </cell>
          <cell r="AH1334">
            <v>27.48516</v>
          </cell>
          <cell r="AM1334">
            <v>40133</v>
          </cell>
          <cell r="AO1334">
            <v>27.77129</v>
          </cell>
          <cell r="AT1334">
            <v>40133</v>
          </cell>
          <cell r="AV1334">
            <v>23.58118</v>
          </cell>
          <cell r="BA1334">
            <v>40133</v>
          </cell>
          <cell r="BC1334">
            <v>19.708970000000001</v>
          </cell>
          <cell r="BH1334">
            <v>40133</v>
          </cell>
          <cell r="BJ1334">
            <v>13.15751</v>
          </cell>
        </row>
        <row r="1335">
          <cell r="D1335">
            <v>40130</v>
          </cell>
          <cell r="F1335">
            <v>111.79465999999999</v>
          </cell>
          <cell r="K1335">
            <v>40130</v>
          </cell>
          <cell r="M1335">
            <v>20.99474</v>
          </cell>
          <cell r="R1335">
            <v>40130</v>
          </cell>
          <cell r="T1335">
            <v>6.53</v>
          </cell>
          <cell r="Y1335">
            <v>40130</v>
          </cell>
          <cell r="AA1335">
            <v>132.97</v>
          </cell>
          <cell r="AF1335">
            <v>40130</v>
          </cell>
          <cell r="AH1335">
            <v>27.19519</v>
          </cell>
          <cell r="AM1335">
            <v>40130</v>
          </cell>
          <cell r="AO1335">
            <v>27.435849999999999</v>
          </cell>
          <cell r="AT1335">
            <v>40130</v>
          </cell>
          <cell r="AV1335">
            <v>23.46481</v>
          </cell>
          <cell r="BA1335">
            <v>40130</v>
          </cell>
          <cell r="BC1335">
            <v>19.25545</v>
          </cell>
          <cell r="BH1335">
            <v>40130</v>
          </cell>
          <cell r="BJ1335">
            <v>12.87791</v>
          </cell>
        </row>
        <row r="1336">
          <cell r="D1336">
            <v>40129</v>
          </cell>
          <cell r="F1336">
            <v>111.11700999999999</v>
          </cell>
          <cell r="K1336">
            <v>40129</v>
          </cell>
          <cell r="M1336">
            <v>20.72024</v>
          </cell>
          <cell r="R1336">
            <v>40129</v>
          </cell>
          <cell r="T1336">
            <v>6.48</v>
          </cell>
          <cell r="Y1336">
            <v>40129</v>
          </cell>
          <cell r="AA1336">
            <v>130.53</v>
          </cell>
          <cell r="AF1336">
            <v>40129</v>
          </cell>
          <cell r="AH1336">
            <v>26.86797</v>
          </cell>
          <cell r="AM1336">
            <v>40129</v>
          </cell>
          <cell r="AO1336">
            <v>27.338750000000001</v>
          </cell>
          <cell r="AT1336">
            <v>40129</v>
          </cell>
          <cell r="AV1336">
            <v>23.248699999999999</v>
          </cell>
          <cell r="BA1336">
            <v>40129</v>
          </cell>
          <cell r="BC1336">
            <v>18.830290000000002</v>
          </cell>
          <cell r="BH1336">
            <v>40129</v>
          </cell>
          <cell r="BJ1336">
            <v>12.951919999999999</v>
          </cell>
        </row>
        <row r="1337">
          <cell r="D1337">
            <v>40128</v>
          </cell>
          <cell r="F1337">
            <v>111.93547</v>
          </cell>
          <cell r="K1337">
            <v>40128</v>
          </cell>
          <cell r="M1337">
            <v>21.180689999999998</v>
          </cell>
          <cell r="R1337">
            <v>40128</v>
          </cell>
          <cell r="T1337">
            <v>5.32</v>
          </cell>
          <cell r="Y1337">
            <v>40128</v>
          </cell>
          <cell r="AA1337">
            <v>129.91</v>
          </cell>
          <cell r="AF1337">
            <v>40128</v>
          </cell>
          <cell r="AH1337">
            <v>27.03557</v>
          </cell>
          <cell r="AM1337">
            <v>40128</v>
          </cell>
          <cell r="AO1337">
            <v>26.97682</v>
          </cell>
          <cell r="AT1337">
            <v>40128</v>
          </cell>
          <cell r="AV1337">
            <v>23.327660000000002</v>
          </cell>
          <cell r="BA1337">
            <v>40128</v>
          </cell>
          <cell r="BC1337">
            <v>19.075939999999999</v>
          </cell>
          <cell r="BH1337">
            <v>40128</v>
          </cell>
          <cell r="BJ1337">
            <v>13.017709999999999</v>
          </cell>
        </row>
        <row r="1338">
          <cell r="D1338">
            <v>40127</v>
          </cell>
          <cell r="F1338">
            <v>111.68904999999999</v>
          </cell>
          <cell r="K1338">
            <v>40127</v>
          </cell>
          <cell r="M1338">
            <v>20.941610000000001</v>
          </cell>
          <cell r="R1338">
            <v>40127</v>
          </cell>
          <cell r="T1338">
            <v>5.14</v>
          </cell>
          <cell r="Y1338">
            <v>40127</v>
          </cell>
          <cell r="AA1338">
            <v>130.15</v>
          </cell>
          <cell r="AF1338">
            <v>40127</v>
          </cell>
          <cell r="AH1338">
            <v>26.999649999999999</v>
          </cell>
          <cell r="AM1338">
            <v>40127</v>
          </cell>
          <cell r="AO1338">
            <v>26.756129999999999</v>
          </cell>
          <cell r="AT1338">
            <v>40127</v>
          </cell>
          <cell r="AV1338">
            <v>23.194669999999999</v>
          </cell>
          <cell r="BA1338">
            <v>40127</v>
          </cell>
          <cell r="BC1338">
            <v>19.08539</v>
          </cell>
          <cell r="BH1338">
            <v>40127</v>
          </cell>
          <cell r="BJ1338">
            <v>12.97659</v>
          </cell>
        </row>
        <row r="1339">
          <cell r="D1339">
            <v>40126</v>
          </cell>
          <cell r="F1339">
            <v>110.88818999999999</v>
          </cell>
          <cell r="K1339">
            <v>40126</v>
          </cell>
          <cell r="M1339">
            <v>21.24267</v>
          </cell>
          <cell r="R1339">
            <v>40126</v>
          </cell>
          <cell r="T1339">
            <v>5.21</v>
          </cell>
          <cell r="Y1339">
            <v>40126</v>
          </cell>
          <cell r="AA1339">
            <v>126.67</v>
          </cell>
          <cell r="AF1339">
            <v>40126</v>
          </cell>
          <cell r="AH1339">
            <v>26.797470000000001</v>
          </cell>
          <cell r="AM1339">
            <v>40126</v>
          </cell>
          <cell r="AO1339">
            <v>26.456</v>
          </cell>
          <cell r="AT1339">
            <v>40126</v>
          </cell>
          <cell r="AV1339">
            <v>23.05752</v>
          </cell>
          <cell r="BA1339">
            <v>40126</v>
          </cell>
          <cell r="BC1339">
            <v>19.46332</v>
          </cell>
          <cell r="BH1339">
            <v>40126</v>
          </cell>
          <cell r="BJ1339">
            <v>13.03416</v>
          </cell>
        </row>
        <row r="1340">
          <cell r="D1340">
            <v>40123</v>
          </cell>
          <cell r="F1340">
            <v>108.67923</v>
          </cell>
          <cell r="K1340">
            <v>40123</v>
          </cell>
          <cell r="M1340">
            <v>21.092140000000001</v>
          </cell>
          <cell r="R1340">
            <v>40123</v>
          </cell>
          <cell r="T1340">
            <v>5.04</v>
          </cell>
          <cell r="Y1340">
            <v>40123</v>
          </cell>
          <cell r="AA1340">
            <v>126.2</v>
          </cell>
          <cell r="AF1340">
            <v>40123</v>
          </cell>
          <cell r="AH1340">
            <v>25.850390000000001</v>
          </cell>
          <cell r="AM1340">
            <v>40123</v>
          </cell>
          <cell r="AO1340">
            <v>26.0411</v>
          </cell>
          <cell r="AT1340">
            <v>40123</v>
          </cell>
          <cell r="AV1340">
            <v>22.646080000000001</v>
          </cell>
          <cell r="BA1340">
            <v>40123</v>
          </cell>
          <cell r="BC1340">
            <v>18.57518</v>
          </cell>
          <cell r="BH1340">
            <v>40123</v>
          </cell>
          <cell r="BJ1340">
            <v>12.606540000000001</v>
          </cell>
        </row>
        <row r="1341">
          <cell r="D1341">
            <v>40122</v>
          </cell>
          <cell r="F1341">
            <v>107.85196999999999</v>
          </cell>
          <cell r="K1341">
            <v>40122</v>
          </cell>
          <cell r="M1341">
            <v>21.189630000000001</v>
          </cell>
          <cell r="R1341">
            <v>40122</v>
          </cell>
          <cell r="T1341">
            <v>4.83</v>
          </cell>
          <cell r="Y1341">
            <v>40122</v>
          </cell>
          <cell r="AA1341">
            <v>120.61</v>
          </cell>
          <cell r="AF1341">
            <v>40122</v>
          </cell>
          <cell r="AH1341">
            <v>25.809170000000002</v>
          </cell>
          <cell r="AM1341">
            <v>40122</v>
          </cell>
          <cell r="AO1341">
            <v>26.155860000000001</v>
          </cell>
          <cell r="AT1341">
            <v>40122</v>
          </cell>
          <cell r="AV1341">
            <v>22.60867</v>
          </cell>
          <cell r="BA1341">
            <v>40122</v>
          </cell>
          <cell r="BC1341">
            <v>18.631869999999999</v>
          </cell>
          <cell r="BH1341">
            <v>40122</v>
          </cell>
          <cell r="BJ1341">
            <v>11.866429999999999</v>
          </cell>
        </row>
        <row r="1342">
          <cell r="D1342">
            <v>40121</v>
          </cell>
          <cell r="F1342">
            <v>106.26617</v>
          </cell>
          <cell r="K1342">
            <v>40121</v>
          </cell>
          <cell r="M1342">
            <v>20.62284</v>
          </cell>
          <cell r="R1342">
            <v>40121</v>
          </cell>
          <cell r="T1342">
            <v>4.6900000000000004</v>
          </cell>
          <cell r="Y1342">
            <v>40121</v>
          </cell>
          <cell r="AA1342">
            <v>117.1</v>
          </cell>
          <cell r="AF1342">
            <v>40121</v>
          </cell>
          <cell r="AH1342">
            <v>25.380839999999999</v>
          </cell>
          <cell r="AM1342">
            <v>40121</v>
          </cell>
          <cell r="AO1342">
            <v>25.714490000000001</v>
          </cell>
          <cell r="AT1342">
            <v>40121</v>
          </cell>
          <cell r="AV1342">
            <v>22.23048</v>
          </cell>
          <cell r="BA1342">
            <v>40121</v>
          </cell>
          <cell r="BC1342">
            <v>18.2256</v>
          </cell>
          <cell r="BH1342">
            <v>40121</v>
          </cell>
          <cell r="BJ1342">
            <v>11.66907</v>
          </cell>
        </row>
        <row r="1343">
          <cell r="D1343">
            <v>40120</v>
          </cell>
          <cell r="F1343">
            <v>106.15227</v>
          </cell>
          <cell r="K1343">
            <v>40120</v>
          </cell>
          <cell r="M1343">
            <v>20.286349999999999</v>
          </cell>
          <cell r="R1343">
            <v>40120</v>
          </cell>
          <cell r="T1343">
            <v>4.6399999999999997</v>
          </cell>
          <cell r="Y1343">
            <v>40120</v>
          </cell>
          <cell r="AA1343">
            <v>118.37</v>
          </cell>
          <cell r="AF1343">
            <v>40120</v>
          </cell>
          <cell r="AH1343">
            <v>25.106829999999999</v>
          </cell>
          <cell r="AM1343">
            <v>40120</v>
          </cell>
          <cell r="AO1343">
            <v>25.299589999999998</v>
          </cell>
          <cell r="AT1343">
            <v>40120</v>
          </cell>
          <cell r="AV1343">
            <v>22.076699999999999</v>
          </cell>
          <cell r="BA1343">
            <v>40120</v>
          </cell>
          <cell r="BC1343">
            <v>17.866569999999999</v>
          </cell>
          <cell r="BH1343">
            <v>40120</v>
          </cell>
          <cell r="BJ1343">
            <v>11.775969999999999</v>
          </cell>
        </row>
        <row r="1344">
          <cell r="D1344">
            <v>40119</v>
          </cell>
          <cell r="F1344">
            <v>105.62658999999999</v>
          </cell>
          <cell r="K1344">
            <v>40119</v>
          </cell>
          <cell r="M1344">
            <v>20.366050000000001</v>
          </cell>
          <cell r="R1344">
            <v>40119</v>
          </cell>
          <cell r="T1344">
            <v>4.5999999999999996</v>
          </cell>
          <cell r="Y1344">
            <v>40119</v>
          </cell>
          <cell r="AA1344">
            <v>118.84</v>
          </cell>
          <cell r="AF1344">
            <v>40119</v>
          </cell>
          <cell r="AH1344">
            <v>25.181319999999999</v>
          </cell>
          <cell r="AM1344">
            <v>40119</v>
          </cell>
          <cell r="AO1344">
            <v>25.317250000000001</v>
          </cell>
          <cell r="AT1344">
            <v>40119</v>
          </cell>
          <cell r="AV1344">
            <v>22.326059999999998</v>
          </cell>
          <cell r="BA1344">
            <v>40119</v>
          </cell>
          <cell r="BC1344">
            <v>17.78153</v>
          </cell>
          <cell r="BH1344">
            <v>40119</v>
          </cell>
          <cell r="BJ1344">
            <v>11.899319999999999</v>
          </cell>
        </row>
        <row r="1345">
          <cell r="D1345">
            <v>40116</v>
          </cell>
          <cell r="F1345">
            <v>105.6704</v>
          </cell>
          <cell r="K1345">
            <v>40116</v>
          </cell>
          <cell r="M1345">
            <v>20.19781</v>
          </cell>
          <cell r="R1345">
            <v>40116</v>
          </cell>
          <cell r="T1345">
            <v>4.5999999999999996</v>
          </cell>
          <cell r="Y1345">
            <v>40116</v>
          </cell>
          <cell r="AA1345">
            <v>118.81</v>
          </cell>
          <cell r="AF1345">
            <v>40116</v>
          </cell>
          <cell r="AH1345">
            <v>25.07358</v>
          </cell>
          <cell r="AM1345">
            <v>40116</v>
          </cell>
          <cell r="AO1345">
            <v>25.017109999999999</v>
          </cell>
          <cell r="AT1345">
            <v>40116</v>
          </cell>
          <cell r="AV1345">
            <v>22.155670000000001</v>
          </cell>
          <cell r="BA1345">
            <v>40116</v>
          </cell>
          <cell r="BC1345">
            <v>18.216149999999999</v>
          </cell>
          <cell r="BH1345">
            <v>40116</v>
          </cell>
          <cell r="BJ1345">
            <v>11.72663</v>
          </cell>
        </row>
        <row r="1346">
          <cell r="D1346">
            <v>40115</v>
          </cell>
          <cell r="F1346">
            <v>107.65046</v>
          </cell>
          <cell r="K1346">
            <v>40115</v>
          </cell>
          <cell r="M1346">
            <v>20.826499999999999</v>
          </cell>
          <cell r="R1346">
            <v>40115</v>
          </cell>
          <cell r="T1346">
            <v>4.93</v>
          </cell>
          <cell r="Y1346">
            <v>40115</v>
          </cell>
          <cell r="AA1346">
            <v>122.577</v>
          </cell>
          <cell r="AF1346">
            <v>40115</v>
          </cell>
          <cell r="AH1346">
            <v>26.117750000000001</v>
          </cell>
          <cell r="AM1346">
            <v>40115</v>
          </cell>
          <cell r="AO1346">
            <v>25.326080000000001</v>
          </cell>
          <cell r="AT1346">
            <v>40115</v>
          </cell>
          <cell r="AV1346">
            <v>22.479839999999999</v>
          </cell>
          <cell r="BA1346">
            <v>40115</v>
          </cell>
          <cell r="BC1346">
            <v>17.87602</v>
          </cell>
          <cell r="BH1346">
            <v>40115</v>
          </cell>
          <cell r="BJ1346">
            <v>12.228260000000001</v>
          </cell>
        </row>
        <row r="1347">
          <cell r="D1347">
            <v>40114</v>
          </cell>
          <cell r="F1347">
            <v>106.45016</v>
          </cell>
          <cell r="K1347">
            <v>40114</v>
          </cell>
          <cell r="M1347">
            <v>20.383759999999999</v>
          </cell>
          <cell r="R1347">
            <v>40114</v>
          </cell>
          <cell r="T1347">
            <v>4.8499999999999996</v>
          </cell>
          <cell r="Y1347">
            <v>40114</v>
          </cell>
          <cell r="AA1347">
            <v>121.64</v>
          </cell>
          <cell r="AF1347">
            <v>40114</v>
          </cell>
          <cell r="AH1347">
            <v>25.59234</v>
          </cell>
          <cell r="AM1347">
            <v>40114</v>
          </cell>
          <cell r="AO1347">
            <v>24.9818</v>
          </cell>
          <cell r="AT1347">
            <v>40114</v>
          </cell>
          <cell r="AV1347">
            <v>22.238790000000002</v>
          </cell>
          <cell r="BA1347">
            <v>40114</v>
          </cell>
          <cell r="BC1347">
            <v>16.57216</v>
          </cell>
          <cell r="BH1347">
            <v>40114</v>
          </cell>
          <cell r="BJ1347">
            <v>11.85821</v>
          </cell>
        </row>
        <row r="1348">
          <cell r="D1348">
            <v>40113</v>
          </cell>
          <cell r="F1348">
            <v>105.70544</v>
          </cell>
          <cell r="K1348">
            <v>40113</v>
          </cell>
          <cell r="M1348">
            <v>20.84421</v>
          </cell>
          <cell r="R1348">
            <v>40113</v>
          </cell>
          <cell r="T1348">
            <v>5.15</v>
          </cell>
          <cell r="Y1348">
            <v>40113</v>
          </cell>
          <cell r="AA1348">
            <v>122.07</v>
          </cell>
          <cell r="AF1348">
            <v>40113</v>
          </cell>
          <cell r="AH1348">
            <v>26.253430000000002</v>
          </cell>
          <cell r="AM1348">
            <v>40113</v>
          </cell>
          <cell r="AO1348">
            <v>25.37021</v>
          </cell>
          <cell r="AT1348">
            <v>40113</v>
          </cell>
          <cell r="AV1348">
            <v>22.21801</v>
          </cell>
          <cell r="BA1348">
            <v>40113</v>
          </cell>
          <cell r="BC1348">
            <v>17.6965</v>
          </cell>
          <cell r="BH1348">
            <v>40113</v>
          </cell>
          <cell r="BJ1348">
            <v>12.2776</v>
          </cell>
        </row>
        <row r="1349">
          <cell r="D1349">
            <v>40112</v>
          </cell>
          <cell r="F1349">
            <v>105.23233</v>
          </cell>
          <cell r="K1349">
            <v>40112</v>
          </cell>
          <cell r="M1349">
            <v>20.985880000000002</v>
          </cell>
          <cell r="R1349">
            <v>40112</v>
          </cell>
          <cell r="T1349">
            <v>5.42</v>
          </cell>
          <cell r="Y1349">
            <v>40112</v>
          </cell>
          <cell r="AA1349">
            <v>124.6399</v>
          </cell>
          <cell r="AF1349">
            <v>40112</v>
          </cell>
          <cell r="AH1349">
            <v>26.933140000000002</v>
          </cell>
          <cell r="AM1349">
            <v>40112</v>
          </cell>
          <cell r="AO1349">
            <v>25.343730000000001</v>
          </cell>
          <cell r="AT1349">
            <v>40112</v>
          </cell>
          <cell r="AV1349">
            <v>22.122420000000002</v>
          </cell>
          <cell r="BA1349">
            <v>40112</v>
          </cell>
          <cell r="BC1349">
            <v>18.216149999999999</v>
          </cell>
          <cell r="BH1349">
            <v>40112</v>
          </cell>
          <cell r="BJ1349">
            <v>12.343389999999999</v>
          </cell>
        </row>
        <row r="1350">
          <cell r="D1350">
            <v>40109</v>
          </cell>
          <cell r="F1350">
            <v>105.45135999999999</v>
          </cell>
          <cell r="K1350">
            <v>40109</v>
          </cell>
          <cell r="M1350">
            <v>21.402059999999999</v>
          </cell>
          <cell r="R1350">
            <v>40109</v>
          </cell>
          <cell r="T1350">
            <v>5.6</v>
          </cell>
          <cell r="Y1350">
            <v>40109</v>
          </cell>
          <cell r="AA1350">
            <v>118.49</v>
          </cell>
          <cell r="AF1350">
            <v>40109</v>
          </cell>
          <cell r="AH1350">
            <v>27.12735</v>
          </cell>
          <cell r="AM1350">
            <v>40109</v>
          </cell>
          <cell r="AO1350">
            <v>25.299589999999998</v>
          </cell>
          <cell r="AT1350">
            <v>40109</v>
          </cell>
          <cell r="AV1350">
            <v>22.126580000000001</v>
          </cell>
          <cell r="BA1350">
            <v>40109</v>
          </cell>
          <cell r="BC1350">
            <v>18.40512</v>
          </cell>
          <cell r="BH1350">
            <v>40109</v>
          </cell>
          <cell r="BJ1350">
            <v>12.49963</v>
          </cell>
        </row>
        <row r="1351">
          <cell r="D1351">
            <v>40108</v>
          </cell>
          <cell r="F1351">
            <v>107.49275</v>
          </cell>
          <cell r="K1351">
            <v>40108</v>
          </cell>
          <cell r="M1351">
            <v>21.410910000000001</v>
          </cell>
          <cell r="R1351">
            <v>40108</v>
          </cell>
          <cell r="T1351">
            <v>5.83</v>
          </cell>
          <cell r="Y1351">
            <v>40108</v>
          </cell>
          <cell r="AA1351">
            <v>93.45</v>
          </cell>
          <cell r="AF1351">
            <v>40108</v>
          </cell>
          <cell r="AH1351">
            <v>27.29495</v>
          </cell>
          <cell r="AM1351">
            <v>40108</v>
          </cell>
          <cell r="AO1351">
            <v>25.670349999999999</v>
          </cell>
          <cell r="AT1351">
            <v>40108</v>
          </cell>
          <cell r="AV1351">
            <v>22.504770000000001</v>
          </cell>
          <cell r="BA1351">
            <v>40108</v>
          </cell>
          <cell r="BC1351">
            <v>19.075939999999999</v>
          </cell>
          <cell r="BH1351">
            <v>40108</v>
          </cell>
          <cell r="BJ1351">
            <v>12.61476</v>
          </cell>
        </row>
        <row r="1352">
          <cell r="D1352">
            <v>40107</v>
          </cell>
          <cell r="F1352">
            <v>105.89819</v>
          </cell>
          <cell r="K1352">
            <v>40107</v>
          </cell>
          <cell r="M1352">
            <v>21.21611</v>
          </cell>
          <cell r="R1352">
            <v>40107</v>
          </cell>
          <cell r="T1352">
            <v>5.77</v>
          </cell>
          <cell r="Y1352">
            <v>40107</v>
          </cell>
          <cell r="AA1352">
            <v>93.42</v>
          </cell>
          <cell r="AF1352">
            <v>40107</v>
          </cell>
          <cell r="AH1352">
            <v>27.2577</v>
          </cell>
          <cell r="AM1352">
            <v>40107</v>
          </cell>
          <cell r="AO1352">
            <v>25.22015</v>
          </cell>
          <cell r="AT1352">
            <v>40107</v>
          </cell>
          <cell r="AV1352">
            <v>22.471530000000001</v>
          </cell>
          <cell r="BA1352">
            <v>40107</v>
          </cell>
          <cell r="BC1352">
            <v>18.764150000000001</v>
          </cell>
          <cell r="BH1352">
            <v>40107</v>
          </cell>
          <cell r="BJ1352">
            <v>12.77101</v>
          </cell>
        </row>
        <row r="1353">
          <cell r="D1353">
            <v>40106</v>
          </cell>
          <cell r="F1353">
            <v>107.60665</v>
          </cell>
          <cell r="K1353">
            <v>40106</v>
          </cell>
          <cell r="M1353">
            <v>21.348929999999999</v>
          </cell>
          <cell r="R1353">
            <v>40106</v>
          </cell>
          <cell r="T1353">
            <v>5.98</v>
          </cell>
          <cell r="Y1353">
            <v>40106</v>
          </cell>
          <cell r="AA1353">
            <v>94.98</v>
          </cell>
          <cell r="AF1353">
            <v>40106</v>
          </cell>
          <cell r="AH1353">
            <v>26.438320000000001</v>
          </cell>
          <cell r="AM1353">
            <v>40106</v>
          </cell>
          <cell r="AO1353">
            <v>25.22015</v>
          </cell>
          <cell r="AT1353">
            <v>40106</v>
          </cell>
          <cell r="AV1353">
            <v>22.471530000000001</v>
          </cell>
          <cell r="BA1353">
            <v>40106</v>
          </cell>
          <cell r="BC1353">
            <v>18.858630000000002</v>
          </cell>
          <cell r="BH1353">
            <v>40106</v>
          </cell>
          <cell r="BJ1353">
            <v>12.81213</v>
          </cell>
        </row>
        <row r="1354">
          <cell r="D1354">
            <v>40105</v>
          </cell>
          <cell r="F1354">
            <v>107.81692</v>
          </cell>
          <cell r="K1354">
            <v>40105</v>
          </cell>
          <cell r="M1354">
            <v>21.472899999999999</v>
          </cell>
          <cell r="R1354">
            <v>40105</v>
          </cell>
          <cell r="T1354">
            <v>5.87</v>
          </cell>
          <cell r="Y1354">
            <v>40105</v>
          </cell>
          <cell r="AA1354">
            <v>94.68</v>
          </cell>
          <cell r="AF1354">
            <v>40105</v>
          </cell>
          <cell r="AH1354">
            <v>25.254480000000001</v>
          </cell>
          <cell r="AM1354">
            <v>40105</v>
          </cell>
          <cell r="AO1354">
            <v>25.484970000000001</v>
          </cell>
          <cell r="AT1354">
            <v>40105</v>
          </cell>
          <cell r="AV1354">
            <v>22.770759999999999</v>
          </cell>
          <cell r="BA1354">
            <v>40105</v>
          </cell>
          <cell r="BC1354">
            <v>19.46332</v>
          </cell>
          <cell r="BH1354">
            <v>40105</v>
          </cell>
          <cell r="BJ1354">
            <v>13.025930000000001</v>
          </cell>
        </row>
        <row r="1355">
          <cell r="D1355">
            <v>40102</v>
          </cell>
          <cell r="F1355">
            <v>106.57281</v>
          </cell>
          <cell r="K1355">
            <v>40102</v>
          </cell>
          <cell r="M1355">
            <v>21.26924</v>
          </cell>
          <cell r="R1355">
            <v>40102</v>
          </cell>
          <cell r="T1355">
            <v>5.74</v>
          </cell>
          <cell r="Y1355">
            <v>40102</v>
          </cell>
          <cell r="AA1355">
            <v>95.32</v>
          </cell>
          <cell r="AF1355">
            <v>40102</v>
          </cell>
          <cell r="AH1355">
            <v>25.013719999999999</v>
          </cell>
          <cell r="AM1355">
            <v>40102</v>
          </cell>
          <cell r="AO1355">
            <v>25.317250000000001</v>
          </cell>
          <cell r="AT1355">
            <v>40102</v>
          </cell>
          <cell r="AV1355">
            <v>22.862189999999998</v>
          </cell>
          <cell r="BA1355">
            <v>40102</v>
          </cell>
          <cell r="BC1355">
            <v>18.764150000000001</v>
          </cell>
          <cell r="BH1355">
            <v>40102</v>
          </cell>
          <cell r="BJ1355">
            <v>13.2233</v>
          </cell>
        </row>
        <row r="1356">
          <cell r="D1356">
            <v>40101</v>
          </cell>
          <cell r="F1356">
            <v>112.1275</v>
          </cell>
          <cell r="K1356">
            <v>40101</v>
          </cell>
          <cell r="M1356">
            <v>21.575610000000001</v>
          </cell>
          <cell r="R1356">
            <v>40101</v>
          </cell>
          <cell r="T1356">
            <v>6.19</v>
          </cell>
          <cell r="Y1356">
            <v>40101</v>
          </cell>
          <cell r="AA1356">
            <v>96.01</v>
          </cell>
          <cell r="AF1356">
            <v>40101</v>
          </cell>
          <cell r="AH1356">
            <v>25.34759</v>
          </cell>
          <cell r="AM1356">
            <v>40101</v>
          </cell>
          <cell r="AO1356">
            <v>24.637530000000002</v>
          </cell>
          <cell r="AT1356">
            <v>40101</v>
          </cell>
          <cell r="AV1356">
            <v>22.82479</v>
          </cell>
          <cell r="BA1356">
            <v>40101</v>
          </cell>
          <cell r="BC1356">
            <v>19.264900000000001</v>
          </cell>
          <cell r="BH1356">
            <v>40101</v>
          </cell>
          <cell r="BJ1356">
            <v>13.80716</v>
          </cell>
        </row>
        <row r="1357">
          <cell r="D1357">
            <v>40100</v>
          </cell>
          <cell r="F1357">
            <v>112.45167000000001</v>
          </cell>
          <cell r="K1357">
            <v>40100</v>
          </cell>
          <cell r="M1357">
            <v>21.588010000000001</v>
          </cell>
          <cell r="R1357">
            <v>40100</v>
          </cell>
          <cell r="T1357">
            <v>6.25</v>
          </cell>
          <cell r="Y1357">
            <v>40100</v>
          </cell>
          <cell r="AA1357">
            <v>97.46</v>
          </cell>
          <cell r="AF1357">
            <v>40100</v>
          </cell>
          <cell r="AH1357">
            <v>25.444690000000001</v>
          </cell>
          <cell r="AM1357">
            <v>40100</v>
          </cell>
          <cell r="AO1357">
            <v>24.107880000000002</v>
          </cell>
          <cell r="AT1357">
            <v>40100</v>
          </cell>
          <cell r="AV1357">
            <v>22.791540000000001</v>
          </cell>
          <cell r="BA1357">
            <v>40100</v>
          </cell>
          <cell r="BC1357">
            <v>19.009799999999998</v>
          </cell>
          <cell r="BH1357">
            <v>40100</v>
          </cell>
          <cell r="BJ1357">
            <v>13.848280000000001</v>
          </cell>
        </row>
        <row r="1358">
          <cell r="D1358">
            <v>40099</v>
          </cell>
          <cell r="F1358">
            <v>111.28641</v>
          </cell>
          <cell r="K1358">
            <v>40099</v>
          </cell>
          <cell r="M1358">
            <v>21.154119999999999</v>
          </cell>
          <cell r="R1358">
            <v>40099</v>
          </cell>
          <cell r="T1358">
            <v>6.08</v>
          </cell>
          <cell r="Y1358">
            <v>40099</v>
          </cell>
          <cell r="AA1358">
            <v>94.83</v>
          </cell>
          <cell r="AF1358">
            <v>40099</v>
          </cell>
          <cell r="AH1358">
            <v>25.275759999999998</v>
          </cell>
          <cell r="AM1358">
            <v>40099</v>
          </cell>
          <cell r="AO1358">
            <v>23.781269999999999</v>
          </cell>
          <cell r="AT1358">
            <v>40099</v>
          </cell>
          <cell r="AV1358">
            <v>22.774909999999998</v>
          </cell>
          <cell r="BA1358">
            <v>40099</v>
          </cell>
          <cell r="BC1358">
            <v>18.480699999999999</v>
          </cell>
          <cell r="BH1358">
            <v>40099</v>
          </cell>
          <cell r="BJ1358">
            <v>13.47822</v>
          </cell>
        </row>
        <row r="1359">
          <cell r="D1359">
            <v>40098</v>
          </cell>
          <cell r="F1359">
            <v>111.30392999999999</v>
          </cell>
          <cell r="K1359">
            <v>40098</v>
          </cell>
          <cell r="M1359">
            <v>21.06026</v>
          </cell>
          <cell r="R1359">
            <v>40098</v>
          </cell>
          <cell r="T1359">
            <v>6.14</v>
          </cell>
          <cell r="Y1359">
            <v>40098</v>
          </cell>
          <cell r="AA1359">
            <v>93.6</v>
          </cell>
          <cell r="AF1359">
            <v>40098</v>
          </cell>
          <cell r="AH1359">
            <v>25.380839999999999</v>
          </cell>
          <cell r="AM1359">
            <v>40098</v>
          </cell>
          <cell r="AO1359">
            <v>23.975470000000001</v>
          </cell>
          <cell r="AT1359">
            <v>40098</v>
          </cell>
          <cell r="AV1359">
            <v>22.770759999999999</v>
          </cell>
          <cell r="BA1359">
            <v>40098</v>
          </cell>
          <cell r="BC1359">
            <v>18.622420000000002</v>
          </cell>
          <cell r="BH1359">
            <v>40098</v>
          </cell>
          <cell r="BJ1359">
            <v>13.428879999999999</v>
          </cell>
        </row>
        <row r="1360">
          <cell r="D1360">
            <v>40095</v>
          </cell>
          <cell r="F1360">
            <v>110.33141999999999</v>
          </cell>
          <cell r="K1360">
            <v>40095</v>
          </cell>
          <cell r="M1360">
            <v>21.278089999999999</v>
          </cell>
          <cell r="R1360">
            <v>40095</v>
          </cell>
          <cell r="T1360">
            <v>5.88</v>
          </cell>
          <cell r="Y1360">
            <v>40095</v>
          </cell>
          <cell r="AA1360">
            <v>95.71</v>
          </cell>
          <cell r="AF1360">
            <v>40095</v>
          </cell>
          <cell r="AH1360">
            <v>25.335619999999999</v>
          </cell>
          <cell r="AM1360">
            <v>40095</v>
          </cell>
          <cell r="AO1360">
            <v>24.116710000000001</v>
          </cell>
          <cell r="AT1360">
            <v>40095</v>
          </cell>
          <cell r="AV1360">
            <v>22.712569999999999</v>
          </cell>
          <cell r="BA1360">
            <v>40095</v>
          </cell>
          <cell r="BC1360">
            <v>18.49015</v>
          </cell>
          <cell r="BH1360">
            <v>40095</v>
          </cell>
          <cell r="BJ1360">
            <v>13.305529999999999</v>
          </cell>
        </row>
        <row r="1361">
          <cell r="D1361">
            <v>40094</v>
          </cell>
          <cell r="F1361">
            <v>107.14230000000001</v>
          </cell>
          <cell r="K1361">
            <v>40094</v>
          </cell>
          <cell r="M1361">
            <v>20.959320000000002</v>
          </cell>
          <cell r="R1361">
            <v>40094</v>
          </cell>
          <cell r="T1361">
            <v>5.51</v>
          </cell>
          <cell r="Y1361">
            <v>40094</v>
          </cell>
          <cell r="AA1361">
            <v>95.22</v>
          </cell>
          <cell r="AF1361">
            <v>40094</v>
          </cell>
          <cell r="AH1361">
            <v>25.175999999999998</v>
          </cell>
          <cell r="AM1361">
            <v>40094</v>
          </cell>
          <cell r="AO1361">
            <v>24.03726</v>
          </cell>
          <cell r="AT1361">
            <v>40094</v>
          </cell>
          <cell r="AV1361">
            <v>22.687639999999998</v>
          </cell>
          <cell r="BA1361">
            <v>40094</v>
          </cell>
          <cell r="BC1361">
            <v>18.027190000000001</v>
          </cell>
          <cell r="BH1361">
            <v>40094</v>
          </cell>
          <cell r="BJ1361">
            <v>13.338430000000001</v>
          </cell>
        </row>
        <row r="1362">
          <cell r="D1362">
            <v>40093</v>
          </cell>
          <cell r="F1362">
            <v>107.57161000000001</v>
          </cell>
          <cell r="K1362">
            <v>40093</v>
          </cell>
          <cell r="M1362">
            <v>20.906189999999999</v>
          </cell>
          <cell r="R1362">
            <v>40093</v>
          </cell>
          <cell r="T1362">
            <v>5.54</v>
          </cell>
          <cell r="Y1362">
            <v>40093</v>
          </cell>
          <cell r="AA1362">
            <v>93.97</v>
          </cell>
          <cell r="AF1362">
            <v>40093</v>
          </cell>
          <cell r="AH1362">
            <v>25.306349999999998</v>
          </cell>
          <cell r="AM1362">
            <v>40093</v>
          </cell>
          <cell r="AO1362">
            <v>23.6312</v>
          </cell>
          <cell r="AT1362">
            <v>40093</v>
          </cell>
          <cell r="AV1362">
            <v>22.779070000000001</v>
          </cell>
          <cell r="BA1362">
            <v>40093</v>
          </cell>
          <cell r="BC1362">
            <v>17.96105</v>
          </cell>
          <cell r="BH1362">
            <v>40093</v>
          </cell>
          <cell r="BJ1362">
            <v>13.28909</v>
          </cell>
        </row>
        <row r="1363">
          <cell r="D1363">
            <v>40092</v>
          </cell>
          <cell r="F1363">
            <v>106.31874000000001</v>
          </cell>
          <cell r="K1363">
            <v>40092</v>
          </cell>
          <cell r="M1363">
            <v>20.67596</v>
          </cell>
          <cell r="R1363">
            <v>40092</v>
          </cell>
          <cell r="T1363">
            <v>5.64</v>
          </cell>
          <cell r="Y1363">
            <v>40092</v>
          </cell>
          <cell r="AA1363">
            <v>90.91</v>
          </cell>
          <cell r="AF1363">
            <v>40092</v>
          </cell>
          <cell r="AH1363">
            <v>25.274429999999999</v>
          </cell>
          <cell r="AM1363">
            <v>40092</v>
          </cell>
          <cell r="AO1363">
            <v>23.60472</v>
          </cell>
          <cell r="AT1363">
            <v>40092</v>
          </cell>
          <cell r="AV1363">
            <v>22.575430000000001</v>
          </cell>
          <cell r="BA1363">
            <v>40092</v>
          </cell>
          <cell r="BC1363">
            <v>18.235050000000001</v>
          </cell>
          <cell r="BH1363">
            <v>40092</v>
          </cell>
          <cell r="BJ1363">
            <v>13.2233</v>
          </cell>
        </row>
        <row r="1364">
          <cell r="D1364">
            <v>40091</v>
          </cell>
          <cell r="F1364">
            <v>104.91692</v>
          </cell>
          <cell r="K1364">
            <v>40091</v>
          </cell>
          <cell r="M1364">
            <v>20.312919999999998</v>
          </cell>
          <cell r="R1364">
            <v>40091</v>
          </cell>
          <cell r="T1364">
            <v>5.54</v>
          </cell>
          <cell r="Y1364">
            <v>40091</v>
          </cell>
          <cell r="AA1364">
            <v>88.67</v>
          </cell>
          <cell r="AF1364">
            <v>40091</v>
          </cell>
          <cell r="AH1364">
            <v>24.744230000000002</v>
          </cell>
          <cell r="AM1364">
            <v>40091</v>
          </cell>
          <cell r="AO1364">
            <v>23.145689999999998</v>
          </cell>
          <cell r="AT1364">
            <v>40091</v>
          </cell>
          <cell r="AV1364">
            <v>22.359310000000001</v>
          </cell>
          <cell r="BA1364">
            <v>40091</v>
          </cell>
          <cell r="BC1364">
            <v>17.847670000000001</v>
          </cell>
          <cell r="BH1364">
            <v>40091</v>
          </cell>
          <cell r="BJ1364">
            <v>13.017709999999999</v>
          </cell>
        </row>
        <row r="1365">
          <cell r="D1365">
            <v>40088</v>
          </cell>
          <cell r="F1365">
            <v>104.27735</v>
          </cell>
          <cell r="K1365">
            <v>40088</v>
          </cell>
          <cell r="M1365">
            <v>20.073840000000001</v>
          </cell>
          <cell r="R1365">
            <v>40088</v>
          </cell>
          <cell r="T1365">
            <v>5.31</v>
          </cell>
          <cell r="Y1365">
            <v>40088</v>
          </cell>
          <cell r="AA1365">
            <v>89.85</v>
          </cell>
          <cell r="AF1365">
            <v>40088</v>
          </cell>
          <cell r="AH1365">
            <v>24.594719999999999</v>
          </cell>
          <cell r="AM1365">
            <v>40088</v>
          </cell>
          <cell r="AO1365">
            <v>23.172170000000001</v>
          </cell>
          <cell r="AT1365">
            <v>40088</v>
          </cell>
          <cell r="AV1365">
            <v>22.388400000000001</v>
          </cell>
          <cell r="BA1365">
            <v>40088</v>
          </cell>
          <cell r="BC1365">
            <v>17.10126</v>
          </cell>
          <cell r="BH1365">
            <v>40088</v>
          </cell>
          <cell r="BJ1365">
            <v>12.631209999999999</v>
          </cell>
        </row>
        <row r="1366">
          <cell r="D1366">
            <v>40087</v>
          </cell>
          <cell r="F1366">
            <v>103.29608</v>
          </cell>
          <cell r="K1366">
            <v>40087</v>
          </cell>
          <cell r="M1366">
            <v>20.445740000000001</v>
          </cell>
          <cell r="R1366">
            <v>40087</v>
          </cell>
          <cell r="T1366">
            <v>5.39</v>
          </cell>
          <cell r="Y1366">
            <v>40087</v>
          </cell>
          <cell r="AA1366">
            <v>91.04</v>
          </cell>
          <cell r="AF1366">
            <v>40087</v>
          </cell>
          <cell r="AH1366">
            <v>24.057320000000001</v>
          </cell>
          <cell r="AM1366">
            <v>40087</v>
          </cell>
          <cell r="AO1366">
            <v>23.384029999999999</v>
          </cell>
          <cell r="AT1366">
            <v>40087</v>
          </cell>
          <cell r="AV1366">
            <v>22.076699999999999</v>
          </cell>
          <cell r="BA1366">
            <v>40087</v>
          </cell>
          <cell r="BC1366">
            <v>17.54533</v>
          </cell>
          <cell r="BH1366">
            <v>40087</v>
          </cell>
          <cell r="BJ1366">
            <v>13.13284</v>
          </cell>
        </row>
        <row r="1367">
          <cell r="D1367">
            <v>40086</v>
          </cell>
          <cell r="F1367">
            <v>104.79425999999999</v>
          </cell>
          <cell r="K1367">
            <v>40086</v>
          </cell>
          <cell r="M1367">
            <v>20.84421</v>
          </cell>
          <cell r="R1367">
            <v>40086</v>
          </cell>
          <cell r="T1367">
            <v>5.66</v>
          </cell>
          <cell r="Y1367">
            <v>40086</v>
          </cell>
          <cell r="AA1367">
            <v>93.36</v>
          </cell>
          <cell r="AF1367">
            <v>40086</v>
          </cell>
          <cell r="AH1367">
            <v>24.65457</v>
          </cell>
          <cell r="AM1367">
            <v>40086</v>
          </cell>
          <cell r="AO1367">
            <v>23.657679999999999</v>
          </cell>
          <cell r="AT1367">
            <v>40086</v>
          </cell>
          <cell r="AV1367">
            <v>22.31775</v>
          </cell>
          <cell r="BA1367">
            <v>40086</v>
          </cell>
          <cell r="BC1367">
            <v>18.858630000000002</v>
          </cell>
          <cell r="BH1367">
            <v>40086</v>
          </cell>
          <cell r="BJ1367">
            <v>13.502890000000001</v>
          </cell>
        </row>
        <row r="1368">
          <cell r="D1368">
            <v>40085</v>
          </cell>
          <cell r="F1368">
            <v>104.09336</v>
          </cell>
          <cell r="K1368">
            <v>40085</v>
          </cell>
          <cell r="M1368">
            <v>20.631689999999999</v>
          </cell>
          <cell r="R1368">
            <v>40085</v>
          </cell>
          <cell r="T1368">
            <v>5.78</v>
          </cell>
          <cell r="Y1368">
            <v>40085</v>
          </cell>
          <cell r="AA1368">
            <v>91.72</v>
          </cell>
          <cell r="AF1368">
            <v>40085</v>
          </cell>
          <cell r="AH1368">
            <v>24.658570000000001</v>
          </cell>
          <cell r="AM1368">
            <v>40085</v>
          </cell>
          <cell r="AO1368">
            <v>23.74596</v>
          </cell>
          <cell r="AT1368">
            <v>40085</v>
          </cell>
          <cell r="AV1368">
            <v>22.155670000000001</v>
          </cell>
          <cell r="BA1368">
            <v>40085</v>
          </cell>
          <cell r="BC1368">
            <v>18.90587</v>
          </cell>
          <cell r="BH1368">
            <v>40085</v>
          </cell>
          <cell r="BJ1368">
            <v>13.74137</v>
          </cell>
        </row>
        <row r="1369">
          <cell r="D1369">
            <v>40084</v>
          </cell>
          <cell r="F1369">
            <v>104.54895</v>
          </cell>
          <cell r="K1369">
            <v>40084</v>
          </cell>
          <cell r="M1369">
            <v>20.906189999999999</v>
          </cell>
          <cell r="R1369">
            <v>40084</v>
          </cell>
          <cell r="T1369">
            <v>5.94</v>
          </cell>
          <cell r="Y1369">
            <v>40084</v>
          </cell>
          <cell r="AA1369">
            <v>92.21</v>
          </cell>
          <cell r="AF1369">
            <v>40084</v>
          </cell>
          <cell r="AH1369">
            <v>24.761240000000001</v>
          </cell>
          <cell r="AM1369">
            <v>40084</v>
          </cell>
          <cell r="AO1369">
            <v>24.29767</v>
          </cell>
          <cell r="AT1369">
            <v>40084</v>
          </cell>
          <cell r="AV1369">
            <v>22.080860000000001</v>
          </cell>
          <cell r="BA1369">
            <v>40084</v>
          </cell>
          <cell r="BC1369">
            <v>18.499600000000001</v>
          </cell>
          <cell r="BH1369">
            <v>40084</v>
          </cell>
          <cell r="BJ1369">
            <v>13.782489999999999</v>
          </cell>
        </row>
        <row r="1370">
          <cell r="D1370">
            <v>40081</v>
          </cell>
          <cell r="F1370">
            <v>106.08217999999999</v>
          </cell>
          <cell r="K1370">
            <v>40081</v>
          </cell>
          <cell r="M1370">
            <v>20.02956</v>
          </cell>
          <cell r="R1370">
            <v>40081</v>
          </cell>
          <cell r="T1370">
            <v>5.83</v>
          </cell>
          <cell r="Y1370">
            <v>40081</v>
          </cell>
          <cell r="AA1370">
            <v>90.52</v>
          </cell>
          <cell r="AF1370">
            <v>40081</v>
          </cell>
          <cell r="AH1370">
            <v>24.258189999999999</v>
          </cell>
          <cell r="AM1370">
            <v>40081</v>
          </cell>
          <cell r="AO1370">
            <v>23.96435</v>
          </cell>
          <cell r="AT1370">
            <v>40081</v>
          </cell>
          <cell r="AV1370">
            <v>22.01436</v>
          </cell>
          <cell r="BA1370">
            <v>40081</v>
          </cell>
          <cell r="BC1370">
            <v>18.01774</v>
          </cell>
          <cell r="BH1370">
            <v>40081</v>
          </cell>
          <cell r="BJ1370">
            <v>13.461779999999999</v>
          </cell>
        </row>
        <row r="1371">
          <cell r="D1371">
            <v>40080</v>
          </cell>
          <cell r="F1371">
            <v>105.95952</v>
          </cell>
          <cell r="K1371">
            <v>40080</v>
          </cell>
          <cell r="M1371">
            <v>20.05613</v>
          </cell>
          <cell r="R1371">
            <v>40080</v>
          </cell>
          <cell r="T1371">
            <v>5.66</v>
          </cell>
          <cell r="Y1371">
            <v>40080</v>
          </cell>
          <cell r="AA1371">
            <v>92.11</v>
          </cell>
          <cell r="AF1371">
            <v>40080</v>
          </cell>
          <cell r="AH1371">
            <v>24.451059999999998</v>
          </cell>
          <cell r="AM1371">
            <v>40080</v>
          </cell>
          <cell r="AO1371">
            <v>23.66611</v>
          </cell>
          <cell r="AT1371">
            <v>40080</v>
          </cell>
          <cell r="AV1371">
            <v>21.75254</v>
          </cell>
          <cell r="BA1371">
            <v>40080</v>
          </cell>
          <cell r="BC1371">
            <v>18.187449999999998</v>
          </cell>
          <cell r="BH1371">
            <v>40080</v>
          </cell>
          <cell r="BJ1371">
            <v>13.63447</v>
          </cell>
        </row>
        <row r="1372">
          <cell r="D1372">
            <v>40079</v>
          </cell>
          <cell r="F1372">
            <v>105.85438000000001</v>
          </cell>
          <cell r="K1372">
            <v>40079</v>
          </cell>
          <cell r="M1372">
            <v>20.188949999999998</v>
          </cell>
          <cell r="R1372">
            <v>40079</v>
          </cell>
          <cell r="T1372">
            <v>6.02</v>
          </cell>
          <cell r="Y1372">
            <v>40079</v>
          </cell>
          <cell r="AA1372">
            <v>92.38</v>
          </cell>
          <cell r="AF1372">
            <v>40079</v>
          </cell>
          <cell r="AH1372">
            <v>24.674530000000001</v>
          </cell>
          <cell r="AM1372">
            <v>40079</v>
          </cell>
          <cell r="AO1372">
            <v>24.323989999999998</v>
          </cell>
          <cell r="AT1372">
            <v>40079</v>
          </cell>
          <cell r="AV1372">
            <v>21.85228</v>
          </cell>
          <cell r="BA1372">
            <v>40079</v>
          </cell>
          <cell r="BC1372">
            <v>18.555160000000001</v>
          </cell>
          <cell r="BH1372">
            <v>40079</v>
          </cell>
          <cell r="BJ1372">
            <v>13.979850000000001</v>
          </cell>
        </row>
        <row r="1373">
          <cell r="D1373">
            <v>40078</v>
          </cell>
          <cell r="F1373">
            <v>106.54653</v>
          </cell>
          <cell r="K1373">
            <v>40078</v>
          </cell>
          <cell r="M1373">
            <v>20.729089999999999</v>
          </cell>
          <cell r="R1373">
            <v>40078</v>
          </cell>
          <cell r="T1373">
            <v>6.08</v>
          </cell>
          <cell r="Y1373">
            <v>40078</v>
          </cell>
          <cell r="AA1373">
            <v>93.75</v>
          </cell>
          <cell r="AF1373">
            <v>40078</v>
          </cell>
          <cell r="AH1373">
            <v>24.53885</v>
          </cell>
          <cell r="AM1373">
            <v>40078</v>
          </cell>
          <cell r="AO1373">
            <v>24.367850000000001</v>
          </cell>
          <cell r="AT1373">
            <v>40078</v>
          </cell>
          <cell r="AV1373">
            <v>21.964490000000001</v>
          </cell>
          <cell r="BA1373">
            <v>40078</v>
          </cell>
          <cell r="BC1373">
            <v>18.310020000000002</v>
          </cell>
          <cell r="BH1373">
            <v>40078</v>
          </cell>
          <cell r="BJ1373">
            <v>13.98808</v>
          </cell>
        </row>
        <row r="1374">
          <cell r="D1374">
            <v>40077</v>
          </cell>
          <cell r="F1374">
            <v>106.51148000000001</v>
          </cell>
          <cell r="K1374">
            <v>40077</v>
          </cell>
          <cell r="M1374">
            <v>20.9239</v>
          </cell>
          <cell r="R1374">
            <v>40077</v>
          </cell>
          <cell r="T1374">
            <v>5.81</v>
          </cell>
          <cell r="Y1374">
            <v>40077</v>
          </cell>
          <cell r="AA1374">
            <v>90.56</v>
          </cell>
          <cell r="AF1374">
            <v>40077</v>
          </cell>
          <cell r="AH1374">
            <v>24.47766</v>
          </cell>
          <cell r="AM1374">
            <v>40077</v>
          </cell>
          <cell r="AO1374">
            <v>24.46434</v>
          </cell>
          <cell r="AT1374">
            <v>40077</v>
          </cell>
          <cell r="AV1374">
            <v>22.02683</v>
          </cell>
          <cell r="BA1374">
            <v>40077</v>
          </cell>
          <cell r="BC1374">
            <v>18.149740000000001</v>
          </cell>
          <cell r="BH1374">
            <v>40077</v>
          </cell>
          <cell r="BJ1374">
            <v>13.782489999999999</v>
          </cell>
        </row>
        <row r="1375">
          <cell r="D1375">
            <v>40074</v>
          </cell>
          <cell r="F1375">
            <v>106.9846</v>
          </cell>
          <cell r="K1375">
            <v>40074</v>
          </cell>
          <cell r="M1375">
            <v>20.72024</v>
          </cell>
          <cell r="R1375">
            <v>40074</v>
          </cell>
          <cell r="T1375">
            <v>5.7</v>
          </cell>
          <cell r="Y1375">
            <v>40074</v>
          </cell>
          <cell r="AA1375">
            <v>90.28</v>
          </cell>
          <cell r="AF1375">
            <v>40074</v>
          </cell>
          <cell r="AH1375">
            <v>24.610679999999999</v>
          </cell>
          <cell r="AM1375">
            <v>40074</v>
          </cell>
          <cell r="AO1375">
            <v>24.46434</v>
          </cell>
          <cell r="AT1375">
            <v>40074</v>
          </cell>
          <cell r="AV1375">
            <v>22.342690000000001</v>
          </cell>
          <cell r="BA1375">
            <v>40074</v>
          </cell>
          <cell r="BC1375">
            <v>18.47973</v>
          </cell>
          <cell r="BH1375">
            <v>40074</v>
          </cell>
          <cell r="BJ1375">
            <v>13.568680000000001</v>
          </cell>
        </row>
        <row r="1376">
          <cell r="D1376">
            <v>40073</v>
          </cell>
          <cell r="F1376">
            <v>106.78309</v>
          </cell>
          <cell r="K1376">
            <v>40073</v>
          </cell>
          <cell r="M1376">
            <v>20.714929999999999</v>
          </cell>
          <cell r="R1376">
            <v>40073</v>
          </cell>
          <cell r="T1376">
            <v>5.67</v>
          </cell>
          <cell r="Y1376">
            <v>40073</v>
          </cell>
          <cell r="AA1376">
            <v>90.44</v>
          </cell>
          <cell r="AF1376">
            <v>40073</v>
          </cell>
          <cell r="AH1376">
            <v>24.548159999999999</v>
          </cell>
          <cell r="AM1376">
            <v>40073</v>
          </cell>
          <cell r="AO1376">
            <v>24.42925</v>
          </cell>
          <cell r="AT1376">
            <v>40073</v>
          </cell>
          <cell r="AV1376">
            <v>22.20138</v>
          </cell>
          <cell r="BA1376">
            <v>40073</v>
          </cell>
          <cell r="BC1376">
            <v>18.281739999999999</v>
          </cell>
          <cell r="BH1376">
            <v>40073</v>
          </cell>
          <cell r="BJ1376">
            <v>13.70026</v>
          </cell>
        </row>
        <row r="1377">
          <cell r="D1377">
            <v>40072</v>
          </cell>
          <cell r="F1377">
            <v>106.73052</v>
          </cell>
          <cell r="K1377">
            <v>40072</v>
          </cell>
          <cell r="M1377">
            <v>20.684819999999998</v>
          </cell>
          <cell r="R1377">
            <v>40072</v>
          </cell>
          <cell r="T1377">
            <v>5.69</v>
          </cell>
          <cell r="Y1377">
            <v>40072</v>
          </cell>
          <cell r="AA1377">
            <v>90.7</v>
          </cell>
          <cell r="AF1377">
            <v>40072</v>
          </cell>
          <cell r="AH1377">
            <v>24.191680000000002</v>
          </cell>
          <cell r="AM1377">
            <v>40072</v>
          </cell>
          <cell r="AO1377">
            <v>24.28013</v>
          </cell>
          <cell r="AT1377">
            <v>40072</v>
          </cell>
          <cell r="AV1377">
            <v>21.889679999999998</v>
          </cell>
          <cell r="BA1377">
            <v>40072</v>
          </cell>
          <cell r="BC1377">
            <v>18.30059</v>
          </cell>
          <cell r="BH1377">
            <v>40072</v>
          </cell>
          <cell r="BJ1377">
            <v>13.89762</v>
          </cell>
        </row>
        <row r="1378">
          <cell r="D1378">
            <v>40071</v>
          </cell>
          <cell r="F1378">
            <v>104.56647</v>
          </cell>
          <cell r="K1378">
            <v>40071</v>
          </cell>
          <cell r="M1378">
            <v>20.34834</v>
          </cell>
          <cell r="R1378">
            <v>40071</v>
          </cell>
          <cell r="T1378">
            <v>5.88</v>
          </cell>
          <cell r="Y1378">
            <v>40071</v>
          </cell>
          <cell r="AA1378">
            <v>83.55</v>
          </cell>
          <cell r="AF1378">
            <v>40071</v>
          </cell>
          <cell r="AH1378">
            <v>23.299140000000001</v>
          </cell>
          <cell r="AM1378">
            <v>40071</v>
          </cell>
          <cell r="AO1378">
            <v>23.938030000000001</v>
          </cell>
          <cell r="AT1378">
            <v>40071</v>
          </cell>
          <cell r="AV1378">
            <v>21.798249999999999</v>
          </cell>
          <cell r="BA1378">
            <v>40071</v>
          </cell>
          <cell r="BC1378">
            <v>17.461459999999999</v>
          </cell>
          <cell r="BH1378">
            <v>40071</v>
          </cell>
          <cell r="BJ1378">
            <v>13.080109999999999</v>
          </cell>
        </row>
        <row r="1379">
          <cell r="D1379">
            <v>40070</v>
          </cell>
          <cell r="F1379">
            <v>104.15469</v>
          </cell>
          <cell r="K1379">
            <v>40070</v>
          </cell>
          <cell r="M1379">
            <v>20.180099999999999</v>
          </cell>
          <cell r="R1379">
            <v>40070</v>
          </cell>
          <cell r="T1379">
            <v>5.72</v>
          </cell>
          <cell r="Y1379">
            <v>40070</v>
          </cell>
          <cell r="AA1379">
            <v>83.86</v>
          </cell>
          <cell r="AF1379">
            <v>40070</v>
          </cell>
          <cell r="AH1379">
            <v>23.107589999999998</v>
          </cell>
          <cell r="AM1379">
            <v>40070</v>
          </cell>
          <cell r="AO1379">
            <v>23.359100000000002</v>
          </cell>
          <cell r="AT1379">
            <v>40070</v>
          </cell>
          <cell r="AV1379">
            <v>21.67773</v>
          </cell>
          <cell r="BA1379">
            <v>40070</v>
          </cell>
          <cell r="BC1379">
            <v>17.320029999999999</v>
          </cell>
          <cell r="BH1379">
            <v>40070</v>
          </cell>
          <cell r="BJ1379">
            <v>12.548730000000001</v>
          </cell>
        </row>
        <row r="1380">
          <cell r="D1380">
            <v>40067</v>
          </cell>
          <cell r="F1380">
            <v>103.42749999999999</v>
          </cell>
          <cell r="K1380">
            <v>40067</v>
          </cell>
          <cell r="M1380">
            <v>20.445740000000001</v>
          </cell>
          <cell r="R1380">
            <v>40067</v>
          </cell>
          <cell r="T1380">
            <v>5.68</v>
          </cell>
          <cell r="Y1380">
            <v>40067</v>
          </cell>
          <cell r="AA1380">
            <v>84.54</v>
          </cell>
          <cell r="AF1380">
            <v>40067</v>
          </cell>
          <cell r="AH1380">
            <v>22.900089999999999</v>
          </cell>
          <cell r="AM1380">
            <v>40067</v>
          </cell>
          <cell r="AO1380">
            <v>23.2363</v>
          </cell>
          <cell r="AT1380">
            <v>40067</v>
          </cell>
          <cell r="AV1380">
            <v>21.407589999999999</v>
          </cell>
          <cell r="BA1380">
            <v>40067</v>
          </cell>
          <cell r="BC1380">
            <v>17.150320000000001</v>
          </cell>
          <cell r="BH1380">
            <v>40067</v>
          </cell>
          <cell r="BJ1380">
            <v>11.99283</v>
          </cell>
        </row>
        <row r="1381">
          <cell r="D1381">
            <v>40066</v>
          </cell>
          <cell r="F1381">
            <v>103.09457</v>
          </cell>
          <cell r="K1381">
            <v>40066</v>
          </cell>
          <cell r="M1381">
            <v>20.3749</v>
          </cell>
          <cell r="R1381">
            <v>40066</v>
          </cell>
          <cell r="T1381">
            <v>5.38</v>
          </cell>
          <cell r="Y1381">
            <v>40066</v>
          </cell>
          <cell r="AA1381">
            <v>83.85</v>
          </cell>
          <cell r="AF1381">
            <v>40066</v>
          </cell>
          <cell r="AH1381">
            <v>22.953299999999999</v>
          </cell>
          <cell r="AM1381">
            <v>40066</v>
          </cell>
          <cell r="AO1381">
            <v>23.05209</v>
          </cell>
          <cell r="AT1381">
            <v>40066</v>
          </cell>
          <cell r="AV1381">
            <v>20.850680000000001</v>
          </cell>
          <cell r="BA1381">
            <v>40066</v>
          </cell>
          <cell r="BC1381">
            <v>17.169180000000001</v>
          </cell>
          <cell r="BH1381">
            <v>40066</v>
          </cell>
          <cell r="BJ1381">
            <v>12.0991</v>
          </cell>
        </row>
        <row r="1382">
          <cell r="D1382">
            <v>40065</v>
          </cell>
          <cell r="F1382">
            <v>102.29729</v>
          </cell>
          <cell r="K1382">
            <v>40065</v>
          </cell>
          <cell r="M1382">
            <v>19.684229999999999</v>
          </cell>
          <cell r="R1382">
            <v>40065</v>
          </cell>
          <cell r="T1382">
            <v>5.2</v>
          </cell>
          <cell r="Y1382">
            <v>40065</v>
          </cell>
          <cell r="AA1382">
            <v>82.24</v>
          </cell>
          <cell r="AF1382">
            <v>40065</v>
          </cell>
          <cell r="AH1382">
            <v>22.764410000000002</v>
          </cell>
          <cell r="AM1382">
            <v>40065</v>
          </cell>
          <cell r="AO1382">
            <v>23.53453</v>
          </cell>
          <cell r="AT1382">
            <v>40065</v>
          </cell>
          <cell r="AV1382">
            <v>20.871289999999998</v>
          </cell>
          <cell r="BA1382">
            <v>40065</v>
          </cell>
          <cell r="BC1382">
            <v>16.141480000000001</v>
          </cell>
          <cell r="BH1382">
            <v>40065</v>
          </cell>
          <cell r="BJ1382">
            <v>12.156330000000001</v>
          </cell>
        </row>
        <row r="1383">
          <cell r="D1383">
            <v>40064</v>
          </cell>
          <cell r="F1383">
            <v>102.64774</v>
          </cell>
          <cell r="K1383">
            <v>40064</v>
          </cell>
          <cell r="M1383">
            <v>19.40973</v>
          </cell>
          <cell r="R1383">
            <v>40064</v>
          </cell>
          <cell r="T1383">
            <v>5.19</v>
          </cell>
          <cell r="Y1383">
            <v>40064</v>
          </cell>
          <cell r="AA1383">
            <v>80.900000000000006</v>
          </cell>
          <cell r="AF1383">
            <v>40064</v>
          </cell>
          <cell r="AH1383">
            <v>23.002510000000001</v>
          </cell>
          <cell r="AM1383">
            <v>40064</v>
          </cell>
          <cell r="AO1383">
            <v>23.043320000000001</v>
          </cell>
          <cell r="AT1383">
            <v>40064</v>
          </cell>
          <cell r="AV1383">
            <v>20.7806</v>
          </cell>
          <cell r="BA1383">
            <v>40064</v>
          </cell>
          <cell r="BC1383">
            <v>15.9152</v>
          </cell>
          <cell r="BH1383">
            <v>40064</v>
          </cell>
          <cell r="BJ1383">
            <v>11.85385</v>
          </cell>
        </row>
        <row r="1384">
          <cell r="D1384">
            <v>40060</v>
          </cell>
          <cell r="F1384">
            <v>102.91058</v>
          </cell>
          <cell r="K1384">
            <v>40060</v>
          </cell>
          <cell r="M1384">
            <v>19.338889999999999</v>
          </cell>
          <cell r="R1384">
            <v>40060</v>
          </cell>
          <cell r="T1384">
            <v>4.53</v>
          </cell>
          <cell r="Y1384">
            <v>40060</v>
          </cell>
          <cell r="AA1384">
            <v>78.87</v>
          </cell>
          <cell r="AF1384">
            <v>40060</v>
          </cell>
          <cell r="AH1384">
            <v>22.65401</v>
          </cell>
          <cell r="AM1384">
            <v>40060</v>
          </cell>
          <cell r="AO1384">
            <v>22.595960000000002</v>
          </cell>
          <cell r="AT1384">
            <v>40060</v>
          </cell>
          <cell r="AV1384">
            <v>20.590979999999998</v>
          </cell>
          <cell r="BA1384">
            <v>40060</v>
          </cell>
          <cell r="BC1384">
            <v>15.37778</v>
          </cell>
          <cell r="BH1384">
            <v>40060</v>
          </cell>
          <cell r="BJ1384">
            <v>11.33882</v>
          </cell>
        </row>
        <row r="1385">
          <cell r="D1385">
            <v>40059</v>
          </cell>
          <cell r="F1385">
            <v>101.92055000000001</v>
          </cell>
          <cell r="K1385">
            <v>40059</v>
          </cell>
          <cell r="M1385">
            <v>19.028970000000001</v>
          </cell>
          <cell r="R1385">
            <v>40059</v>
          </cell>
          <cell r="T1385">
            <v>4.53</v>
          </cell>
          <cell r="Y1385">
            <v>40059</v>
          </cell>
          <cell r="AA1385">
            <v>78.459999999999994</v>
          </cell>
          <cell r="AF1385">
            <v>40059</v>
          </cell>
          <cell r="AH1385">
            <v>22.153870000000001</v>
          </cell>
          <cell r="AM1385">
            <v>40059</v>
          </cell>
          <cell r="AO1385">
            <v>22.60473</v>
          </cell>
          <cell r="AT1385">
            <v>40059</v>
          </cell>
          <cell r="AV1385">
            <v>20.43845</v>
          </cell>
          <cell r="BA1385">
            <v>40059</v>
          </cell>
          <cell r="BC1385">
            <v>15.12321</v>
          </cell>
          <cell r="BH1385">
            <v>40059</v>
          </cell>
          <cell r="BJ1385">
            <v>10.995469999999999</v>
          </cell>
        </row>
        <row r="1386">
          <cell r="D1386">
            <v>40058</v>
          </cell>
          <cell r="F1386">
            <v>101.71028</v>
          </cell>
          <cell r="K1386">
            <v>40058</v>
          </cell>
          <cell r="M1386">
            <v>19.082100000000001</v>
          </cell>
          <cell r="R1386">
            <v>40058</v>
          </cell>
          <cell r="T1386">
            <v>4.28</v>
          </cell>
          <cell r="Y1386">
            <v>40058</v>
          </cell>
          <cell r="AA1386">
            <v>78.14</v>
          </cell>
          <cell r="AF1386">
            <v>40058</v>
          </cell>
          <cell r="AH1386">
            <v>21.971630000000001</v>
          </cell>
          <cell r="AM1386">
            <v>40058</v>
          </cell>
          <cell r="AO1386">
            <v>21.902989999999999</v>
          </cell>
          <cell r="AT1386">
            <v>40058</v>
          </cell>
          <cell r="AV1386">
            <v>20.529140000000002</v>
          </cell>
          <cell r="BA1386">
            <v>40058</v>
          </cell>
          <cell r="BC1386">
            <v>14.670640000000001</v>
          </cell>
          <cell r="BH1386">
            <v>40058</v>
          </cell>
          <cell r="BJ1386">
            <v>10.791090000000001</v>
          </cell>
        </row>
        <row r="1387">
          <cell r="D1387">
            <v>40057</v>
          </cell>
          <cell r="F1387">
            <v>102.23596000000001</v>
          </cell>
          <cell r="K1387">
            <v>40057</v>
          </cell>
          <cell r="M1387">
            <v>18.745619999999999</v>
          </cell>
          <cell r="R1387">
            <v>40057</v>
          </cell>
          <cell r="T1387">
            <v>4.22</v>
          </cell>
          <cell r="Y1387">
            <v>40057</v>
          </cell>
          <cell r="AA1387">
            <v>79.16</v>
          </cell>
          <cell r="AF1387">
            <v>40057</v>
          </cell>
          <cell r="AH1387">
            <v>21.98733</v>
          </cell>
          <cell r="AM1387">
            <v>40057</v>
          </cell>
          <cell r="AO1387">
            <v>22.0258</v>
          </cell>
          <cell r="AT1387">
            <v>40057</v>
          </cell>
          <cell r="AV1387">
            <v>20.005610000000001</v>
          </cell>
          <cell r="BA1387">
            <v>40057</v>
          </cell>
          <cell r="BC1387">
            <v>14.76493</v>
          </cell>
          <cell r="BH1387">
            <v>40057</v>
          </cell>
          <cell r="BJ1387">
            <v>10.90554</v>
          </cell>
        </row>
        <row r="1388">
          <cell r="D1388">
            <v>40056</v>
          </cell>
          <cell r="F1388">
            <v>103.42749999999999</v>
          </cell>
          <cell r="K1388">
            <v>40056</v>
          </cell>
          <cell r="M1388">
            <v>19.126370000000001</v>
          </cell>
          <cell r="R1388">
            <v>40056</v>
          </cell>
          <cell r="T1388">
            <v>4.3600000000000003</v>
          </cell>
          <cell r="Y1388">
            <v>40056</v>
          </cell>
          <cell r="AA1388">
            <v>81.19</v>
          </cell>
          <cell r="AF1388">
            <v>40056</v>
          </cell>
          <cell r="AH1388">
            <v>22.374680000000001</v>
          </cell>
          <cell r="AM1388">
            <v>40056</v>
          </cell>
          <cell r="AO1388">
            <v>21.714400000000001</v>
          </cell>
          <cell r="AT1388">
            <v>40056</v>
          </cell>
          <cell r="AV1388">
            <v>20.10454</v>
          </cell>
          <cell r="BA1388">
            <v>40056</v>
          </cell>
          <cell r="BC1388">
            <v>15.26464</v>
          </cell>
          <cell r="BH1388">
            <v>40056</v>
          </cell>
          <cell r="BJ1388">
            <v>11.363350000000001</v>
          </cell>
        </row>
        <row r="1389">
          <cell r="D1389">
            <v>40053</v>
          </cell>
          <cell r="F1389">
            <v>103.57644000000001</v>
          </cell>
          <cell r="K1389">
            <v>40053</v>
          </cell>
          <cell r="M1389">
            <v>19.48057</v>
          </cell>
          <cell r="R1389">
            <v>40053</v>
          </cell>
          <cell r="T1389">
            <v>4.47</v>
          </cell>
          <cell r="Y1389">
            <v>40053</v>
          </cell>
          <cell r="AA1389">
            <v>82.76</v>
          </cell>
          <cell r="AF1389">
            <v>40053</v>
          </cell>
          <cell r="AH1389">
            <v>22.619420000000002</v>
          </cell>
          <cell r="AM1389">
            <v>40053</v>
          </cell>
          <cell r="AO1389">
            <v>21.513459999999998</v>
          </cell>
          <cell r="AT1389">
            <v>40053</v>
          </cell>
          <cell r="AV1389">
            <v>20.22409</v>
          </cell>
          <cell r="BA1389">
            <v>40053</v>
          </cell>
          <cell r="BC1389">
            <v>15.73606</v>
          </cell>
          <cell r="BH1389">
            <v>40053</v>
          </cell>
          <cell r="BJ1389">
            <v>11.5105</v>
          </cell>
        </row>
        <row r="1390">
          <cell r="D1390">
            <v>40052</v>
          </cell>
          <cell r="F1390">
            <v>104.63656</v>
          </cell>
          <cell r="K1390">
            <v>40052</v>
          </cell>
          <cell r="M1390">
            <v>19.374310000000001</v>
          </cell>
          <cell r="R1390">
            <v>40052</v>
          </cell>
          <cell r="T1390">
            <v>4.2300000000000004</v>
          </cell>
          <cell r="Y1390">
            <v>40052</v>
          </cell>
          <cell r="AA1390">
            <v>84.31</v>
          </cell>
          <cell r="AF1390">
            <v>40052</v>
          </cell>
          <cell r="AH1390">
            <v>22.53961</v>
          </cell>
          <cell r="AM1390">
            <v>40052</v>
          </cell>
          <cell r="AO1390">
            <v>21.569970000000001</v>
          </cell>
          <cell r="AT1390">
            <v>40052</v>
          </cell>
          <cell r="AV1390">
            <v>20.380739999999999</v>
          </cell>
          <cell r="BA1390">
            <v>40052</v>
          </cell>
          <cell r="BC1390">
            <v>16.084910000000001</v>
          </cell>
          <cell r="BH1390">
            <v>40052</v>
          </cell>
          <cell r="BJ1390">
            <v>11.600429999999999</v>
          </cell>
        </row>
        <row r="1391">
          <cell r="D1391">
            <v>40051</v>
          </cell>
          <cell r="F1391">
            <v>104.67161</v>
          </cell>
          <cell r="K1391">
            <v>40051</v>
          </cell>
          <cell r="M1391">
            <v>19.418579999999999</v>
          </cell>
          <cell r="R1391">
            <v>40051</v>
          </cell>
          <cell r="T1391">
            <v>4.0599999999999996</v>
          </cell>
          <cell r="Y1391">
            <v>40051</v>
          </cell>
          <cell r="AA1391">
            <v>84</v>
          </cell>
          <cell r="AF1391">
            <v>40051</v>
          </cell>
          <cell r="AH1391">
            <v>22.268260000000001</v>
          </cell>
          <cell r="AM1391">
            <v>40051</v>
          </cell>
          <cell r="AO1391">
            <v>21.350190000000001</v>
          </cell>
          <cell r="AT1391">
            <v>40051</v>
          </cell>
          <cell r="AV1391">
            <v>20.27356</v>
          </cell>
          <cell r="BA1391">
            <v>40051</v>
          </cell>
          <cell r="BC1391">
            <v>15.943479999999999</v>
          </cell>
          <cell r="BH1391">
            <v>40051</v>
          </cell>
          <cell r="BJ1391">
            <v>11.535019999999999</v>
          </cell>
        </row>
        <row r="1392">
          <cell r="D1392">
            <v>40050</v>
          </cell>
          <cell r="F1392">
            <v>104.11087999999999</v>
          </cell>
          <cell r="K1392">
            <v>40050</v>
          </cell>
          <cell r="M1392">
            <v>19.48057</v>
          </cell>
          <cell r="R1392">
            <v>40050</v>
          </cell>
          <cell r="T1392">
            <v>4.0199999999999996</v>
          </cell>
          <cell r="Y1392">
            <v>40050</v>
          </cell>
          <cell r="AA1392">
            <v>84.19</v>
          </cell>
          <cell r="AF1392">
            <v>40050</v>
          </cell>
          <cell r="AH1392">
            <v>22.532959999999999</v>
          </cell>
          <cell r="AM1392">
            <v>40050</v>
          </cell>
          <cell r="AO1392">
            <v>21.664169999999999</v>
          </cell>
          <cell r="AT1392">
            <v>40050</v>
          </cell>
          <cell r="AV1392">
            <v>20.092179999999999</v>
          </cell>
          <cell r="BA1392">
            <v>40050</v>
          </cell>
          <cell r="BC1392">
            <v>16.122620000000001</v>
          </cell>
          <cell r="BH1392">
            <v>40050</v>
          </cell>
          <cell r="BJ1392">
            <v>11.69035</v>
          </cell>
        </row>
        <row r="1393">
          <cell r="D1393">
            <v>40049</v>
          </cell>
          <cell r="F1393">
            <v>104.54019</v>
          </cell>
          <cell r="K1393">
            <v>40049</v>
          </cell>
          <cell r="M1393">
            <v>19.5337</v>
          </cell>
          <cell r="R1393">
            <v>40049</v>
          </cell>
          <cell r="T1393">
            <v>4</v>
          </cell>
          <cell r="Y1393">
            <v>40049</v>
          </cell>
          <cell r="AA1393">
            <v>84.5</v>
          </cell>
          <cell r="AF1393">
            <v>40049</v>
          </cell>
          <cell r="AH1393">
            <v>22.487739999999999</v>
          </cell>
          <cell r="AM1393">
            <v>40049</v>
          </cell>
          <cell r="AO1393">
            <v>22.254439999999999</v>
          </cell>
          <cell r="AT1393">
            <v>40049</v>
          </cell>
          <cell r="AV1393">
            <v>20.22409</v>
          </cell>
          <cell r="BA1393">
            <v>40049</v>
          </cell>
          <cell r="BC1393">
            <v>16.198049999999999</v>
          </cell>
          <cell r="BH1393">
            <v>40049</v>
          </cell>
          <cell r="BJ1393">
            <v>11.608599999999999</v>
          </cell>
        </row>
        <row r="1394">
          <cell r="D1394">
            <v>40046</v>
          </cell>
          <cell r="F1394">
            <v>105.04834</v>
          </cell>
          <cell r="K1394">
            <v>40046</v>
          </cell>
          <cell r="M1394">
            <v>19.648810000000001</v>
          </cell>
          <cell r="R1394">
            <v>40046</v>
          </cell>
          <cell r="T1394">
            <v>3.7</v>
          </cell>
          <cell r="Y1394">
            <v>40046</v>
          </cell>
          <cell r="AA1394">
            <v>85</v>
          </cell>
          <cell r="AF1394">
            <v>40046</v>
          </cell>
          <cell r="AH1394">
            <v>22.50902</v>
          </cell>
          <cell r="AM1394">
            <v>40046</v>
          </cell>
          <cell r="AO1394">
            <v>22.373750000000001</v>
          </cell>
          <cell r="AT1394">
            <v>40046</v>
          </cell>
          <cell r="AV1394">
            <v>20.574490000000001</v>
          </cell>
          <cell r="BA1394">
            <v>40046</v>
          </cell>
          <cell r="BC1394">
            <v>16.16977</v>
          </cell>
          <cell r="BH1394">
            <v>40046</v>
          </cell>
          <cell r="BJ1394">
            <v>11.61678</v>
          </cell>
        </row>
        <row r="1395">
          <cell r="D1395">
            <v>40045</v>
          </cell>
          <cell r="F1395">
            <v>104.21602</v>
          </cell>
          <cell r="K1395">
            <v>40045</v>
          </cell>
          <cell r="M1395">
            <v>19.38316</v>
          </cell>
          <cell r="R1395">
            <v>40045</v>
          </cell>
          <cell r="T1395">
            <v>3.52</v>
          </cell>
          <cell r="Y1395">
            <v>40045</v>
          </cell>
          <cell r="AA1395">
            <v>84.09</v>
          </cell>
          <cell r="AF1395">
            <v>40045</v>
          </cell>
          <cell r="AH1395">
            <v>22.124600000000001</v>
          </cell>
          <cell r="AM1395">
            <v>40045</v>
          </cell>
          <cell r="AO1395">
            <v>21.814869999999999</v>
          </cell>
          <cell r="AT1395">
            <v>40045</v>
          </cell>
          <cell r="AV1395">
            <v>20.372489999999999</v>
          </cell>
          <cell r="BA1395">
            <v>40045</v>
          </cell>
          <cell r="BC1395">
            <v>15.934049999999999</v>
          </cell>
          <cell r="BH1395">
            <v>40045</v>
          </cell>
          <cell r="BJ1395">
            <v>11.289770000000001</v>
          </cell>
        </row>
        <row r="1396">
          <cell r="D1396">
            <v>40044</v>
          </cell>
          <cell r="F1396">
            <v>103.88309</v>
          </cell>
          <cell r="K1396">
            <v>40044</v>
          </cell>
          <cell r="M1396">
            <v>18.807600000000001</v>
          </cell>
          <cell r="R1396">
            <v>40044</v>
          </cell>
          <cell r="T1396">
            <v>3.52</v>
          </cell>
          <cell r="Y1396">
            <v>40044</v>
          </cell>
          <cell r="AA1396">
            <v>83</v>
          </cell>
          <cell r="AF1396">
            <v>40044</v>
          </cell>
          <cell r="AH1396">
            <v>21.894490000000001</v>
          </cell>
          <cell r="AM1396">
            <v>40044</v>
          </cell>
          <cell r="AO1396">
            <v>21.965579999999999</v>
          </cell>
          <cell r="AT1396">
            <v>40044</v>
          </cell>
          <cell r="AV1396">
            <v>20.347760000000001</v>
          </cell>
          <cell r="BA1396">
            <v>40044</v>
          </cell>
          <cell r="BC1396">
            <v>15.5192</v>
          </cell>
          <cell r="BH1396">
            <v>40044</v>
          </cell>
          <cell r="BJ1396">
            <v>11.06087</v>
          </cell>
        </row>
        <row r="1397">
          <cell r="D1397">
            <v>40043</v>
          </cell>
          <cell r="F1397">
            <v>103.05952000000001</v>
          </cell>
          <cell r="K1397">
            <v>40043</v>
          </cell>
          <cell r="M1397">
            <v>18.603940000000001</v>
          </cell>
          <cell r="R1397">
            <v>40043</v>
          </cell>
          <cell r="T1397">
            <v>3.56</v>
          </cell>
          <cell r="Y1397">
            <v>40043</v>
          </cell>
          <cell r="AA1397">
            <v>82.12</v>
          </cell>
          <cell r="AF1397">
            <v>40043</v>
          </cell>
          <cell r="AH1397">
            <v>21.814679999999999</v>
          </cell>
          <cell r="AM1397">
            <v>40043</v>
          </cell>
          <cell r="AO1397">
            <v>21.482060000000001</v>
          </cell>
          <cell r="AT1397">
            <v>40043</v>
          </cell>
          <cell r="AV1397">
            <v>20.038589999999999</v>
          </cell>
          <cell r="BA1397">
            <v>40043</v>
          </cell>
          <cell r="BC1397">
            <v>15.151490000000001</v>
          </cell>
          <cell r="BH1397">
            <v>40043</v>
          </cell>
          <cell r="BJ1397">
            <v>11.109920000000001</v>
          </cell>
        </row>
        <row r="1398">
          <cell r="D1398">
            <v>40042</v>
          </cell>
          <cell r="F1398">
            <v>102.3849</v>
          </cell>
          <cell r="K1398">
            <v>40042</v>
          </cell>
          <cell r="M1398">
            <v>18.356010000000001</v>
          </cell>
          <cell r="R1398">
            <v>40042</v>
          </cell>
          <cell r="T1398">
            <v>3.55</v>
          </cell>
          <cell r="Y1398">
            <v>40042</v>
          </cell>
          <cell r="AA1398">
            <v>81.06</v>
          </cell>
          <cell r="AF1398">
            <v>40042</v>
          </cell>
          <cell r="AH1398">
            <v>21.228069999999999</v>
          </cell>
          <cell r="AM1398">
            <v>40042</v>
          </cell>
          <cell r="AO1398">
            <v>20.948309999999999</v>
          </cell>
          <cell r="AT1398">
            <v>40042</v>
          </cell>
          <cell r="AV1398">
            <v>20.075690000000002</v>
          </cell>
          <cell r="BA1398">
            <v>40042</v>
          </cell>
          <cell r="BC1398">
            <v>14.981780000000001</v>
          </cell>
          <cell r="BH1398">
            <v>40042</v>
          </cell>
          <cell r="BJ1398">
            <v>10.921889999999999</v>
          </cell>
        </row>
        <row r="1399">
          <cell r="D1399">
            <v>40039</v>
          </cell>
          <cell r="F1399">
            <v>103.88309</v>
          </cell>
          <cell r="K1399">
            <v>40039</v>
          </cell>
          <cell r="M1399">
            <v>18.869579999999999</v>
          </cell>
          <cell r="R1399">
            <v>40039</v>
          </cell>
          <cell r="T1399">
            <v>3.69</v>
          </cell>
          <cell r="Y1399">
            <v>40039</v>
          </cell>
          <cell r="AA1399">
            <v>83.58</v>
          </cell>
          <cell r="AF1399">
            <v>40039</v>
          </cell>
          <cell r="AH1399">
            <v>22.184460000000001</v>
          </cell>
          <cell r="AM1399">
            <v>40039</v>
          </cell>
          <cell r="AO1399">
            <v>20.65945</v>
          </cell>
          <cell r="AT1399">
            <v>40039</v>
          </cell>
          <cell r="AV1399">
            <v>19.980869999999999</v>
          </cell>
          <cell r="BA1399">
            <v>40039</v>
          </cell>
          <cell r="BC1399">
            <v>15.60406</v>
          </cell>
          <cell r="BH1399">
            <v>40039</v>
          </cell>
          <cell r="BJ1399">
            <v>11.3797</v>
          </cell>
        </row>
        <row r="1400">
          <cell r="D1400">
            <v>40038</v>
          </cell>
          <cell r="F1400">
            <v>104.76797999999999</v>
          </cell>
          <cell r="K1400">
            <v>40038</v>
          </cell>
          <cell r="M1400">
            <v>19.046679999999999</v>
          </cell>
          <cell r="R1400">
            <v>40038</v>
          </cell>
          <cell r="T1400">
            <v>3.68</v>
          </cell>
          <cell r="Y1400">
            <v>40038</v>
          </cell>
          <cell r="AA1400">
            <v>84.6</v>
          </cell>
          <cell r="AF1400">
            <v>40038</v>
          </cell>
          <cell r="AH1400">
            <v>22.402609999999999</v>
          </cell>
          <cell r="AM1400">
            <v>40038</v>
          </cell>
          <cell r="AO1400">
            <v>20.847829999999998</v>
          </cell>
          <cell r="AT1400">
            <v>40038</v>
          </cell>
          <cell r="AV1400">
            <v>19.836590000000001</v>
          </cell>
          <cell r="BA1400">
            <v>40038</v>
          </cell>
          <cell r="BC1400">
            <v>15.86806</v>
          </cell>
          <cell r="BH1400">
            <v>40038</v>
          </cell>
          <cell r="BJ1400">
            <v>11.52685</v>
          </cell>
        </row>
        <row r="1401">
          <cell r="D1401">
            <v>40037</v>
          </cell>
          <cell r="F1401">
            <v>104.51390000000001</v>
          </cell>
          <cell r="K1401">
            <v>40037</v>
          </cell>
          <cell r="M1401">
            <v>18.975840000000002</v>
          </cell>
          <cell r="R1401">
            <v>40037</v>
          </cell>
          <cell r="T1401">
            <v>3.59</v>
          </cell>
          <cell r="Y1401">
            <v>40037</v>
          </cell>
          <cell r="AA1401">
            <v>85.96</v>
          </cell>
          <cell r="AF1401">
            <v>40037</v>
          </cell>
          <cell r="AH1401">
            <v>21.98893</v>
          </cell>
          <cell r="AM1401">
            <v>40037</v>
          </cell>
          <cell r="AO1401">
            <v>20.81016</v>
          </cell>
          <cell r="AT1401">
            <v>40037</v>
          </cell>
          <cell r="AV1401">
            <v>19.976749999999999</v>
          </cell>
          <cell r="BA1401">
            <v>40037</v>
          </cell>
          <cell r="BC1401">
            <v>15.74549</v>
          </cell>
          <cell r="BH1401">
            <v>40037</v>
          </cell>
          <cell r="BJ1401">
            <v>11.55137</v>
          </cell>
        </row>
        <row r="1402">
          <cell r="D1402">
            <v>40036</v>
          </cell>
          <cell r="F1402">
            <v>103.19970000000001</v>
          </cell>
          <cell r="K1402">
            <v>40036</v>
          </cell>
          <cell r="M1402">
            <v>18.745619999999999</v>
          </cell>
          <cell r="R1402">
            <v>40036</v>
          </cell>
          <cell r="T1402">
            <v>3.59</v>
          </cell>
          <cell r="Y1402">
            <v>40036</v>
          </cell>
          <cell r="AA1402">
            <v>83.56</v>
          </cell>
          <cell r="AF1402">
            <v>40036</v>
          </cell>
          <cell r="AH1402">
            <v>21.659050000000001</v>
          </cell>
          <cell r="AM1402">
            <v>40036</v>
          </cell>
          <cell r="AO1402">
            <v>20.65945</v>
          </cell>
          <cell r="AT1402">
            <v>40036</v>
          </cell>
          <cell r="AV1402">
            <v>20.21585</v>
          </cell>
          <cell r="BA1402">
            <v>40036</v>
          </cell>
          <cell r="BC1402">
            <v>15.54749</v>
          </cell>
          <cell r="BH1402">
            <v>40036</v>
          </cell>
          <cell r="BJ1402">
            <v>11.436920000000001</v>
          </cell>
        </row>
        <row r="1403">
          <cell r="D1403">
            <v>40035</v>
          </cell>
          <cell r="F1403">
            <v>103.99697999999999</v>
          </cell>
          <cell r="K1403">
            <v>40035</v>
          </cell>
          <cell r="M1403">
            <v>19.16179</v>
          </cell>
          <cell r="R1403">
            <v>40035</v>
          </cell>
          <cell r="T1403">
            <v>3.68</v>
          </cell>
          <cell r="Y1403">
            <v>40035</v>
          </cell>
          <cell r="AA1403">
            <v>84.44</v>
          </cell>
          <cell r="AF1403">
            <v>40035</v>
          </cell>
          <cell r="AH1403">
            <v>21.910450000000001</v>
          </cell>
          <cell r="AM1403">
            <v>40035</v>
          </cell>
          <cell r="AO1403">
            <v>21.24972</v>
          </cell>
          <cell r="AT1403">
            <v>40035</v>
          </cell>
          <cell r="AV1403">
            <v>20.380739999999999</v>
          </cell>
          <cell r="BA1403">
            <v>40035</v>
          </cell>
          <cell r="BC1403">
            <v>15.8492</v>
          </cell>
          <cell r="BH1403">
            <v>40035</v>
          </cell>
          <cell r="BJ1403">
            <v>11.91108</v>
          </cell>
        </row>
        <row r="1404">
          <cell r="D1404">
            <v>40032</v>
          </cell>
          <cell r="F1404">
            <v>104.54895</v>
          </cell>
          <cell r="K1404">
            <v>40032</v>
          </cell>
          <cell r="M1404">
            <v>19.648810000000001</v>
          </cell>
          <cell r="R1404">
            <v>40032</v>
          </cell>
          <cell r="T1404">
            <v>3.7</v>
          </cell>
          <cell r="Y1404">
            <v>40032</v>
          </cell>
          <cell r="AA1404">
            <v>85.32</v>
          </cell>
          <cell r="AF1404">
            <v>40032</v>
          </cell>
          <cell r="AH1404">
            <v>22.015529999999998</v>
          </cell>
          <cell r="AM1404">
            <v>40032</v>
          </cell>
          <cell r="AO1404">
            <v>21.080179999999999</v>
          </cell>
          <cell r="AT1404">
            <v>40032</v>
          </cell>
          <cell r="AV1404">
            <v>20.33952</v>
          </cell>
          <cell r="BA1404">
            <v>40032</v>
          </cell>
          <cell r="BC1404">
            <v>16.18862</v>
          </cell>
          <cell r="BH1404">
            <v>40032</v>
          </cell>
          <cell r="BJ1404">
            <v>12.01735</v>
          </cell>
        </row>
        <row r="1405">
          <cell r="D1405">
            <v>40031</v>
          </cell>
          <cell r="F1405">
            <v>102.84049</v>
          </cell>
          <cell r="K1405">
            <v>40031</v>
          </cell>
          <cell r="M1405">
            <v>19.75329</v>
          </cell>
          <cell r="R1405">
            <v>40031</v>
          </cell>
          <cell r="T1405">
            <v>3.71</v>
          </cell>
          <cell r="Y1405">
            <v>40031</v>
          </cell>
          <cell r="AA1405">
            <v>84.47</v>
          </cell>
          <cell r="AF1405">
            <v>40031</v>
          </cell>
          <cell r="AH1405">
            <v>21.802700000000002</v>
          </cell>
          <cell r="AM1405">
            <v>40031</v>
          </cell>
          <cell r="AO1405">
            <v>20.703410000000002</v>
          </cell>
          <cell r="AT1405">
            <v>40031</v>
          </cell>
          <cell r="AV1405">
            <v>20.360130000000002</v>
          </cell>
          <cell r="BA1405">
            <v>40031</v>
          </cell>
          <cell r="BC1405">
            <v>15.783200000000001</v>
          </cell>
          <cell r="BH1405">
            <v>40031</v>
          </cell>
          <cell r="BJ1405">
            <v>11.69853</v>
          </cell>
        </row>
        <row r="1406">
          <cell r="D1406">
            <v>40030</v>
          </cell>
          <cell r="F1406">
            <v>103.31359999999999</v>
          </cell>
          <cell r="K1406">
            <v>40030</v>
          </cell>
          <cell r="M1406">
            <v>19.6311</v>
          </cell>
          <cell r="R1406">
            <v>40030</v>
          </cell>
          <cell r="T1406">
            <v>3.75</v>
          </cell>
          <cell r="Y1406">
            <v>40030</v>
          </cell>
          <cell r="AA1406">
            <v>84.29</v>
          </cell>
          <cell r="AF1406">
            <v>40030</v>
          </cell>
          <cell r="AH1406">
            <v>21.962319999999998</v>
          </cell>
          <cell r="AM1406">
            <v>40030</v>
          </cell>
          <cell r="AO1406">
            <v>20.722249999999999</v>
          </cell>
          <cell r="AT1406">
            <v>40030</v>
          </cell>
          <cell r="AV1406">
            <v>20.269439999999999</v>
          </cell>
          <cell r="BA1406">
            <v>40030</v>
          </cell>
          <cell r="BC1406">
            <v>16.084910000000001</v>
          </cell>
          <cell r="BH1406">
            <v>40030</v>
          </cell>
          <cell r="BJ1406">
            <v>11.436920000000001</v>
          </cell>
        </row>
        <row r="1407">
          <cell r="D1407">
            <v>40029</v>
          </cell>
          <cell r="F1407">
            <v>104.29903</v>
          </cell>
          <cell r="K1407">
            <v>40029</v>
          </cell>
          <cell r="M1407">
            <v>19.870180000000001</v>
          </cell>
          <cell r="R1407">
            <v>40029</v>
          </cell>
          <cell r="T1407">
            <v>3.76</v>
          </cell>
          <cell r="Y1407">
            <v>40029</v>
          </cell>
          <cell r="AA1407">
            <v>85.8</v>
          </cell>
          <cell r="AF1407">
            <v>40029</v>
          </cell>
          <cell r="AH1407">
            <v>22.020849999999999</v>
          </cell>
          <cell r="AM1407">
            <v>40029</v>
          </cell>
          <cell r="AO1407">
            <v>20.973420000000001</v>
          </cell>
          <cell r="AT1407">
            <v>40029</v>
          </cell>
          <cell r="AV1407">
            <v>20.405470000000001</v>
          </cell>
          <cell r="BA1407">
            <v>40029</v>
          </cell>
          <cell r="BC1407">
            <v>16.198049999999999</v>
          </cell>
          <cell r="BH1407">
            <v>40029</v>
          </cell>
          <cell r="BJ1407">
            <v>11.29795</v>
          </cell>
        </row>
        <row r="1408">
          <cell r="D1408">
            <v>40028</v>
          </cell>
          <cell r="F1408">
            <v>104.57809</v>
          </cell>
          <cell r="K1408">
            <v>40028</v>
          </cell>
          <cell r="M1408">
            <v>19.986180000000001</v>
          </cell>
          <cell r="R1408">
            <v>40028</v>
          </cell>
          <cell r="T1408">
            <v>3.74</v>
          </cell>
          <cell r="Y1408">
            <v>40028</v>
          </cell>
          <cell r="AA1408">
            <v>87.44</v>
          </cell>
          <cell r="AF1408">
            <v>40028</v>
          </cell>
          <cell r="AH1408">
            <v>22.137910000000002</v>
          </cell>
          <cell r="AM1408">
            <v>40028</v>
          </cell>
          <cell r="AO1408">
            <v>20.87923</v>
          </cell>
          <cell r="AT1408">
            <v>40028</v>
          </cell>
          <cell r="AV1408">
            <v>20.4467</v>
          </cell>
          <cell r="BA1408">
            <v>40028</v>
          </cell>
          <cell r="BC1408">
            <v>16.075479999999999</v>
          </cell>
          <cell r="BH1408">
            <v>40028</v>
          </cell>
          <cell r="BJ1408">
            <v>11.216200000000001</v>
          </cell>
        </row>
        <row r="1409">
          <cell r="D1409">
            <v>40025</v>
          </cell>
          <cell r="F1409">
            <v>102.84268</v>
          </cell>
          <cell r="K1409">
            <v>40025</v>
          </cell>
          <cell r="M1409">
            <v>19.489419999999999</v>
          </cell>
          <cell r="R1409">
            <v>40025</v>
          </cell>
          <cell r="T1409">
            <v>3.66</v>
          </cell>
          <cell r="Y1409">
            <v>40025</v>
          </cell>
          <cell r="AA1409">
            <v>85.76</v>
          </cell>
          <cell r="AF1409">
            <v>40025</v>
          </cell>
          <cell r="AH1409">
            <v>21.733540000000001</v>
          </cell>
          <cell r="AM1409">
            <v>40025</v>
          </cell>
          <cell r="AO1409">
            <v>20.910630000000001</v>
          </cell>
          <cell r="AT1409">
            <v>40025</v>
          </cell>
          <cell r="AV1409">
            <v>20.545629999999999</v>
          </cell>
          <cell r="BA1409">
            <v>40025</v>
          </cell>
          <cell r="BC1409">
            <v>15.43435</v>
          </cell>
          <cell r="BH1409">
            <v>40025</v>
          </cell>
          <cell r="BJ1409">
            <v>10.95459</v>
          </cell>
        </row>
        <row r="1410">
          <cell r="D1410">
            <v>40024</v>
          </cell>
          <cell r="F1410">
            <v>102.78164</v>
          </cell>
          <cell r="K1410">
            <v>40024</v>
          </cell>
          <cell r="M1410">
            <v>19.462859999999999</v>
          </cell>
          <cell r="R1410">
            <v>40024</v>
          </cell>
          <cell r="T1410">
            <v>3.66</v>
          </cell>
          <cell r="Y1410">
            <v>40024</v>
          </cell>
          <cell r="AA1410">
            <v>86.09</v>
          </cell>
          <cell r="AF1410">
            <v>40024</v>
          </cell>
          <cell r="AH1410">
            <v>21.653729999999999</v>
          </cell>
          <cell r="AM1410">
            <v>40024</v>
          </cell>
          <cell r="AO1410">
            <v>20.973420000000001</v>
          </cell>
          <cell r="AT1410">
            <v>40024</v>
          </cell>
          <cell r="AV1410">
            <v>20.475549999999998</v>
          </cell>
          <cell r="BA1410">
            <v>40024</v>
          </cell>
          <cell r="BC1410">
            <v>15.83034</v>
          </cell>
          <cell r="BH1410">
            <v>40024</v>
          </cell>
          <cell r="BJ1410">
            <v>10.71752</v>
          </cell>
        </row>
        <row r="1411">
          <cell r="D1411">
            <v>40023</v>
          </cell>
          <cell r="F1411">
            <v>102.25839999999999</v>
          </cell>
          <cell r="K1411">
            <v>40023</v>
          </cell>
          <cell r="M1411">
            <v>19.23263</v>
          </cell>
          <cell r="R1411">
            <v>40023</v>
          </cell>
          <cell r="T1411">
            <v>3.71</v>
          </cell>
          <cell r="Y1411">
            <v>40023</v>
          </cell>
          <cell r="AA1411">
            <v>84.34</v>
          </cell>
          <cell r="AF1411">
            <v>40023</v>
          </cell>
          <cell r="AH1411">
            <v>21.2866</v>
          </cell>
          <cell r="AM1411">
            <v>40023</v>
          </cell>
          <cell r="AO1411">
            <v>21.02994</v>
          </cell>
          <cell r="AT1411">
            <v>40023</v>
          </cell>
          <cell r="AV1411">
            <v>20.314779999999999</v>
          </cell>
          <cell r="BA1411">
            <v>40023</v>
          </cell>
          <cell r="BC1411">
            <v>15.41549</v>
          </cell>
          <cell r="BH1411">
            <v>40023</v>
          </cell>
          <cell r="BJ1411">
            <v>10.022640000000001</v>
          </cell>
        </row>
        <row r="1412">
          <cell r="D1412">
            <v>40022</v>
          </cell>
          <cell r="F1412">
            <v>102.27584</v>
          </cell>
          <cell r="K1412">
            <v>40022</v>
          </cell>
          <cell r="M1412">
            <v>19.418579999999999</v>
          </cell>
          <cell r="R1412">
            <v>40022</v>
          </cell>
          <cell r="T1412">
            <v>3.77</v>
          </cell>
          <cell r="Y1412">
            <v>40022</v>
          </cell>
          <cell r="AA1412">
            <v>84.98</v>
          </cell>
          <cell r="AF1412">
            <v>40022</v>
          </cell>
          <cell r="AH1412">
            <v>21.282609999999998</v>
          </cell>
          <cell r="AM1412">
            <v>40022</v>
          </cell>
          <cell r="AO1412">
            <v>20.74108</v>
          </cell>
          <cell r="AT1412">
            <v>40022</v>
          </cell>
          <cell r="AV1412">
            <v>20.360130000000002</v>
          </cell>
          <cell r="BA1412">
            <v>40022</v>
          </cell>
          <cell r="BC1412">
            <v>15.811489999999999</v>
          </cell>
          <cell r="BH1412">
            <v>40022</v>
          </cell>
          <cell r="BJ1412">
            <v>10.235189999999999</v>
          </cell>
        </row>
        <row r="1413">
          <cell r="D1413">
            <v>40021</v>
          </cell>
          <cell r="F1413">
            <v>102.58105999999999</v>
          </cell>
          <cell r="K1413">
            <v>40021</v>
          </cell>
          <cell r="M1413">
            <v>19.338889999999999</v>
          </cell>
          <cell r="R1413">
            <v>40021</v>
          </cell>
          <cell r="T1413">
            <v>3.8</v>
          </cell>
          <cell r="Y1413">
            <v>40021</v>
          </cell>
          <cell r="AA1413">
            <v>84.24</v>
          </cell>
          <cell r="AF1413">
            <v>40021</v>
          </cell>
          <cell r="AH1413">
            <v>21.295909999999999</v>
          </cell>
          <cell r="AM1413">
            <v>40021</v>
          </cell>
          <cell r="AO1413">
            <v>20.584099999999999</v>
          </cell>
          <cell r="AT1413">
            <v>40021</v>
          </cell>
          <cell r="AV1413">
            <v>20.413720000000001</v>
          </cell>
          <cell r="BA1413">
            <v>40021</v>
          </cell>
          <cell r="BC1413">
            <v>16.02834</v>
          </cell>
          <cell r="BH1413">
            <v>40021</v>
          </cell>
          <cell r="BJ1413">
            <v>10.07169</v>
          </cell>
        </row>
        <row r="1414">
          <cell r="D1414">
            <v>40018</v>
          </cell>
          <cell r="F1414">
            <v>102.58978</v>
          </cell>
          <cell r="K1414">
            <v>40018</v>
          </cell>
          <cell r="M1414">
            <v>19.374310000000001</v>
          </cell>
          <cell r="R1414">
            <v>40018</v>
          </cell>
          <cell r="T1414">
            <v>3.77</v>
          </cell>
          <cell r="Y1414">
            <v>40018</v>
          </cell>
          <cell r="AA1414">
            <v>86.49</v>
          </cell>
          <cell r="AF1414">
            <v>40018</v>
          </cell>
          <cell r="AH1414">
            <v>21.280750000000001</v>
          </cell>
          <cell r="AM1414">
            <v>40018</v>
          </cell>
          <cell r="AO1414">
            <v>20.546420000000001</v>
          </cell>
          <cell r="AT1414">
            <v>40018</v>
          </cell>
          <cell r="AV1414">
            <v>20.347760000000001</v>
          </cell>
          <cell r="BA1414">
            <v>40018</v>
          </cell>
          <cell r="BC1414">
            <v>16.02834</v>
          </cell>
          <cell r="BH1414">
            <v>40018</v>
          </cell>
          <cell r="BJ1414">
            <v>9.8346099999999996</v>
          </cell>
        </row>
        <row r="1415">
          <cell r="D1415">
            <v>40017</v>
          </cell>
          <cell r="F1415">
            <v>102.08399</v>
          </cell>
          <cell r="K1415">
            <v>40017</v>
          </cell>
          <cell r="M1415">
            <v>19.392019999999999</v>
          </cell>
          <cell r="R1415">
            <v>40017</v>
          </cell>
          <cell r="T1415">
            <v>3.59</v>
          </cell>
          <cell r="Y1415">
            <v>40017</v>
          </cell>
          <cell r="AA1415">
            <v>93.87</v>
          </cell>
          <cell r="AF1415">
            <v>40017</v>
          </cell>
          <cell r="AH1415">
            <v>20.992640000000002</v>
          </cell>
          <cell r="AM1415">
            <v>40017</v>
          </cell>
          <cell r="AO1415">
            <v>20.471070000000001</v>
          </cell>
          <cell r="AT1415">
            <v>40017</v>
          </cell>
          <cell r="AV1415">
            <v>20.27356</v>
          </cell>
          <cell r="BA1415">
            <v>40017</v>
          </cell>
          <cell r="BC1415">
            <v>16.537469999999999</v>
          </cell>
          <cell r="BH1415">
            <v>40017</v>
          </cell>
          <cell r="BJ1415">
            <v>9.7692099999999993</v>
          </cell>
        </row>
        <row r="1416">
          <cell r="D1416">
            <v>40016</v>
          </cell>
          <cell r="F1416">
            <v>100.78461</v>
          </cell>
          <cell r="K1416">
            <v>40016</v>
          </cell>
          <cell r="M1416">
            <v>18.993549999999999</v>
          </cell>
          <cell r="R1416">
            <v>40016</v>
          </cell>
          <cell r="T1416">
            <v>3.55</v>
          </cell>
          <cell r="Y1416">
            <v>40016</v>
          </cell>
          <cell r="AA1416">
            <v>88.79</v>
          </cell>
          <cell r="AF1416">
            <v>40016</v>
          </cell>
          <cell r="AH1416">
            <v>20.848980000000001</v>
          </cell>
          <cell r="AM1416">
            <v>40016</v>
          </cell>
          <cell r="AO1416">
            <v>19.899640000000002</v>
          </cell>
          <cell r="AT1416">
            <v>40016</v>
          </cell>
          <cell r="AV1416">
            <v>20.252949999999998</v>
          </cell>
          <cell r="BA1416">
            <v>40016</v>
          </cell>
          <cell r="BC1416">
            <v>15.952909999999999</v>
          </cell>
          <cell r="BH1416">
            <v>40016</v>
          </cell>
          <cell r="BJ1416">
            <v>9.5076099999999997</v>
          </cell>
        </row>
        <row r="1417">
          <cell r="D1417">
            <v>40015</v>
          </cell>
          <cell r="F1417">
            <v>102.06655000000001</v>
          </cell>
          <cell r="K1417">
            <v>40015</v>
          </cell>
          <cell r="M1417">
            <v>19.117519999999999</v>
          </cell>
          <cell r="R1417">
            <v>40015</v>
          </cell>
          <cell r="T1417">
            <v>4.08</v>
          </cell>
          <cell r="Y1417">
            <v>40015</v>
          </cell>
          <cell r="AA1417">
            <v>89.01</v>
          </cell>
          <cell r="AF1417">
            <v>40015</v>
          </cell>
          <cell r="AH1417">
            <v>20.153300000000002</v>
          </cell>
          <cell r="AM1417">
            <v>40015</v>
          </cell>
          <cell r="AO1417">
            <v>19.968710000000002</v>
          </cell>
          <cell r="AT1417">
            <v>40015</v>
          </cell>
          <cell r="AV1417">
            <v>20.755870000000002</v>
          </cell>
          <cell r="BA1417">
            <v>40015</v>
          </cell>
          <cell r="BC1417">
            <v>16.16977</v>
          </cell>
          <cell r="BH1417">
            <v>40015</v>
          </cell>
          <cell r="BJ1417">
            <v>9.3768100000000008</v>
          </cell>
        </row>
        <row r="1418">
          <cell r="D1418">
            <v>40014</v>
          </cell>
          <cell r="F1418">
            <v>101.54331000000001</v>
          </cell>
          <cell r="K1418">
            <v>40014</v>
          </cell>
          <cell r="M1418">
            <v>18.727910000000001</v>
          </cell>
          <cell r="R1418">
            <v>40014</v>
          </cell>
          <cell r="T1418">
            <v>4.17</v>
          </cell>
          <cell r="Y1418">
            <v>40014</v>
          </cell>
          <cell r="AA1418">
            <v>88.23</v>
          </cell>
          <cell r="AF1418">
            <v>40014</v>
          </cell>
          <cell r="AH1418">
            <v>20.339390000000002</v>
          </cell>
          <cell r="AM1418">
            <v>40014</v>
          </cell>
          <cell r="AO1418">
            <v>19.635899999999999</v>
          </cell>
          <cell r="AT1418">
            <v>40014</v>
          </cell>
          <cell r="AV1418">
            <v>21.036190000000001</v>
          </cell>
          <cell r="BA1418">
            <v>40014</v>
          </cell>
          <cell r="BC1418">
            <v>16.546900000000001</v>
          </cell>
          <cell r="BH1418">
            <v>40014</v>
          </cell>
          <cell r="BJ1418">
            <v>9.5403099999999998</v>
          </cell>
        </row>
        <row r="1419">
          <cell r="D1419">
            <v>40011</v>
          </cell>
          <cell r="F1419">
            <v>100.6538</v>
          </cell>
          <cell r="K1419">
            <v>40011</v>
          </cell>
          <cell r="M1419">
            <v>18.161200000000001</v>
          </cell>
          <cell r="R1419">
            <v>40011</v>
          </cell>
          <cell r="T1419">
            <v>4</v>
          </cell>
          <cell r="Y1419">
            <v>40011</v>
          </cell>
          <cell r="AA1419">
            <v>85.85</v>
          </cell>
          <cell r="AF1419">
            <v>40011</v>
          </cell>
          <cell r="AH1419">
            <v>20.185230000000001</v>
          </cell>
          <cell r="AM1419">
            <v>40011</v>
          </cell>
          <cell r="AO1419">
            <v>19.460070000000002</v>
          </cell>
          <cell r="AT1419">
            <v>40011</v>
          </cell>
          <cell r="AV1419">
            <v>20.743500000000001</v>
          </cell>
          <cell r="BA1419">
            <v>40011</v>
          </cell>
          <cell r="BC1419">
            <v>16.546900000000001</v>
          </cell>
          <cell r="BH1419">
            <v>40011</v>
          </cell>
          <cell r="BJ1419">
            <v>9.5239600000000006</v>
          </cell>
        </row>
        <row r="1420">
          <cell r="D1420">
            <v>40010</v>
          </cell>
          <cell r="F1420">
            <v>96.485330000000005</v>
          </cell>
          <cell r="K1420">
            <v>40010</v>
          </cell>
          <cell r="M1420">
            <v>17.815860000000001</v>
          </cell>
          <cell r="R1420">
            <v>40010</v>
          </cell>
          <cell r="T1420">
            <v>3.92</v>
          </cell>
          <cell r="Y1420">
            <v>40010</v>
          </cell>
          <cell r="AA1420">
            <v>86.11</v>
          </cell>
          <cell r="AF1420">
            <v>40010</v>
          </cell>
          <cell r="AH1420">
            <v>19.62257</v>
          </cell>
          <cell r="AM1420">
            <v>40010</v>
          </cell>
          <cell r="AO1420">
            <v>19.50403</v>
          </cell>
          <cell r="AT1420">
            <v>40010</v>
          </cell>
          <cell r="AV1420">
            <v>20.937249999999999</v>
          </cell>
          <cell r="BA1420">
            <v>40010</v>
          </cell>
          <cell r="BC1420">
            <v>16.292339999999999</v>
          </cell>
          <cell r="BH1420">
            <v>40010</v>
          </cell>
          <cell r="BJ1420">
            <v>10.137090000000001</v>
          </cell>
        </row>
        <row r="1421">
          <cell r="D1421">
            <v>40009</v>
          </cell>
          <cell r="F1421">
            <v>93.502859999999998</v>
          </cell>
          <cell r="K1421">
            <v>40009</v>
          </cell>
          <cell r="M1421">
            <v>17.541360000000001</v>
          </cell>
          <cell r="R1421">
            <v>40009</v>
          </cell>
          <cell r="T1421">
            <v>3.86</v>
          </cell>
          <cell r="Y1421">
            <v>40009</v>
          </cell>
          <cell r="AA1421">
            <v>84.55</v>
          </cell>
          <cell r="AF1421">
            <v>40009</v>
          </cell>
          <cell r="AH1421">
            <v>19.53744</v>
          </cell>
          <cell r="AM1421">
            <v>40009</v>
          </cell>
          <cell r="AO1421">
            <v>19.001670000000001</v>
          </cell>
          <cell r="AT1421">
            <v>40009</v>
          </cell>
          <cell r="AV1421">
            <v>20.830069999999999</v>
          </cell>
          <cell r="BA1421">
            <v>40009</v>
          </cell>
          <cell r="BC1421">
            <v>15.981199999999999</v>
          </cell>
          <cell r="BH1421">
            <v>40009</v>
          </cell>
          <cell r="BJ1421">
            <v>10.00629</v>
          </cell>
        </row>
        <row r="1422">
          <cell r="D1422">
            <v>40008</v>
          </cell>
          <cell r="F1422">
            <v>90.040760000000006</v>
          </cell>
          <cell r="K1422">
            <v>40008</v>
          </cell>
          <cell r="M1422">
            <v>16.585049999999999</v>
          </cell>
          <cell r="R1422">
            <v>40008</v>
          </cell>
          <cell r="T1422">
            <v>3.55</v>
          </cell>
          <cell r="Y1422">
            <v>40008</v>
          </cell>
          <cell r="AA1422">
            <v>81.95</v>
          </cell>
          <cell r="AF1422">
            <v>40008</v>
          </cell>
          <cell r="AH1422">
            <v>18.924230000000001</v>
          </cell>
          <cell r="AM1422">
            <v>40008</v>
          </cell>
          <cell r="AO1422">
            <v>18.76933</v>
          </cell>
          <cell r="AT1422">
            <v>40008</v>
          </cell>
          <cell r="AV1422">
            <v>20.318899999999999</v>
          </cell>
          <cell r="BA1422">
            <v>40008</v>
          </cell>
          <cell r="BC1422">
            <v>14.52922</v>
          </cell>
          <cell r="BH1422">
            <v>40008</v>
          </cell>
          <cell r="BJ1422">
            <v>9.5157799999999995</v>
          </cell>
        </row>
        <row r="1423">
          <cell r="D1423">
            <v>40007</v>
          </cell>
          <cell r="F1423">
            <v>90.363429999999994</v>
          </cell>
          <cell r="K1423">
            <v>40007</v>
          </cell>
          <cell r="M1423">
            <v>16.443370000000002</v>
          </cell>
          <cell r="R1423">
            <v>40007</v>
          </cell>
          <cell r="T1423">
            <v>3.56</v>
          </cell>
          <cell r="Y1423">
            <v>40007</v>
          </cell>
          <cell r="AA1423">
            <v>81.47</v>
          </cell>
          <cell r="AF1423">
            <v>40007</v>
          </cell>
          <cell r="AH1423">
            <v>18.933540000000001</v>
          </cell>
          <cell r="AM1423">
            <v>40007</v>
          </cell>
          <cell r="AO1423">
            <v>18.681419999999999</v>
          </cell>
          <cell r="AT1423">
            <v>40007</v>
          </cell>
          <cell r="AV1423">
            <v>20.21997</v>
          </cell>
          <cell r="BA1423">
            <v>40007</v>
          </cell>
          <cell r="BC1423">
            <v>14.387790000000001</v>
          </cell>
          <cell r="BH1423">
            <v>40007</v>
          </cell>
          <cell r="BJ1423">
            <v>9.3686299999999996</v>
          </cell>
        </row>
        <row r="1424">
          <cell r="D1424">
            <v>40004</v>
          </cell>
          <cell r="F1424">
            <v>87.930359999999993</v>
          </cell>
          <cell r="K1424">
            <v>40004</v>
          </cell>
          <cell r="M1424">
            <v>16.239709999999999</v>
          </cell>
          <cell r="R1424">
            <v>40004</v>
          </cell>
          <cell r="T1424">
            <v>3.49</v>
          </cell>
          <cell r="Y1424">
            <v>40004</v>
          </cell>
          <cell r="AA1424">
            <v>77.63</v>
          </cell>
          <cell r="AF1424">
            <v>40004</v>
          </cell>
          <cell r="AH1424">
            <v>18.425419999999999</v>
          </cell>
          <cell r="AM1424">
            <v>40004</v>
          </cell>
          <cell r="AO1424">
            <v>18.417680000000001</v>
          </cell>
          <cell r="AT1424">
            <v>40004</v>
          </cell>
          <cell r="AV1424">
            <v>19.914919999999999</v>
          </cell>
          <cell r="BA1424">
            <v>40004</v>
          </cell>
          <cell r="BC1424">
            <v>14.18037</v>
          </cell>
          <cell r="BH1424">
            <v>40004</v>
          </cell>
          <cell r="BJ1424">
            <v>8.8127300000000002</v>
          </cell>
        </row>
        <row r="1425">
          <cell r="D1425">
            <v>40003</v>
          </cell>
          <cell r="F1425">
            <v>89.020449999999997</v>
          </cell>
          <cell r="K1425">
            <v>40003</v>
          </cell>
          <cell r="M1425">
            <v>16.089179999999999</v>
          </cell>
          <cell r="R1425">
            <v>40003</v>
          </cell>
          <cell r="T1425">
            <v>3.48</v>
          </cell>
          <cell r="Y1425">
            <v>40003</v>
          </cell>
          <cell r="AA1425">
            <v>78.099999999999994</v>
          </cell>
          <cell r="AF1425">
            <v>40003</v>
          </cell>
          <cell r="AH1425">
            <v>18.138110000000001</v>
          </cell>
          <cell r="AM1425">
            <v>40003</v>
          </cell>
          <cell r="AO1425">
            <v>18.650020000000001</v>
          </cell>
          <cell r="AT1425">
            <v>40003</v>
          </cell>
          <cell r="AV1425">
            <v>20.079809999999998</v>
          </cell>
          <cell r="BA1425">
            <v>40003</v>
          </cell>
          <cell r="BC1425">
            <v>14.16151</v>
          </cell>
          <cell r="BH1425">
            <v>40003</v>
          </cell>
          <cell r="BJ1425">
            <v>8.8781300000000005</v>
          </cell>
        </row>
        <row r="1426">
          <cell r="D1426">
            <v>40002</v>
          </cell>
          <cell r="F1426">
            <v>87.799549999999996</v>
          </cell>
          <cell r="K1426">
            <v>40002</v>
          </cell>
          <cell r="M1426">
            <v>16.05376</v>
          </cell>
          <cell r="R1426">
            <v>40002</v>
          </cell>
          <cell r="T1426">
            <v>3.36</v>
          </cell>
          <cell r="Y1426">
            <v>40002</v>
          </cell>
          <cell r="AA1426">
            <v>77.36</v>
          </cell>
          <cell r="AF1426">
            <v>40002</v>
          </cell>
          <cell r="AH1426">
            <v>18.252500000000001</v>
          </cell>
          <cell r="AM1426">
            <v>40002</v>
          </cell>
          <cell r="AO1426">
            <v>18.731649999999998</v>
          </cell>
          <cell r="AT1426">
            <v>40002</v>
          </cell>
          <cell r="AV1426">
            <v>19.99736</v>
          </cell>
          <cell r="BA1426">
            <v>40002</v>
          </cell>
          <cell r="BC1426">
            <v>13.822089999999999</v>
          </cell>
          <cell r="BH1426">
            <v>40002</v>
          </cell>
          <cell r="BJ1426">
            <v>8.7554999999999996</v>
          </cell>
        </row>
        <row r="1427">
          <cell r="D1427">
            <v>40001</v>
          </cell>
          <cell r="F1427">
            <v>87.372240000000005</v>
          </cell>
          <cell r="K1427">
            <v>40001</v>
          </cell>
          <cell r="M1427">
            <v>16.151160000000001</v>
          </cell>
          <cell r="R1427">
            <v>40001</v>
          </cell>
          <cell r="T1427">
            <v>3.43</v>
          </cell>
          <cell r="Y1427">
            <v>40001</v>
          </cell>
          <cell r="AA1427">
            <v>75.63</v>
          </cell>
          <cell r="AF1427">
            <v>40001</v>
          </cell>
          <cell r="AH1427">
            <v>18.01041</v>
          </cell>
          <cell r="AM1427">
            <v>40001</v>
          </cell>
          <cell r="AO1427">
            <v>18.98911</v>
          </cell>
          <cell r="AT1427">
            <v>40001</v>
          </cell>
          <cell r="AV1427">
            <v>20.05095</v>
          </cell>
          <cell r="BA1427">
            <v>40001</v>
          </cell>
          <cell r="BC1427">
            <v>13.9918</v>
          </cell>
          <cell r="BH1427">
            <v>40001</v>
          </cell>
          <cell r="BJ1427">
            <v>9.00075</v>
          </cell>
        </row>
        <row r="1428">
          <cell r="D1428">
            <v>40000</v>
          </cell>
          <cell r="F1428">
            <v>88.64546</v>
          </cell>
          <cell r="K1428">
            <v>40000</v>
          </cell>
          <cell r="M1428">
            <v>16.40795</v>
          </cell>
          <cell r="R1428">
            <v>40000</v>
          </cell>
          <cell r="T1428">
            <v>3.55</v>
          </cell>
          <cell r="Y1428">
            <v>40000</v>
          </cell>
          <cell r="AA1428">
            <v>78.099999999999994</v>
          </cell>
          <cell r="AF1428">
            <v>40000</v>
          </cell>
          <cell r="AH1428">
            <v>18.437390000000001</v>
          </cell>
          <cell r="AM1428">
            <v>40000</v>
          </cell>
          <cell r="AO1428">
            <v>18.932600000000001</v>
          </cell>
          <cell r="AT1428">
            <v>40000</v>
          </cell>
          <cell r="AV1428">
            <v>20.199359999999999</v>
          </cell>
          <cell r="BA1428">
            <v>40000</v>
          </cell>
          <cell r="BC1428">
            <v>14.548080000000001</v>
          </cell>
          <cell r="BH1428">
            <v>40000</v>
          </cell>
          <cell r="BJ1428">
            <v>9.3849800000000005</v>
          </cell>
        </row>
        <row r="1429">
          <cell r="D1429">
            <v>39996</v>
          </cell>
          <cell r="F1429">
            <v>88.715220000000002</v>
          </cell>
          <cell r="K1429">
            <v>39996</v>
          </cell>
          <cell r="M1429">
            <v>16.38139</v>
          </cell>
          <cell r="R1429">
            <v>39996</v>
          </cell>
          <cell r="T1429">
            <v>3.78</v>
          </cell>
          <cell r="Y1429">
            <v>39996</v>
          </cell>
          <cell r="AA1429">
            <v>79.319999999999993</v>
          </cell>
          <cell r="AF1429">
            <v>39996</v>
          </cell>
          <cell r="AH1429">
            <v>18.624939999999999</v>
          </cell>
          <cell r="AM1429">
            <v>39996</v>
          </cell>
          <cell r="AO1429">
            <v>18.76933</v>
          </cell>
          <cell r="AT1429">
            <v>39996</v>
          </cell>
          <cell r="AV1429">
            <v>20.149889999999999</v>
          </cell>
          <cell r="BA1429">
            <v>39996</v>
          </cell>
          <cell r="BC1429">
            <v>15.641769999999999</v>
          </cell>
          <cell r="BH1429">
            <v>39996</v>
          </cell>
          <cell r="BJ1429">
            <v>9.3686299999999996</v>
          </cell>
        </row>
        <row r="1430">
          <cell r="D1430">
            <v>39995</v>
          </cell>
          <cell r="F1430">
            <v>91.427350000000004</v>
          </cell>
          <cell r="K1430">
            <v>39995</v>
          </cell>
          <cell r="M1430">
            <v>16.647030000000001</v>
          </cell>
          <cell r="R1430">
            <v>39995</v>
          </cell>
          <cell r="T1430">
            <v>3.91</v>
          </cell>
          <cell r="Y1430">
            <v>39995</v>
          </cell>
          <cell r="AA1430">
            <v>81.599999999999994</v>
          </cell>
          <cell r="AF1430">
            <v>39995</v>
          </cell>
          <cell r="AH1430">
            <v>18.998719999999999</v>
          </cell>
          <cell r="AM1430">
            <v>39995</v>
          </cell>
          <cell r="AO1430">
            <v>19.246569999999998</v>
          </cell>
          <cell r="AT1430">
            <v>39995</v>
          </cell>
          <cell r="AV1430">
            <v>20.27356</v>
          </cell>
          <cell r="BA1430">
            <v>39995</v>
          </cell>
          <cell r="BC1430">
            <v>17.159749999999999</v>
          </cell>
          <cell r="BH1430">
            <v>39995</v>
          </cell>
          <cell r="BJ1430">
            <v>9.6302299999999992</v>
          </cell>
        </row>
        <row r="1431">
          <cell r="D1431">
            <v>39994</v>
          </cell>
          <cell r="F1431">
            <v>91.061080000000004</v>
          </cell>
          <cell r="K1431">
            <v>39994</v>
          </cell>
          <cell r="M1431">
            <v>16.514209999999999</v>
          </cell>
          <cell r="R1431">
            <v>39994</v>
          </cell>
          <cell r="T1431">
            <v>3.87</v>
          </cell>
          <cell r="Y1431">
            <v>39994</v>
          </cell>
          <cell r="AA1431">
            <v>83.66</v>
          </cell>
          <cell r="AF1431">
            <v>39994</v>
          </cell>
          <cell r="AH1431">
            <v>18.945509999999999</v>
          </cell>
          <cell r="AM1431">
            <v>39994</v>
          </cell>
          <cell r="AO1431">
            <v>19.183779999999999</v>
          </cell>
          <cell r="AT1431">
            <v>39994</v>
          </cell>
          <cell r="AV1431">
            <v>19.783000000000001</v>
          </cell>
          <cell r="BA1431">
            <v>39994</v>
          </cell>
          <cell r="BC1431">
            <v>18.17802</v>
          </cell>
          <cell r="BH1431">
            <v>39994</v>
          </cell>
          <cell r="BJ1431">
            <v>9.5811799999999998</v>
          </cell>
        </row>
        <row r="1432">
          <cell r="D1432">
            <v>39993</v>
          </cell>
          <cell r="F1432">
            <v>92.290689999999998</v>
          </cell>
          <cell r="K1432">
            <v>39993</v>
          </cell>
          <cell r="M1432">
            <v>16.815270000000002</v>
          </cell>
          <cell r="R1432">
            <v>39993</v>
          </cell>
          <cell r="T1432">
            <v>3.72</v>
          </cell>
          <cell r="Y1432">
            <v>39993</v>
          </cell>
          <cell r="AA1432">
            <v>83.03</v>
          </cell>
          <cell r="AF1432">
            <v>39993</v>
          </cell>
          <cell r="AH1432">
            <v>18.884329999999999</v>
          </cell>
          <cell r="AM1432">
            <v>39993</v>
          </cell>
          <cell r="AO1432">
            <v>19.384720000000002</v>
          </cell>
          <cell r="AT1432">
            <v>39993</v>
          </cell>
          <cell r="AV1432">
            <v>19.906669999999998</v>
          </cell>
          <cell r="BA1432">
            <v>39993</v>
          </cell>
          <cell r="BC1432">
            <v>18.526869999999999</v>
          </cell>
          <cell r="BH1432">
            <v>39993</v>
          </cell>
          <cell r="BJ1432">
            <v>9.61388</v>
          </cell>
        </row>
        <row r="1433">
          <cell r="D1433">
            <v>39990</v>
          </cell>
          <cell r="F1433">
            <v>92.159880000000001</v>
          </cell>
          <cell r="K1433">
            <v>39990</v>
          </cell>
          <cell r="M1433">
            <v>16.744430000000001</v>
          </cell>
          <cell r="R1433">
            <v>39990</v>
          </cell>
          <cell r="T1433">
            <v>3.62</v>
          </cell>
          <cell r="Y1433">
            <v>39990</v>
          </cell>
          <cell r="AA1433">
            <v>83.88</v>
          </cell>
          <cell r="AF1433">
            <v>39990</v>
          </cell>
          <cell r="AH1433">
            <v>18.946840000000002</v>
          </cell>
          <cell r="AM1433">
            <v>39990</v>
          </cell>
          <cell r="AO1433">
            <v>19.331340000000001</v>
          </cell>
          <cell r="AT1433">
            <v>39990</v>
          </cell>
          <cell r="AV1433">
            <v>19.840710000000001</v>
          </cell>
          <cell r="BA1433">
            <v>39990</v>
          </cell>
          <cell r="BC1433">
            <v>18.592870000000001</v>
          </cell>
          <cell r="BH1433">
            <v>39990</v>
          </cell>
          <cell r="BJ1433">
            <v>9.6057100000000002</v>
          </cell>
        </row>
        <row r="1434">
          <cell r="D1434">
            <v>39989</v>
          </cell>
          <cell r="F1434">
            <v>92.49127</v>
          </cell>
          <cell r="K1434">
            <v>39989</v>
          </cell>
          <cell r="M1434">
            <v>16.85069</v>
          </cell>
          <cell r="R1434">
            <v>39989</v>
          </cell>
          <cell r="T1434">
            <v>3.64</v>
          </cell>
          <cell r="Y1434">
            <v>39989</v>
          </cell>
          <cell r="AA1434">
            <v>82.2</v>
          </cell>
          <cell r="AF1434">
            <v>39989</v>
          </cell>
          <cell r="AH1434">
            <v>18.603660000000001</v>
          </cell>
          <cell r="AM1434">
            <v>39989</v>
          </cell>
          <cell r="AO1434">
            <v>19.524909999999998</v>
          </cell>
          <cell r="AT1434">
            <v>39989</v>
          </cell>
          <cell r="AV1434">
            <v>19.725290000000001</v>
          </cell>
          <cell r="BA1434">
            <v>39989</v>
          </cell>
          <cell r="BC1434">
            <v>18.46088</v>
          </cell>
          <cell r="BH1434">
            <v>39989</v>
          </cell>
          <cell r="BJ1434">
            <v>9.6956299999999995</v>
          </cell>
        </row>
        <row r="1435">
          <cell r="D1435">
            <v>39988</v>
          </cell>
          <cell r="F1435">
            <v>90.825620000000001</v>
          </cell>
          <cell r="K1435">
            <v>39988</v>
          </cell>
          <cell r="M1435">
            <v>16.47879</v>
          </cell>
          <cell r="R1435">
            <v>39988</v>
          </cell>
          <cell r="T1435">
            <v>3.66</v>
          </cell>
          <cell r="Y1435">
            <v>39988</v>
          </cell>
          <cell r="AA1435">
            <v>79.27</v>
          </cell>
          <cell r="AF1435">
            <v>39988</v>
          </cell>
          <cell r="AH1435">
            <v>18.119479999999999</v>
          </cell>
          <cell r="AM1435">
            <v>39988</v>
          </cell>
          <cell r="AO1435">
            <v>19.012899999999998</v>
          </cell>
          <cell r="AT1435">
            <v>39988</v>
          </cell>
          <cell r="AV1435">
            <v>19.581009999999999</v>
          </cell>
          <cell r="BA1435">
            <v>39988</v>
          </cell>
          <cell r="BC1435">
            <v>17.84928</v>
          </cell>
          <cell r="BH1435">
            <v>39988</v>
          </cell>
          <cell r="BJ1435">
            <v>9.5648300000000006</v>
          </cell>
        </row>
        <row r="1436">
          <cell r="D1436">
            <v>39987</v>
          </cell>
          <cell r="F1436">
            <v>91.078519999999997</v>
          </cell>
          <cell r="K1436">
            <v>39987</v>
          </cell>
          <cell r="M1436">
            <v>16.443370000000002</v>
          </cell>
          <cell r="R1436">
            <v>39987</v>
          </cell>
          <cell r="T1436">
            <v>3.55</v>
          </cell>
          <cell r="Y1436">
            <v>39987</v>
          </cell>
          <cell r="AA1436">
            <v>77.680000000000007</v>
          </cell>
          <cell r="AF1436">
            <v>39987</v>
          </cell>
          <cell r="AH1436">
            <v>17.825520000000001</v>
          </cell>
          <cell r="AM1436">
            <v>39987</v>
          </cell>
          <cell r="AO1436">
            <v>19.056609999999999</v>
          </cell>
          <cell r="AT1436">
            <v>39987</v>
          </cell>
          <cell r="AV1436">
            <v>19.70468</v>
          </cell>
          <cell r="BA1436">
            <v>39987</v>
          </cell>
          <cell r="BC1436">
            <v>17.331769999999999</v>
          </cell>
          <cell r="BH1436">
            <v>39987</v>
          </cell>
          <cell r="BJ1436">
            <v>9.4830799999999993</v>
          </cell>
        </row>
        <row r="1437">
          <cell r="D1437">
            <v>39986</v>
          </cell>
          <cell r="F1437">
            <v>91.148290000000003</v>
          </cell>
          <cell r="K1437">
            <v>39986</v>
          </cell>
          <cell r="M1437">
            <v>16.301690000000001</v>
          </cell>
          <cell r="R1437">
            <v>39986</v>
          </cell>
          <cell r="T1437">
            <v>3.62</v>
          </cell>
          <cell r="Y1437">
            <v>39986</v>
          </cell>
          <cell r="AA1437">
            <v>79.150000000000006</v>
          </cell>
          <cell r="AF1437">
            <v>39986</v>
          </cell>
          <cell r="AH1437">
            <v>18.272449999999999</v>
          </cell>
          <cell r="AM1437">
            <v>39986</v>
          </cell>
          <cell r="AO1437">
            <v>19.19398</v>
          </cell>
          <cell r="AT1437">
            <v>39986</v>
          </cell>
          <cell r="AV1437">
            <v>19.783000000000001</v>
          </cell>
          <cell r="BA1437">
            <v>39986</v>
          </cell>
          <cell r="BC1437">
            <v>17.18122</v>
          </cell>
          <cell r="BH1437">
            <v>39986</v>
          </cell>
          <cell r="BJ1437">
            <v>9.4176800000000007</v>
          </cell>
        </row>
        <row r="1438">
          <cell r="D1438">
            <v>39983</v>
          </cell>
          <cell r="F1438">
            <v>92.343019999999996</v>
          </cell>
          <cell r="K1438">
            <v>39983</v>
          </cell>
          <cell r="M1438">
            <v>16.75329</v>
          </cell>
          <cell r="R1438">
            <v>39983</v>
          </cell>
          <cell r="T1438">
            <v>3.87</v>
          </cell>
          <cell r="Y1438">
            <v>39983</v>
          </cell>
          <cell r="AA1438">
            <v>82.96</v>
          </cell>
          <cell r="AF1438">
            <v>39983</v>
          </cell>
          <cell r="AH1438">
            <v>18.55312</v>
          </cell>
          <cell r="AM1438">
            <v>39983</v>
          </cell>
          <cell r="AO1438">
            <v>19.77467</v>
          </cell>
          <cell r="AT1438">
            <v>39983</v>
          </cell>
          <cell r="AV1438">
            <v>20.121030000000001</v>
          </cell>
          <cell r="BA1438">
            <v>39983</v>
          </cell>
          <cell r="BC1438">
            <v>18.56438</v>
          </cell>
          <cell r="BH1438">
            <v>39983</v>
          </cell>
          <cell r="BJ1438">
            <v>9.8918400000000002</v>
          </cell>
        </row>
        <row r="1439">
          <cell r="D1439">
            <v>39982</v>
          </cell>
          <cell r="F1439">
            <v>92.72672</v>
          </cell>
          <cell r="K1439">
            <v>39982</v>
          </cell>
          <cell r="M1439">
            <v>16.815270000000002</v>
          </cell>
          <cell r="R1439">
            <v>39982</v>
          </cell>
          <cell r="T1439">
            <v>3.85</v>
          </cell>
          <cell r="Y1439">
            <v>39982</v>
          </cell>
          <cell r="AA1439">
            <v>81.594999999999999</v>
          </cell>
          <cell r="AF1439">
            <v>39982</v>
          </cell>
          <cell r="AH1439">
            <v>18.074259999999999</v>
          </cell>
          <cell r="AM1439">
            <v>39982</v>
          </cell>
          <cell r="AO1439">
            <v>19.662269999999999</v>
          </cell>
          <cell r="AT1439">
            <v>39982</v>
          </cell>
          <cell r="AV1439">
            <v>20.426079999999999</v>
          </cell>
          <cell r="BA1439">
            <v>39982</v>
          </cell>
          <cell r="BC1439">
            <v>18.554970000000001</v>
          </cell>
          <cell r="BH1439">
            <v>39982</v>
          </cell>
          <cell r="BJ1439">
            <v>9.7855600000000003</v>
          </cell>
        </row>
        <row r="1440">
          <cell r="D1440">
            <v>39981</v>
          </cell>
          <cell r="F1440">
            <v>93.311009999999996</v>
          </cell>
          <cell r="K1440">
            <v>39981</v>
          </cell>
          <cell r="M1440">
            <v>17.00122</v>
          </cell>
          <cell r="R1440">
            <v>39981</v>
          </cell>
          <cell r="T1440">
            <v>4.08</v>
          </cell>
          <cell r="Y1440">
            <v>39981</v>
          </cell>
          <cell r="AA1440">
            <v>82.65</v>
          </cell>
          <cell r="AF1440">
            <v>39981</v>
          </cell>
          <cell r="AH1440">
            <v>18.03435</v>
          </cell>
          <cell r="AM1440">
            <v>39981</v>
          </cell>
          <cell r="AO1440">
            <v>19.225200000000001</v>
          </cell>
          <cell r="AT1440">
            <v>39981</v>
          </cell>
          <cell r="AV1440">
            <v>19.75827</v>
          </cell>
          <cell r="BA1440">
            <v>39981</v>
          </cell>
          <cell r="BC1440">
            <v>18.31033</v>
          </cell>
          <cell r="BH1440">
            <v>39981</v>
          </cell>
          <cell r="BJ1440">
            <v>9.9327100000000002</v>
          </cell>
        </row>
        <row r="1441">
          <cell r="D1441">
            <v>39980</v>
          </cell>
          <cell r="F1441">
            <v>93.590069999999997</v>
          </cell>
          <cell r="K1441">
            <v>39980</v>
          </cell>
          <cell r="M1441">
            <v>16.894960000000001</v>
          </cell>
          <cell r="R1441">
            <v>39980</v>
          </cell>
          <cell r="T1441">
            <v>4.13</v>
          </cell>
          <cell r="Y1441">
            <v>39980</v>
          </cell>
          <cell r="AA1441">
            <v>82.15</v>
          </cell>
          <cell r="AF1441">
            <v>39980</v>
          </cell>
          <cell r="AH1441">
            <v>18.136769999999999</v>
          </cell>
          <cell r="AM1441">
            <v>39980</v>
          </cell>
          <cell r="AO1441">
            <v>18.706949999999999</v>
          </cell>
          <cell r="AT1441">
            <v>39980</v>
          </cell>
          <cell r="AV1441">
            <v>19.71705</v>
          </cell>
          <cell r="BA1441">
            <v>39980</v>
          </cell>
          <cell r="BC1441">
            <v>18.10333</v>
          </cell>
          <cell r="BH1441">
            <v>39980</v>
          </cell>
          <cell r="BJ1441">
            <v>10.362450000000001</v>
          </cell>
        </row>
        <row r="1442">
          <cell r="D1442">
            <v>39979</v>
          </cell>
          <cell r="F1442">
            <v>93.851690000000005</v>
          </cell>
          <cell r="K1442">
            <v>39979</v>
          </cell>
          <cell r="M1442">
            <v>17.142900000000001</v>
          </cell>
          <cell r="R1442">
            <v>39979</v>
          </cell>
          <cell r="T1442">
            <v>4.26</v>
          </cell>
          <cell r="Y1442">
            <v>39979</v>
          </cell>
          <cell r="AA1442">
            <v>83.18</v>
          </cell>
          <cell r="AF1442">
            <v>39979</v>
          </cell>
          <cell r="AH1442">
            <v>18.10219</v>
          </cell>
          <cell r="AM1442">
            <v>39979</v>
          </cell>
          <cell r="AO1442">
            <v>18.77563</v>
          </cell>
          <cell r="AT1442">
            <v>39979</v>
          </cell>
          <cell r="AV1442">
            <v>19.832470000000001</v>
          </cell>
          <cell r="BA1442">
            <v>39979</v>
          </cell>
          <cell r="BC1442">
            <v>18.837240000000001</v>
          </cell>
          <cell r="BH1442">
            <v>39979</v>
          </cell>
          <cell r="BJ1442">
            <v>10.662459999999999</v>
          </cell>
        </row>
        <row r="1443">
          <cell r="D1443">
            <v>39976</v>
          </cell>
          <cell r="F1443">
            <v>94.366209999999995</v>
          </cell>
          <cell r="K1443">
            <v>39976</v>
          </cell>
          <cell r="M1443">
            <v>17.629909999999999</v>
          </cell>
          <cell r="R1443">
            <v>39976</v>
          </cell>
          <cell r="T1443">
            <v>4.47</v>
          </cell>
          <cell r="Y1443">
            <v>39976</v>
          </cell>
          <cell r="AA1443">
            <v>84.08</v>
          </cell>
          <cell r="AF1443">
            <v>39976</v>
          </cell>
          <cell r="AH1443">
            <v>18.219239999999999</v>
          </cell>
          <cell r="AM1443">
            <v>39976</v>
          </cell>
          <cell r="AO1443">
            <v>19.331340000000001</v>
          </cell>
          <cell r="AT1443">
            <v>39976</v>
          </cell>
          <cell r="AV1443">
            <v>20.15401</v>
          </cell>
          <cell r="BA1443">
            <v>39976</v>
          </cell>
          <cell r="BC1443">
            <v>19.853439999999999</v>
          </cell>
          <cell r="BH1443">
            <v>39976</v>
          </cell>
          <cell r="BJ1443">
            <v>10.954359999999999</v>
          </cell>
        </row>
        <row r="1444">
          <cell r="D1444">
            <v>39975</v>
          </cell>
          <cell r="F1444">
            <v>95.403970000000001</v>
          </cell>
          <cell r="K1444">
            <v>39975</v>
          </cell>
          <cell r="M1444">
            <v>17.79815</v>
          </cell>
          <cell r="R1444">
            <v>39975</v>
          </cell>
          <cell r="T1444">
            <v>4.7</v>
          </cell>
          <cell r="Y1444">
            <v>39975</v>
          </cell>
          <cell r="AA1444">
            <v>85.69</v>
          </cell>
          <cell r="AF1444">
            <v>39975</v>
          </cell>
          <cell r="AH1444">
            <v>18.615629999999999</v>
          </cell>
          <cell r="AM1444">
            <v>39975</v>
          </cell>
          <cell r="AO1444">
            <v>19.256419999999999</v>
          </cell>
          <cell r="AT1444">
            <v>39975</v>
          </cell>
          <cell r="AV1444">
            <v>20.026219999999999</v>
          </cell>
          <cell r="BA1444">
            <v>39975</v>
          </cell>
          <cell r="BC1444">
            <v>19.909890000000001</v>
          </cell>
          <cell r="BH1444">
            <v>39975</v>
          </cell>
          <cell r="BJ1444">
            <v>10.913819999999999</v>
          </cell>
        </row>
        <row r="1445">
          <cell r="D1445">
            <v>39974</v>
          </cell>
          <cell r="F1445">
            <v>94.488299999999995</v>
          </cell>
          <cell r="K1445">
            <v>39974</v>
          </cell>
          <cell r="M1445">
            <v>17.665330000000001</v>
          </cell>
          <cell r="R1445">
            <v>39974</v>
          </cell>
          <cell r="T1445">
            <v>4.82</v>
          </cell>
          <cell r="Y1445">
            <v>39974</v>
          </cell>
          <cell r="AA1445">
            <v>86.59</v>
          </cell>
          <cell r="AF1445">
            <v>39974</v>
          </cell>
          <cell r="AH1445">
            <v>18.655539999999998</v>
          </cell>
          <cell r="AM1445">
            <v>39974</v>
          </cell>
          <cell r="AO1445">
            <v>18.838069999999998</v>
          </cell>
          <cell r="AT1445">
            <v>39974</v>
          </cell>
          <cell r="AV1445">
            <v>19.787120000000002</v>
          </cell>
          <cell r="BA1445">
            <v>39974</v>
          </cell>
          <cell r="BC1445">
            <v>20.408580000000001</v>
          </cell>
          <cell r="BH1445">
            <v>39974</v>
          </cell>
          <cell r="BJ1445">
            <v>10.865170000000001</v>
          </cell>
        </row>
        <row r="1446">
          <cell r="D1446">
            <v>39973</v>
          </cell>
          <cell r="F1446">
            <v>94.305160000000001</v>
          </cell>
          <cell r="K1446">
            <v>39973</v>
          </cell>
          <cell r="M1446">
            <v>17.780439999999999</v>
          </cell>
          <cell r="R1446">
            <v>39973</v>
          </cell>
          <cell r="T1446">
            <v>4.75</v>
          </cell>
          <cell r="Y1446">
            <v>39973</v>
          </cell>
          <cell r="AA1446">
            <v>87.08</v>
          </cell>
          <cell r="AF1446">
            <v>39973</v>
          </cell>
          <cell r="AH1446">
            <v>18.984089999999998</v>
          </cell>
          <cell r="AM1446">
            <v>39973</v>
          </cell>
          <cell r="AO1446">
            <v>18.65699</v>
          </cell>
          <cell r="AT1446">
            <v>39973</v>
          </cell>
          <cell r="AV1446">
            <v>20.065069999999999</v>
          </cell>
          <cell r="BA1446">
            <v>39973</v>
          </cell>
          <cell r="BC1446">
            <v>20.794360000000001</v>
          </cell>
          <cell r="BH1446">
            <v>39973</v>
          </cell>
          <cell r="BJ1446">
            <v>11.00301</v>
          </cell>
        </row>
        <row r="1447">
          <cell r="D1447">
            <v>39972</v>
          </cell>
          <cell r="F1447">
            <v>93.738320000000002</v>
          </cell>
          <cell r="K1447">
            <v>39972</v>
          </cell>
          <cell r="M1447">
            <v>17.59449</v>
          </cell>
          <cell r="R1447">
            <v>39972</v>
          </cell>
          <cell r="T1447">
            <v>4.6100000000000003</v>
          </cell>
          <cell r="Y1447">
            <v>39972</v>
          </cell>
          <cell r="AA1447">
            <v>86.36</v>
          </cell>
          <cell r="AF1447">
            <v>39972</v>
          </cell>
          <cell r="AH1447">
            <v>19.134399999999999</v>
          </cell>
          <cell r="AM1447">
            <v>39972</v>
          </cell>
          <cell r="AO1447">
            <v>19.056609999999999</v>
          </cell>
          <cell r="AT1447">
            <v>39972</v>
          </cell>
          <cell r="AV1447">
            <v>20.183599999999998</v>
          </cell>
          <cell r="BA1447">
            <v>39972</v>
          </cell>
          <cell r="BC1447">
            <v>20.832000000000001</v>
          </cell>
          <cell r="BH1447">
            <v>39972</v>
          </cell>
          <cell r="BJ1447">
            <v>10.994899999999999</v>
          </cell>
        </row>
        <row r="1448">
          <cell r="D1448">
            <v>39969</v>
          </cell>
          <cell r="F1448">
            <v>93.520300000000006</v>
          </cell>
          <cell r="K1448">
            <v>39969</v>
          </cell>
          <cell r="M1448">
            <v>17.59449</v>
          </cell>
          <cell r="R1448">
            <v>39969</v>
          </cell>
          <cell r="T1448">
            <v>4.63</v>
          </cell>
          <cell r="Y1448">
            <v>39969</v>
          </cell>
          <cell r="AA1448">
            <v>87.56</v>
          </cell>
          <cell r="AF1448">
            <v>39969</v>
          </cell>
          <cell r="AH1448">
            <v>19.243469999999999</v>
          </cell>
          <cell r="AM1448">
            <v>39969</v>
          </cell>
          <cell r="AO1448">
            <v>19.231439999999999</v>
          </cell>
          <cell r="AT1448">
            <v>39969</v>
          </cell>
          <cell r="AV1448">
            <v>20.208130000000001</v>
          </cell>
          <cell r="BA1448">
            <v>39969</v>
          </cell>
          <cell r="BC1448">
            <v>21.358910000000002</v>
          </cell>
          <cell r="BH1448">
            <v>39969</v>
          </cell>
          <cell r="BJ1448">
            <v>10.97869</v>
          </cell>
        </row>
        <row r="1449">
          <cell r="D1449">
            <v>39968</v>
          </cell>
          <cell r="F1449">
            <v>92.72672</v>
          </cell>
          <cell r="K1449">
            <v>39968</v>
          </cell>
          <cell r="M1449">
            <v>17.417400000000001</v>
          </cell>
          <cell r="R1449">
            <v>39968</v>
          </cell>
          <cell r="T1449">
            <v>4.6500000000000004</v>
          </cell>
          <cell r="Y1449">
            <v>39968</v>
          </cell>
          <cell r="AA1449">
            <v>85.52</v>
          </cell>
          <cell r="AF1449">
            <v>39968</v>
          </cell>
          <cell r="AH1449">
            <v>19.119769999999999</v>
          </cell>
          <cell r="AM1449">
            <v>39968</v>
          </cell>
          <cell r="AO1449">
            <v>18.613289999999999</v>
          </cell>
          <cell r="AT1449">
            <v>39968</v>
          </cell>
          <cell r="AV1449">
            <v>20.338920000000002</v>
          </cell>
          <cell r="BA1449">
            <v>39968</v>
          </cell>
          <cell r="BC1449">
            <v>20.58736</v>
          </cell>
          <cell r="BH1449">
            <v>39968</v>
          </cell>
          <cell r="BJ1449">
            <v>11.148960000000001</v>
          </cell>
        </row>
        <row r="1450">
          <cell r="D1450">
            <v>39967</v>
          </cell>
          <cell r="F1450">
            <v>92.866249999999994</v>
          </cell>
          <cell r="K1450">
            <v>39967</v>
          </cell>
          <cell r="M1450">
            <v>17.142900000000001</v>
          </cell>
          <cell r="R1450">
            <v>39967</v>
          </cell>
          <cell r="T1450">
            <v>4.4800000000000004</v>
          </cell>
          <cell r="Y1450">
            <v>39967</v>
          </cell>
          <cell r="AA1450">
            <v>85.68</v>
          </cell>
          <cell r="AF1450">
            <v>39967</v>
          </cell>
          <cell r="AH1450">
            <v>18.748650000000001</v>
          </cell>
          <cell r="AM1450">
            <v>39967</v>
          </cell>
          <cell r="AO1450">
            <v>19.000409999999999</v>
          </cell>
          <cell r="AT1450">
            <v>39967</v>
          </cell>
          <cell r="AV1450">
            <v>20.065069999999999</v>
          </cell>
          <cell r="BA1450">
            <v>39967</v>
          </cell>
          <cell r="BC1450">
            <v>18.470279999999999</v>
          </cell>
          <cell r="BH1450">
            <v>39967</v>
          </cell>
          <cell r="BJ1450">
            <v>10.946249999999999</v>
          </cell>
        </row>
        <row r="1451">
          <cell r="D1451">
            <v>39966</v>
          </cell>
          <cell r="F1451">
            <v>93.162760000000006</v>
          </cell>
          <cell r="K1451">
            <v>39966</v>
          </cell>
          <cell r="M1451">
            <v>17.364270000000001</v>
          </cell>
          <cell r="R1451">
            <v>39966</v>
          </cell>
          <cell r="T1451">
            <v>4.5599999999999996</v>
          </cell>
          <cell r="Y1451">
            <v>39966</v>
          </cell>
          <cell r="AA1451">
            <v>84.93</v>
          </cell>
          <cell r="AF1451">
            <v>39966</v>
          </cell>
          <cell r="AH1451">
            <v>18.554449999999999</v>
          </cell>
          <cell r="AM1451">
            <v>39966</v>
          </cell>
          <cell r="AO1451">
            <v>20.355360000000001</v>
          </cell>
          <cell r="AT1451">
            <v>39966</v>
          </cell>
          <cell r="AV1451">
            <v>20.29805</v>
          </cell>
          <cell r="BA1451">
            <v>39966</v>
          </cell>
          <cell r="BC1451">
            <v>19.42062</v>
          </cell>
          <cell r="BH1451">
            <v>39966</v>
          </cell>
          <cell r="BJ1451">
            <v>11.189500000000001</v>
          </cell>
        </row>
        <row r="1452">
          <cell r="D1452">
            <v>39965</v>
          </cell>
          <cell r="F1452">
            <v>94.505740000000003</v>
          </cell>
          <cell r="K1452">
            <v>39965</v>
          </cell>
          <cell r="M1452">
            <v>17.266870000000001</v>
          </cell>
          <cell r="R1452">
            <v>39965</v>
          </cell>
          <cell r="T1452">
            <v>4.7300000000000004</v>
          </cell>
          <cell r="Y1452">
            <v>39965</v>
          </cell>
          <cell r="AA1452">
            <v>83.05</v>
          </cell>
          <cell r="AF1452">
            <v>39965</v>
          </cell>
          <cell r="AH1452">
            <v>18.535820000000001</v>
          </cell>
          <cell r="AM1452">
            <v>39965</v>
          </cell>
          <cell r="AO1452">
            <v>22.827970000000001</v>
          </cell>
          <cell r="AT1452">
            <v>39965</v>
          </cell>
          <cell r="AV1452">
            <v>20.036460000000002</v>
          </cell>
          <cell r="BA1452">
            <v>39965</v>
          </cell>
          <cell r="BC1452">
            <v>18.432649999999999</v>
          </cell>
          <cell r="BH1452">
            <v>39965</v>
          </cell>
          <cell r="BJ1452">
            <v>11.238149999999999</v>
          </cell>
        </row>
        <row r="1453">
          <cell r="D1453">
            <v>39962</v>
          </cell>
          <cell r="F1453">
            <v>92.683120000000002</v>
          </cell>
          <cell r="K1453">
            <v>39962</v>
          </cell>
          <cell r="M1453">
            <v>16.38139</v>
          </cell>
          <cell r="R1453">
            <v>39962</v>
          </cell>
          <cell r="T1453">
            <v>4.54</v>
          </cell>
          <cell r="Y1453">
            <v>39962</v>
          </cell>
          <cell r="AA1453">
            <v>77.989999999999995</v>
          </cell>
          <cell r="AF1453">
            <v>39962</v>
          </cell>
          <cell r="AH1453">
            <v>18.06495</v>
          </cell>
          <cell r="AM1453">
            <v>39962</v>
          </cell>
          <cell r="AO1453">
            <v>22.322209999999998</v>
          </cell>
          <cell r="AT1453">
            <v>39962</v>
          </cell>
          <cell r="AV1453">
            <v>20.093679999999999</v>
          </cell>
          <cell r="BA1453">
            <v>39962</v>
          </cell>
          <cell r="BC1453">
            <v>16.870719999999999</v>
          </cell>
          <cell r="BH1453">
            <v>39962</v>
          </cell>
          <cell r="BJ1453">
            <v>10.93004</v>
          </cell>
        </row>
        <row r="1454">
          <cell r="D1454">
            <v>39961</v>
          </cell>
          <cell r="F1454">
            <v>91.296539999999993</v>
          </cell>
          <cell r="K1454">
            <v>39961</v>
          </cell>
          <cell r="M1454">
            <v>16.390239999999999</v>
          </cell>
          <cell r="R1454">
            <v>39961</v>
          </cell>
          <cell r="T1454">
            <v>4.7</v>
          </cell>
          <cell r="Y1454">
            <v>39961</v>
          </cell>
          <cell r="AA1454">
            <v>77.650000000000006</v>
          </cell>
          <cell r="AF1454">
            <v>39961</v>
          </cell>
          <cell r="AH1454">
            <v>17.96651</v>
          </cell>
          <cell r="AM1454">
            <v>39961</v>
          </cell>
          <cell r="AO1454">
            <v>21.822690000000001</v>
          </cell>
          <cell r="AT1454">
            <v>39961</v>
          </cell>
          <cell r="AV1454">
            <v>19.169930000000001</v>
          </cell>
          <cell r="BA1454">
            <v>39961</v>
          </cell>
          <cell r="BC1454">
            <v>16.419080000000001</v>
          </cell>
          <cell r="BH1454">
            <v>39961</v>
          </cell>
          <cell r="BJ1454">
            <v>10.694889999999999</v>
          </cell>
        </row>
        <row r="1455">
          <cell r="D1455">
            <v>39960</v>
          </cell>
          <cell r="F1455">
            <v>89.761700000000005</v>
          </cell>
          <cell r="K1455">
            <v>39960</v>
          </cell>
          <cell r="M1455">
            <v>16.13345</v>
          </cell>
          <cell r="R1455">
            <v>39960</v>
          </cell>
          <cell r="T1455">
            <v>4.71</v>
          </cell>
          <cell r="Y1455">
            <v>39960</v>
          </cell>
          <cell r="AA1455">
            <v>77.099999999999994</v>
          </cell>
          <cell r="AF1455">
            <v>39960</v>
          </cell>
          <cell r="AH1455">
            <v>17.69782</v>
          </cell>
          <cell r="AM1455">
            <v>39960</v>
          </cell>
          <cell r="AO1455">
            <v>21.778980000000001</v>
          </cell>
          <cell r="AT1455">
            <v>39960</v>
          </cell>
          <cell r="AV1455">
            <v>19.059570000000001</v>
          </cell>
          <cell r="BA1455">
            <v>39960</v>
          </cell>
          <cell r="BC1455">
            <v>16.39085</v>
          </cell>
          <cell r="BH1455">
            <v>39960</v>
          </cell>
          <cell r="BJ1455">
            <v>10.532730000000001</v>
          </cell>
        </row>
        <row r="1456">
          <cell r="D1456">
            <v>39959</v>
          </cell>
          <cell r="F1456">
            <v>91.584320000000005</v>
          </cell>
          <cell r="K1456">
            <v>39959</v>
          </cell>
          <cell r="M1456">
            <v>16.372530000000001</v>
          </cell>
          <cell r="R1456">
            <v>39959</v>
          </cell>
          <cell r="T1456">
            <v>4.53</v>
          </cell>
          <cell r="Y1456">
            <v>39959</v>
          </cell>
          <cell r="AA1456">
            <v>78.39</v>
          </cell>
          <cell r="AF1456">
            <v>39959</v>
          </cell>
          <cell r="AH1456">
            <v>17.395869999999999</v>
          </cell>
          <cell r="AM1456">
            <v>39959</v>
          </cell>
          <cell r="AO1456">
            <v>21.9663</v>
          </cell>
          <cell r="AT1456">
            <v>39959</v>
          </cell>
          <cell r="AV1456">
            <v>19.29664</v>
          </cell>
          <cell r="BA1456">
            <v>39959</v>
          </cell>
          <cell r="BC1456">
            <v>16.78604</v>
          </cell>
          <cell r="BH1456">
            <v>39959</v>
          </cell>
          <cell r="BJ1456">
            <v>10.857060000000001</v>
          </cell>
        </row>
        <row r="1457">
          <cell r="D1457">
            <v>39955</v>
          </cell>
          <cell r="F1457">
            <v>88.854749999999996</v>
          </cell>
          <cell r="K1457">
            <v>39955</v>
          </cell>
          <cell r="M1457">
            <v>15.850099999999999</v>
          </cell>
          <cell r="R1457">
            <v>39955</v>
          </cell>
          <cell r="T1457">
            <v>4.26</v>
          </cell>
          <cell r="Y1457">
            <v>39955</v>
          </cell>
          <cell r="AA1457">
            <v>75.64</v>
          </cell>
          <cell r="AF1457">
            <v>39955</v>
          </cell>
          <cell r="AH1457">
            <v>16.294499999999999</v>
          </cell>
          <cell r="AM1457">
            <v>39955</v>
          </cell>
          <cell r="AO1457">
            <v>21.37312</v>
          </cell>
          <cell r="AT1457">
            <v>39955</v>
          </cell>
          <cell r="AV1457">
            <v>19.33342</v>
          </cell>
          <cell r="BA1457">
            <v>39955</v>
          </cell>
          <cell r="BC1457">
            <v>15.5252</v>
          </cell>
          <cell r="BH1457">
            <v>39955</v>
          </cell>
          <cell r="BJ1457">
            <v>10.621919999999999</v>
          </cell>
        </row>
        <row r="1458">
          <cell r="D1458">
            <v>39954</v>
          </cell>
          <cell r="F1458">
            <v>89.665769999999995</v>
          </cell>
          <cell r="K1458">
            <v>39954</v>
          </cell>
          <cell r="M1458">
            <v>16.027190000000001</v>
          </cell>
          <cell r="R1458">
            <v>39954</v>
          </cell>
          <cell r="T1458">
            <v>4.34</v>
          </cell>
          <cell r="Y1458">
            <v>39954</v>
          </cell>
          <cell r="AA1458">
            <v>75.959999999999994</v>
          </cell>
          <cell r="AF1458">
            <v>39954</v>
          </cell>
          <cell r="AH1458">
            <v>16.517969999999998</v>
          </cell>
          <cell r="AM1458">
            <v>39954</v>
          </cell>
          <cell r="AO1458">
            <v>21.30444</v>
          </cell>
          <cell r="AT1458">
            <v>39954</v>
          </cell>
          <cell r="AV1458">
            <v>19.079999999999998</v>
          </cell>
          <cell r="BA1458">
            <v>39954</v>
          </cell>
          <cell r="BC1458">
            <v>15.892160000000001</v>
          </cell>
          <cell r="BH1458">
            <v>39954</v>
          </cell>
          <cell r="BJ1458">
            <v>10.735440000000001</v>
          </cell>
        </row>
        <row r="1459">
          <cell r="D1459">
            <v>39953</v>
          </cell>
          <cell r="F1459">
            <v>90.738410000000002</v>
          </cell>
          <cell r="K1459">
            <v>39953</v>
          </cell>
          <cell r="M1459">
            <v>16.469930000000002</v>
          </cell>
          <cell r="R1459">
            <v>39953</v>
          </cell>
          <cell r="T1459">
            <v>4.5</v>
          </cell>
          <cell r="Y1459">
            <v>39953</v>
          </cell>
          <cell r="AA1459">
            <v>77.97</v>
          </cell>
          <cell r="AF1459">
            <v>39953</v>
          </cell>
          <cell r="AH1459">
            <v>16.742760000000001</v>
          </cell>
          <cell r="AM1459">
            <v>39953</v>
          </cell>
          <cell r="AO1459">
            <v>22.272259999999999</v>
          </cell>
          <cell r="AT1459">
            <v>39953</v>
          </cell>
          <cell r="AV1459">
            <v>19.210799999999999</v>
          </cell>
          <cell r="BA1459">
            <v>39953</v>
          </cell>
          <cell r="BC1459">
            <v>16.579029999999999</v>
          </cell>
          <cell r="BH1459">
            <v>39953</v>
          </cell>
          <cell r="BJ1459">
            <v>11.165179999999999</v>
          </cell>
        </row>
        <row r="1460">
          <cell r="D1460">
            <v>39952</v>
          </cell>
          <cell r="F1460">
            <v>92.011629999999997</v>
          </cell>
          <cell r="K1460">
            <v>39952</v>
          </cell>
          <cell r="M1460">
            <v>16.717870000000001</v>
          </cell>
          <cell r="R1460">
            <v>39952</v>
          </cell>
          <cell r="T1460">
            <v>4.3899999999999997</v>
          </cell>
          <cell r="Y1460">
            <v>39952</v>
          </cell>
          <cell r="AA1460">
            <v>77.87</v>
          </cell>
          <cell r="AF1460">
            <v>39952</v>
          </cell>
          <cell r="AH1460">
            <v>16.952929999999999</v>
          </cell>
          <cell r="AM1460">
            <v>39952</v>
          </cell>
          <cell r="AO1460">
            <v>22.278500000000001</v>
          </cell>
          <cell r="AT1460">
            <v>39952</v>
          </cell>
          <cell r="AV1460">
            <v>19.063649999999999</v>
          </cell>
          <cell r="BA1460">
            <v>39952</v>
          </cell>
          <cell r="BC1460">
            <v>16.654309999999999</v>
          </cell>
          <cell r="BH1460">
            <v>39952</v>
          </cell>
          <cell r="BJ1460">
            <v>11.108420000000001</v>
          </cell>
        </row>
        <row r="1461">
          <cell r="D1461">
            <v>39951</v>
          </cell>
          <cell r="F1461">
            <v>91.200609999999998</v>
          </cell>
          <cell r="K1461">
            <v>39951</v>
          </cell>
          <cell r="M1461">
            <v>16.57619</v>
          </cell>
          <cell r="R1461">
            <v>39951</v>
          </cell>
          <cell r="T1461">
            <v>4.1399999999999997</v>
          </cell>
          <cell r="Y1461">
            <v>39951</v>
          </cell>
          <cell r="AA1461">
            <v>75.95</v>
          </cell>
          <cell r="AF1461">
            <v>39951</v>
          </cell>
          <cell r="AH1461">
            <v>16.846520000000002</v>
          </cell>
          <cell r="AM1461">
            <v>39951</v>
          </cell>
          <cell r="AO1461">
            <v>22.297229999999999</v>
          </cell>
          <cell r="AT1461">
            <v>39951</v>
          </cell>
          <cell r="AV1461">
            <v>18.830670000000001</v>
          </cell>
          <cell r="BA1461">
            <v>39951</v>
          </cell>
          <cell r="BC1461">
            <v>16.541399999999999</v>
          </cell>
          <cell r="BH1461">
            <v>39951</v>
          </cell>
          <cell r="BJ1461">
            <v>10.92193</v>
          </cell>
        </row>
        <row r="1462">
          <cell r="D1462">
            <v>39948</v>
          </cell>
          <cell r="F1462">
            <v>88.40128</v>
          </cell>
          <cell r="K1462">
            <v>39948</v>
          </cell>
          <cell r="M1462">
            <v>15.86781</v>
          </cell>
          <cell r="R1462">
            <v>39948</v>
          </cell>
          <cell r="T1462">
            <v>4.01</v>
          </cell>
          <cell r="Y1462">
            <v>39948</v>
          </cell>
          <cell r="AA1462">
            <v>73.599999999999994</v>
          </cell>
          <cell r="AF1462">
            <v>39948</v>
          </cell>
          <cell r="AH1462">
            <v>16.283860000000001</v>
          </cell>
          <cell r="AM1462">
            <v>39948</v>
          </cell>
          <cell r="AO1462">
            <v>21.778980000000001</v>
          </cell>
          <cell r="AT1462">
            <v>39948</v>
          </cell>
          <cell r="AV1462">
            <v>18.37697</v>
          </cell>
          <cell r="BA1462">
            <v>39948</v>
          </cell>
          <cell r="BC1462">
            <v>15.515790000000001</v>
          </cell>
          <cell r="BH1462">
            <v>39948</v>
          </cell>
          <cell r="BJ1462">
            <v>10.42732</v>
          </cell>
        </row>
        <row r="1463">
          <cell r="D1463">
            <v>39947</v>
          </cell>
          <cell r="F1463">
            <v>88.122219999999999</v>
          </cell>
          <cell r="K1463">
            <v>39947</v>
          </cell>
          <cell r="M1463">
            <v>16.018339999999998</v>
          </cell>
          <cell r="R1463">
            <v>39947</v>
          </cell>
          <cell r="T1463">
            <v>4.24</v>
          </cell>
          <cell r="Y1463">
            <v>39947</v>
          </cell>
          <cell r="AA1463">
            <v>75.11</v>
          </cell>
          <cell r="AF1463">
            <v>39947</v>
          </cell>
          <cell r="AH1463">
            <v>16.35436</v>
          </cell>
          <cell r="AM1463">
            <v>39947</v>
          </cell>
          <cell r="AO1463">
            <v>22.347180000000002</v>
          </cell>
          <cell r="AT1463">
            <v>39947</v>
          </cell>
          <cell r="AV1463">
            <v>18.352450000000001</v>
          </cell>
          <cell r="BA1463">
            <v>39947</v>
          </cell>
          <cell r="BC1463">
            <v>15.50638</v>
          </cell>
          <cell r="BH1463">
            <v>39947</v>
          </cell>
          <cell r="BJ1463">
            <v>10.573270000000001</v>
          </cell>
        </row>
        <row r="1464">
          <cell r="D1464">
            <v>39946</v>
          </cell>
          <cell r="F1464">
            <v>89.177419999999998</v>
          </cell>
          <cell r="K1464">
            <v>39946</v>
          </cell>
          <cell r="M1464">
            <v>15.98292</v>
          </cell>
          <cell r="R1464">
            <v>39946</v>
          </cell>
          <cell r="T1464">
            <v>4.38</v>
          </cell>
          <cell r="Y1464">
            <v>39946</v>
          </cell>
          <cell r="AA1464">
            <v>74.19</v>
          </cell>
          <cell r="AF1464">
            <v>39946</v>
          </cell>
          <cell r="AH1464">
            <v>15.894119999999999</v>
          </cell>
          <cell r="AM1464">
            <v>39946</v>
          </cell>
          <cell r="AO1464">
            <v>22.191079999999999</v>
          </cell>
          <cell r="AT1464">
            <v>39946</v>
          </cell>
          <cell r="AV1464">
            <v>17.833349999999999</v>
          </cell>
          <cell r="BA1464">
            <v>39946</v>
          </cell>
          <cell r="BC1464">
            <v>15.214700000000001</v>
          </cell>
          <cell r="BH1464">
            <v>39946</v>
          </cell>
          <cell r="BJ1464">
            <v>10.46786</v>
          </cell>
        </row>
        <row r="1465">
          <cell r="D1465">
            <v>39945</v>
          </cell>
          <cell r="F1465">
            <v>90.642489999999995</v>
          </cell>
          <cell r="K1465">
            <v>39945</v>
          </cell>
          <cell r="M1465">
            <v>16.57619</v>
          </cell>
          <cell r="R1465">
            <v>39945</v>
          </cell>
          <cell r="T1465">
            <v>4.3499999999999996</v>
          </cell>
          <cell r="Y1465">
            <v>39945</v>
          </cell>
          <cell r="AA1465">
            <v>77.930000000000007</v>
          </cell>
          <cell r="AF1465">
            <v>39945</v>
          </cell>
          <cell r="AH1465">
            <v>16.549890000000001</v>
          </cell>
          <cell r="AM1465">
            <v>39945</v>
          </cell>
          <cell r="AO1465">
            <v>22.59694</v>
          </cell>
          <cell r="AT1465">
            <v>39945</v>
          </cell>
          <cell r="AV1465">
            <v>18.14808</v>
          </cell>
          <cell r="BA1465">
            <v>39945</v>
          </cell>
          <cell r="BC1465">
            <v>16.701350000000001</v>
          </cell>
          <cell r="BH1465">
            <v>39945</v>
          </cell>
          <cell r="BJ1465">
            <v>11.0922</v>
          </cell>
        </row>
        <row r="1466">
          <cell r="D1466">
            <v>39944</v>
          </cell>
          <cell r="F1466">
            <v>89.73554</v>
          </cell>
          <cell r="K1466">
            <v>39944</v>
          </cell>
          <cell r="M1466">
            <v>16.47879</v>
          </cell>
          <cell r="R1466">
            <v>39944</v>
          </cell>
          <cell r="T1466">
            <v>4.22</v>
          </cell>
          <cell r="Y1466">
            <v>39944</v>
          </cell>
          <cell r="AA1466">
            <v>78.61</v>
          </cell>
          <cell r="AF1466">
            <v>39944</v>
          </cell>
          <cell r="AH1466">
            <v>17.234919999999999</v>
          </cell>
          <cell r="AM1466">
            <v>39944</v>
          </cell>
          <cell r="AO1466">
            <v>22.57197</v>
          </cell>
          <cell r="AT1466">
            <v>39944</v>
          </cell>
          <cell r="AV1466">
            <v>17.473649999999999</v>
          </cell>
          <cell r="BA1466">
            <v>39944</v>
          </cell>
          <cell r="BC1466">
            <v>17.407039999999999</v>
          </cell>
          <cell r="BH1466">
            <v>39944</v>
          </cell>
          <cell r="BJ1466">
            <v>11.50573</v>
          </cell>
        </row>
        <row r="1467">
          <cell r="D1467">
            <v>39941</v>
          </cell>
          <cell r="F1467">
            <v>88.505930000000006</v>
          </cell>
          <cell r="K1467">
            <v>39941</v>
          </cell>
          <cell r="M1467">
            <v>16.585049999999999</v>
          </cell>
          <cell r="R1467">
            <v>39941</v>
          </cell>
          <cell r="T1467">
            <v>3.93</v>
          </cell>
          <cell r="Y1467">
            <v>39941</v>
          </cell>
          <cell r="AA1467">
            <v>77.95</v>
          </cell>
          <cell r="AF1467">
            <v>39941</v>
          </cell>
          <cell r="AH1467">
            <v>17.184380000000001</v>
          </cell>
          <cell r="AM1467">
            <v>39941</v>
          </cell>
          <cell r="AO1467">
            <v>23.071480000000001</v>
          </cell>
          <cell r="AT1467">
            <v>39941</v>
          </cell>
          <cell r="AV1467">
            <v>17.543140000000001</v>
          </cell>
          <cell r="BA1467">
            <v>39941</v>
          </cell>
          <cell r="BC1467">
            <v>18.95956</v>
          </cell>
          <cell r="BH1467">
            <v>39941</v>
          </cell>
          <cell r="BJ1467">
            <v>11.781409999999999</v>
          </cell>
        </row>
        <row r="1468">
          <cell r="D1468">
            <v>39940</v>
          </cell>
          <cell r="F1468">
            <v>89.465199999999996</v>
          </cell>
          <cell r="K1468">
            <v>39940</v>
          </cell>
          <cell r="M1468">
            <v>16.77985</v>
          </cell>
          <cell r="R1468">
            <v>39940</v>
          </cell>
          <cell r="T1468">
            <v>4.01</v>
          </cell>
          <cell r="Y1468">
            <v>39940</v>
          </cell>
          <cell r="AA1468">
            <v>79.28</v>
          </cell>
          <cell r="AF1468">
            <v>39940</v>
          </cell>
          <cell r="AH1468">
            <v>17.167090000000002</v>
          </cell>
          <cell r="AM1468">
            <v>39940</v>
          </cell>
          <cell r="AO1468">
            <v>22.728069999999999</v>
          </cell>
          <cell r="AT1468">
            <v>39940</v>
          </cell>
          <cell r="AV1468">
            <v>17.49409</v>
          </cell>
          <cell r="BA1468">
            <v>39940</v>
          </cell>
          <cell r="BC1468">
            <v>15.72279</v>
          </cell>
          <cell r="BH1468">
            <v>39940</v>
          </cell>
          <cell r="BJ1468">
            <v>11.319240000000001</v>
          </cell>
        </row>
        <row r="1469">
          <cell r="D1469">
            <v>39939</v>
          </cell>
          <cell r="F1469">
            <v>91.235489999999999</v>
          </cell>
          <cell r="K1469">
            <v>39939</v>
          </cell>
          <cell r="M1469">
            <v>17.364270000000001</v>
          </cell>
          <cell r="R1469">
            <v>39939</v>
          </cell>
          <cell r="T1469">
            <v>4.3099999999999996</v>
          </cell>
          <cell r="Y1469">
            <v>39939</v>
          </cell>
          <cell r="AA1469">
            <v>81.99</v>
          </cell>
          <cell r="AF1469">
            <v>39939</v>
          </cell>
          <cell r="AH1469">
            <v>17.624659999999999</v>
          </cell>
          <cell r="AM1469">
            <v>39939</v>
          </cell>
          <cell r="AO1469">
            <v>22.091180000000001</v>
          </cell>
          <cell r="AT1469">
            <v>39939</v>
          </cell>
          <cell r="AV1469">
            <v>17.551310000000001</v>
          </cell>
          <cell r="BA1469">
            <v>39939</v>
          </cell>
          <cell r="BC1469">
            <v>16.795439999999999</v>
          </cell>
          <cell r="BH1469">
            <v>39939</v>
          </cell>
          <cell r="BJ1469">
            <v>11.08409</v>
          </cell>
        </row>
        <row r="1470">
          <cell r="D1470">
            <v>39938</v>
          </cell>
          <cell r="F1470">
            <v>91.828500000000005</v>
          </cell>
          <cell r="K1470">
            <v>39938</v>
          </cell>
          <cell r="M1470">
            <v>17.381979999999999</v>
          </cell>
          <cell r="R1470">
            <v>39938</v>
          </cell>
          <cell r="T1470">
            <v>4.32</v>
          </cell>
          <cell r="Y1470">
            <v>39938</v>
          </cell>
          <cell r="AA1470">
            <v>81.900000000000006</v>
          </cell>
          <cell r="AF1470">
            <v>39938</v>
          </cell>
          <cell r="AH1470">
            <v>17.6526</v>
          </cell>
          <cell r="AM1470">
            <v>39938</v>
          </cell>
          <cell r="AO1470">
            <v>22.32845</v>
          </cell>
          <cell r="AT1470">
            <v>39938</v>
          </cell>
          <cell r="AV1470">
            <v>17.63306</v>
          </cell>
          <cell r="BA1470">
            <v>39938</v>
          </cell>
          <cell r="BC1470">
            <v>16.550809999999998</v>
          </cell>
          <cell r="BH1470">
            <v>39938</v>
          </cell>
          <cell r="BJ1470">
            <v>10.621919999999999</v>
          </cell>
        </row>
        <row r="1471">
          <cell r="D1471">
            <v>39937</v>
          </cell>
          <cell r="F1471">
            <v>92.123459999999994</v>
          </cell>
          <cell r="K1471">
            <v>39937</v>
          </cell>
          <cell r="M1471">
            <v>17.266870000000001</v>
          </cell>
          <cell r="R1471">
            <v>39937</v>
          </cell>
          <cell r="T1471">
            <v>4.26</v>
          </cell>
          <cell r="Y1471">
            <v>39937</v>
          </cell>
          <cell r="AA1471">
            <v>79.77</v>
          </cell>
          <cell r="AF1471">
            <v>39937</v>
          </cell>
          <cell r="AH1471">
            <v>17.567460000000001</v>
          </cell>
          <cell r="AM1471">
            <v>39937</v>
          </cell>
          <cell r="AO1471">
            <v>21.866399999999999</v>
          </cell>
          <cell r="AT1471">
            <v>39937</v>
          </cell>
          <cell r="AV1471">
            <v>17.645320000000002</v>
          </cell>
          <cell r="BA1471">
            <v>39937</v>
          </cell>
          <cell r="BC1471">
            <v>15.958019999999999</v>
          </cell>
          <cell r="BH1471">
            <v>39937</v>
          </cell>
          <cell r="BJ1471">
            <v>10.621919999999999</v>
          </cell>
        </row>
        <row r="1472">
          <cell r="D1472">
            <v>39934</v>
          </cell>
          <cell r="F1472">
            <v>90.752750000000006</v>
          </cell>
          <cell r="K1472">
            <v>39934</v>
          </cell>
          <cell r="M1472">
            <v>17.337700000000002</v>
          </cell>
          <cell r="R1472">
            <v>39934</v>
          </cell>
          <cell r="T1472">
            <v>3.82</v>
          </cell>
          <cell r="Y1472">
            <v>39934</v>
          </cell>
          <cell r="AA1472">
            <v>78.959999999999994</v>
          </cell>
          <cell r="AF1472">
            <v>39934</v>
          </cell>
          <cell r="AH1472">
            <v>16.925000000000001</v>
          </cell>
          <cell r="AM1472">
            <v>39934</v>
          </cell>
          <cell r="AO1472">
            <v>21.123360000000002</v>
          </cell>
          <cell r="AT1472">
            <v>39934</v>
          </cell>
          <cell r="AV1472">
            <v>17.359210000000001</v>
          </cell>
          <cell r="BA1472">
            <v>39934</v>
          </cell>
          <cell r="BC1472">
            <v>15.86393</v>
          </cell>
          <cell r="BH1472">
            <v>39934</v>
          </cell>
          <cell r="BJ1472">
            <v>10.289479999999999</v>
          </cell>
        </row>
        <row r="1473">
          <cell r="D1473">
            <v>39933</v>
          </cell>
          <cell r="F1473">
            <v>89.538210000000007</v>
          </cell>
          <cell r="K1473">
            <v>39933</v>
          </cell>
          <cell r="M1473">
            <v>17.107479999999999</v>
          </cell>
          <cell r="R1473">
            <v>39933</v>
          </cell>
          <cell r="T1473">
            <v>3.61</v>
          </cell>
          <cell r="Y1473">
            <v>39933</v>
          </cell>
          <cell r="AA1473">
            <v>80.52</v>
          </cell>
          <cell r="AF1473">
            <v>39933</v>
          </cell>
          <cell r="AH1473">
            <v>16.737439999999999</v>
          </cell>
          <cell r="AM1473">
            <v>39933</v>
          </cell>
          <cell r="AO1473">
            <v>21.098389999999998</v>
          </cell>
          <cell r="AT1473">
            <v>39933</v>
          </cell>
          <cell r="AV1473">
            <v>17.59628</v>
          </cell>
          <cell r="BA1473">
            <v>39933</v>
          </cell>
          <cell r="BC1473">
            <v>15.09238</v>
          </cell>
          <cell r="BH1473">
            <v>39933</v>
          </cell>
          <cell r="BJ1473">
            <v>10.25704</v>
          </cell>
        </row>
        <row r="1474">
          <cell r="D1474">
            <v>39932</v>
          </cell>
          <cell r="F1474">
            <v>90.258260000000007</v>
          </cell>
          <cell r="K1474">
            <v>39932</v>
          </cell>
          <cell r="M1474">
            <v>17.045500000000001</v>
          </cell>
          <cell r="R1474">
            <v>39932</v>
          </cell>
          <cell r="T1474">
            <v>3.51</v>
          </cell>
          <cell r="Y1474">
            <v>39932</v>
          </cell>
          <cell r="AA1474">
            <v>79.790000000000006</v>
          </cell>
          <cell r="AF1474">
            <v>39932</v>
          </cell>
          <cell r="AH1474">
            <v>16.645659999999999</v>
          </cell>
          <cell r="AM1474">
            <v>39932</v>
          </cell>
          <cell r="AO1474">
            <v>21.53547</v>
          </cell>
          <cell r="AT1474">
            <v>39932</v>
          </cell>
          <cell r="AV1474">
            <v>17.4573</v>
          </cell>
          <cell r="BA1474">
            <v>39932</v>
          </cell>
          <cell r="BC1474">
            <v>14.396100000000001</v>
          </cell>
          <cell r="BH1474">
            <v>39932</v>
          </cell>
          <cell r="BJ1474">
            <v>9.9083900000000007</v>
          </cell>
        </row>
        <row r="1475">
          <cell r="D1475">
            <v>39931</v>
          </cell>
          <cell r="F1475">
            <v>88.436440000000005</v>
          </cell>
          <cell r="K1475">
            <v>39931</v>
          </cell>
          <cell r="M1475">
            <v>16.53192</v>
          </cell>
          <cell r="R1475">
            <v>39931</v>
          </cell>
          <cell r="T1475">
            <v>3.41</v>
          </cell>
          <cell r="Y1475">
            <v>39931</v>
          </cell>
          <cell r="AA1475">
            <v>82.4</v>
          </cell>
          <cell r="AF1475">
            <v>39931</v>
          </cell>
          <cell r="AH1475">
            <v>16.480989999999998</v>
          </cell>
          <cell r="AM1475">
            <v>39931</v>
          </cell>
          <cell r="AO1475">
            <v>20.904820000000001</v>
          </cell>
          <cell r="AT1475">
            <v>39931</v>
          </cell>
          <cell r="AV1475">
            <v>17.281549999999999</v>
          </cell>
          <cell r="BA1475">
            <v>39931</v>
          </cell>
          <cell r="BC1475">
            <v>13.859769999999999</v>
          </cell>
          <cell r="BH1475">
            <v>39931</v>
          </cell>
          <cell r="BJ1475">
            <v>9.73</v>
          </cell>
        </row>
        <row r="1476">
          <cell r="D1476">
            <v>39930</v>
          </cell>
          <cell r="F1476">
            <v>86.710040000000006</v>
          </cell>
          <cell r="K1476">
            <v>39930</v>
          </cell>
          <cell r="M1476">
            <v>16.266269999999999</v>
          </cell>
          <cell r="R1476">
            <v>39930</v>
          </cell>
          <cell r="T1476">
            <v>3.47</v>
          </cell>
          <cell r="Y1476">
            <v>39930</v>
          </cell>
          <cell r="AA1476">
            <v>83.12</v>
          </cell>
          <cell r="AF1476">
            <v>39930</v>
          </cell>
          <cell r="AH1476">
            <v>16.59113</v>
          </cell>
          <cell r="AM1476">
            <v>39930</v>
          </cell>
          <cell r="AO1476">
            <v>21.229510000000001</v>
          </cell>
          <cell r="AT1476">
            <v>39930</v>
          </cell>
          <cell r="AV1476">
            <v>17.2652</v>
          </cell>
          <cell r="BA1476">
            <v>39930</v>
          </cell>
          <cell r="BC1476">
            <v>13.502219999999999</v>
          </cell>
          <cell r="BH1476">
            <v>39930</v>
          </cell>
          <cell r="BJ1476">
            <v>9.8029799999999998</v>
          </cell>
        </row>
        <row r="1477">
          <cell r="D1477">
            <v>39927</v>
          </cell>
          <cell r="F1477">
            <v>86.822819999999993</v>
          </cell>
          <cell r="K1477">
            <v>39927</v>
          </cell>
          <cell r="M1477">
            <v>16.310549999999999</v>
          </cell>
          <cell r="R1477">
            <v>39927</v>
          </cell>
          <cell r="T1477">
            <v>3.51</v>
          </cell>
          <cell r="Y1477">
            <v>39927</v>
          </cell>
          <cell r="AA1477">
            <v>84.46</v>
          </cell>
          <cell r="AF1477">
            <v>39927</v>
          </cell>
          <cell r="AH1477">
            <v>16.480720000000002</v>
          </cell>
          <cell r="AM1477">
            <v>39927</v>
          </cell>
          <cell r="AO1477">
            <v>21.12961</v>
          </cell>
          <cell r="AT1477">
            <v>39927</v>
          </cell>
          <cell r="AV1477">
            <v>17.489999999999998</v>
          </cell>
          <cell r="BA1477">
            <v>39927</v>
          </cell>
          <cell r="BC1477">
            <v>13.76568</v>
          </cell>
          <cell r="BH1477">
            <v>39927</v>
          </cell>
          <cell r="BJ1477">
            <v>9.8191900000000008</v>
          </cell>
        </row>
        <row r="1478">
          <cell r="D1478">
            <v>39926</v>
          </cell>
          <cell r="F1478">
            <v>87.985320000000002</v>
          </cell>
          <cell r="K1478">
            <v>39926</v>
          </cell>
          <cell r="M1478">
            <v>15.60216</v>
          </cell>
          <cell r="R1478">
            <v>39926</v>
          </cell>
          <cell r="T1478">
            <v>3.53</v>
          </cell>
          <cell r="Y1478">
            <v>39926</v>
          </cell>
          <cell r="AA1478">
            <v>80.61</v>
          </cell>
          <cell r="AF1478">
            <v>39926</v>
          </cell>
          <cell r="AH1478">
            <v>16.680250000000001</v>
          </cell>
          <cell r="AM1478">
            <v>39926</v>
          </cell>
          <cell r="AO1478">
            <v>21.098389999999998</v>
          </cell>
          <cell r="AT1478">
            <v>39926</v>
          </cell>
          <cell r="AV1478">
            <v>17.543140000000001</v>
          </cell>
          <cell r="BA1478">
            <v>39926</v>
          </cell>
          <cell r="BC1478">
            <v>13.35167</v>
          </cell>
          <cell r="BH1478">
            <v>39926</v>
          </cell>
          <cell r="BJ1478">
            <v>9.6326999999999998</v>
          </cell>
        </row>
        <row r="1479">
          <cell r="D1479">
            <v>39925</v>
          </cell>
          <cell r="F1479">
            <v>88.965630000000004</v>
          </cell>
          <cell r="K1479">
            <v>39925</v>
          </cell>
          <cell r="M1479">
            <v>15.442780000000001</v>
          </cell>
          <cell r="R1479">
            <v>39925</v>
          </cell>
          <cell r="T1479">
            <v>3.33</v>
          </cell>
          <cell r="Y1479">
            <v>39925</v>
          </cell>
          <cell r="AA1479">
            <v>79.2</v>
          </cell>
          <cell r="AF1479">
            <v>39925</v>
          </cell>
          <cell r="AH1479">
            <v>16.16281</v>
          </cell>
          <cell r="AM1479">
            <v>39925</v>
          </cell>
          <cell r="AO1479">
            <v>21.029699999999998</v>
          </cell>
          <cell r="AT1479">
            <v>39925</v>
          </cell>
          <cell r="AV1479">
            <v>17.547229999999999</v>
          </cell>
          <cell r="BA1479">
            <v>39925</v>
          </cell>
          <cell r="BC1479">
            <v>13.74686</v>
          </cell>
          <cell r="BH1479">
            <v>39925</v>
          </cell>
          <cell r="BJ1479">
            <v>9.5678400000000003</v>
          </cell>
        </row>
        <row r="1480">
          <cell r="D1480">
            <v>39924</v>
          </cell>
          <cell r="F1480">
            <v>88.757429999999999</v>
          </cell>
          <cell r="K1480">
            <v>39924</v>
          </cell>
          <cell r="M1480">
            <v>15.664149999999999</v>
          </cell>
          <cell r="R1480">
            <v>39924</v>
          </cell>
          <cell r="T1480">
            <v>3.36</v>
          </cell>
          <cell r="Y1480">
            <v>39924</v>
          </cell>
          <cell r="AA1480">
            <v>78.739999999999995</v>
          </cell>
          <cell r="AF1480">
            <v>39924</v>
          </cell>
          <cell r="AH1480">
            <v>16.196069999999999</v>
          </cell>
          <cell r="AM1480">
            <v>39924</v>
          </cell>
          <cell r="AO1480">
            <v>20.9298</v>
          </cell>
          <cell r="AT1480">
            <v>39924</v>
          </cell>
          <cell r="AV1480">
            <v>17.612629999999999</v>
          </cell>
          <cell r="BA1480">
            <v>39924</v>
          </cell>
          <cell r="BC1480">
            <v>13.201129999999999</v>
          </cell>
          <cell r="BH1480">
            <v>39924</v>
          </cell>
          <cell r="BJ1480">
            <v>9.4867500000000007</v>
          </cell>
        </row>
        <row r="1481">
          <cell r="D1481">
            <v>39923</v>
          </cell>
          <cell r="F1481">
            <v>87.126459999999994</v>
          </cell>
          <cell r="K1481">
            <v>39923</v>
          </cell>
          <cell r="M1481">
            <v>15.32766</v>
          </cell>
          <cell r="R1481">
            <v>39923</v>
          </cell>
          <cell r="T1481">
            <v>3.31</v>
          </cell>
          <cell r="Y1481">
            <v>39923</v>
          </cell>
          <cell r="AA1481">
            <v>77.569999999999993</v>
          </cell>
          <cell r="AF1481">
            <v>39923</v>
          </cell>
          <cell r="AH1481">
            <v>16.028469999999999</v>
          </cell>
          <cell r="AM1481">
            <v>39923</v>
          </cell>
          <cell r="AO1481">
            <v>21.067170000000001</v>
          </cell>
          <cell r="AT1481">
            <v>39923</v>
          </cell>
          <cell r="AV1481">
            <v>18.11946</v>
          </cell>
          <cell r="BA1481">
            <v>39923</v>
          </cell>
          <cell r="BC1481">
            <v>12.279019999999999</v>
          </cell>
          <cell r="BH1481">
            <v>39923</v>
          </cell>
          <cell r="BJ1481">
            <v>9.2029599999999991</v>
          </cell>
        </row>
        <row r="1482">
          <cell r="D1482">
            <v>39920</v>
          </cell>
          <cell r="F1482">
            <v>87.855189999999993</v>
          </cell>
          <cell r="K1482">
            <v>39920</v>
          </cell>
          <cell r="M1482">
            <v>15.929790000000001</v>
          </cell>
          <cell r="R1482">
            <v>39920</v>
          </cell>
          <cell r="T1482">
            <v>3.56</v>
          </cell>
          <cell r="Y1482">
            <v>39920</v>
          </cell>
          <cell r="AA1482">
            <v>78.05</v>
          </cell>
          <cell r="AF1482">
            <v>39920</v>
          </cell>
          <cell r="AH1482">
            <v>16.416869999999999</v>
          </cell>
          <cell r="AM1482">
            <v>39920</v>
          </cell>
          <cell r="AO1482">
            <v>21.391850000000002</v>
          </cell>
          <cell r="AT1482">
            <v>39920</v>
          </cell>
          <cell r="AV1482">
            <v>18.401489999999999</v>
          </cell>
          <cell r="BA1482">
            <v>39920</v>
          </cell>
          <cell r="BC1482">
            <v>13.22935</v>
          </cell>
          <cell r="BH1482">
            <v>39920</v>
          </cell>
          <cell r="BJ1482">
            <v>10.04623</v>
          </cell>
        </row>
        <row r="1483">
          <cell r="D1483">
            <v>39919</v>
          </cell>
          <cell r="F1483">
            <v>87.994</v>
          </cell>
          <cell r="K1483">
            <v>39919</v>
          </cell>
          <cell r="M1483">
            <v>16.00948</v>
          </cell>
          <cell r="R1483">
            <v>39919</v>
          </cell>
          <cell r="T1483">
            <v>3.57</v>
          </cell>
          <cell r="Y1483">
            <v>39919</v>
          </cell>
          <cell r="AA1483">
            <v>77.25</v>
          </cell>
          <cell r="AF1483">
            <v>39919</v>
          </cell>
          <cell r="AH1483">
            <v>16.15483</v>
          </cell>
          <cell r="AM1483">
            <v>39919</v>
          </cell>
          <cell r="AO1483">
            <v>21.135850000000001</v>
          </cell>
          <cell r="AT1483">
            <v>39919</v>
          </cell>
          <cell r="AV1483">
            <v>18.434190000000001</v>
          </cell>
          <cell r="BA1483">
            <v>39919</v>
          </cell>
          <cell r="BC1483">
            <v>12.52366</v>
          </cell>
          <cell r="BH1483">
            <v>39919</v>
          </cell>
          <cell r="BJ1483">
            <v>9.9489300000000007</v>
          </cell>
        </row>
        <row r="1484">
          <cell r="D1484">
            <v>39918</v>
          </cell>
          <cell r="F1484">
            <v>85.755759999999995</v>
          </cell>
          <cell r="K1484">
            <v>39918</v>
          </cell>
          <cell r="M1484">
            <v>15.54903</v>
          </cell>
          <cell r="R1484">
            <v>39918</v>
          </cell>
          <cell r="T1484">
            <v>3.44</v>
          </cell>
          <cell r="Y1484">
            <v>39918</v>
          </cell>
          <cell r="AA1484">
            <v>74.709999999999994</v>
          </cell>
          <cell r="AF1484">
            <v>39918</v>
          </cell>
          <cell r="AH1484">
            <v>15.64804</v>
          </cell>
          <cell r="AM1484">
            <v>39918</v>
          </cell>
          <cell r="AO1484">
            <v>21.160830000000001</v>
          </cell>
          <cell r="AT1484">
            <v>39918</v>
          </cell>
          <cell r="AV1484">
            <v>18.40558</v>
          </cell>
          <cell r="BA1484">
            <v>39918</v>
          </cell>
          <cell r="BC1484">
            <v>11.639200000000001</v>
          </cell>
          <cell r="BH1484">
            <v>39918</v>
          </cell>
          <cell r="BJ1484">
            <v>9.5921599999999998</v>
          </cell>
        </row>
        <row r="1485">
          <cell r="D1485">
            <v>39917</v>
          </cell>
          <cell r="F1485">
            <v>86.12012</v>
          </cell>
          <cell r="K1485">
            <v>39917</v>
          </cell>
          <cell r="M1485">
            <v>15.876659999999999</v>
          </cell>
          <cell r="R1485">
            <v>39917</v>
          </cell>
          <cell r="T1485">
            <v>3.63</v>
          </cell>
          <cell r="Y1485">
            <v>39917</v>
          </cell>
          <cell r="AA1485">
            <v>77.22</v>
          </cell>
          <cell r="AF1485">
            <v>39917</v>
          </cell>
          <cell r="AH1485">
            <v>15.737159999999999</v>
          </cell>
          <cell r="AM1485">
            <v>39917</v>
          </cell>
          <cell r="AO1485">
            <v>21.148340000000001</v>
          </cell>
          <cell r="AT1485">
            <v>39917</v>
          </cell>
          <cell r="AV1485">
            <v>18.070419999999999</v>
          </cell>
          <cell r="BA1485">
            <v>39917</v>
          </cell>
          <cell r="BC1485">
            <v>11.57333</v>
          </cell>
          <cell r="BH1485">
            <v>39917</v>
          </cell>
          <cell r="BJ1485">
            <v>9.3326899999999995</v>
          </cell>
        </row>
        <row r="1486">
          <cell r="D1486">
            <v>39916</v>
          </cell>
          <cell r="F1486">
            <v>86.710040000000006</v>
          </cell>
          <cell r="K1486">
            <v>39916</v>
          </cell>
          <cell r="M1486">
            <v>15.841240000000001</v>
          </cell>
          <cell r="R1486">
            <v>39916</v>
          </cell>
          <cell r="T1486">
            <v>3.61</v>
          </cell>
          <cell r="Y1486">
            <v>39916</v>
          </cell>
          <cell r="AA1486">
            <v>78.94</v>
          </cell>
          <cell r="AF1486">
            <v>39916</v>
          </cell>
          <cell r="AH1486">
            <v>15.99122</v>
          </cell>
          <cell r="AM1486">
            <v>39916</v>
          </cell>
          <cell r="AO1486">
            <v>20.986000000000001</v>
          </cell>
          <cell r="AT1486">
            <v>39916</v>
          </cell>
          <cell r="AV1486">
            <v>18.282959999999999</v>
          </cell>
          <cell r="BA1486">
            <v>39916</v>
          </cell>
          <cell r="BC1486">
            <v>10.961729999999999</v>
          </cell>
          <cell r="BH1486">
            <v>39916</v>
          </cell>
          <cell r="BJ1486">
            <v>9.8354099999999995</v>
          </cell>
        </row>
        <row r="1487">
          <cell r="D1487">
            <v>39912</v>
          </cell>
          <cell r="F1487">
            <v>88.228229999999996</v>
          </cell>
          <cell r="K1487">
            <v>39912</v>
          </cell>
          <cell r="M1487">
            <v>15.779260000000001</v>
          </cell>
          <cell r="R1487">
            <v>39912</v>
          </cell>
          <cell r="T1487">
            <v>3.75</v>
          </cell>
          <cell r="Y1487">
            <v>39912</v>
          </cell>
          <cell r="AA1487">
            <v>79.77</v>
          </cell>
          <cell r="AF1487">
            <v>39912</v>
          </cell>
          <cell r="AH1487">
            <v>15.90476</v>
          </cell>
          <cell r="AM1487">
            <v>39912</v>
          </cell>
          <cell r="AO1487">
            <v>20.58014</v>
          </cell>
          <cell r="AT1487">
            <v>39912</v>
          </cell>
          <cell r="AV1487">
            <v>18.389230000000001</v>
          </cell>
          <cell r="BA1487">
            <v>39912</v>
          </cell>
          <cell r="BC1487">
            <v>10.764139999999999</v>
          </cell>
          <cell r="BH1487">
            <v>39912</v>
          </cell>
          <cell r="BJ1487">
            <v>9.1867400000000004</v>
          </cell>
        </row>
        <row r="1488">
          <cell r="D1488">
            <v>39911</v>
          </cell>
          <cell r="F1488">
            <v>87.785790000000006</v>
          </cell>
          <cell r="K1488">
            <v>39911</v>
          </cell>
          <cell r="M1488">
            <v>15.168279999999999</v>
          </cell>
          <cell r="R1488">
            <v>39911</v>
          </cell>
          <cell r="T1488">
            <v>3.68</v>
          </cell>
          <cell r="Y1488">
            <v>39911</v>
          </cell>
          <cell r="AA1488">
            <v>76.98</v>
          </cell>
          <cell r="AF1488">
            <v>39911</v>
          </cell>
          <cell r="AH1488">
            <v>15.47246</v>
          </cell>
          <cell r="AM1488">
            <v>39911</v>
          </cell>
          <cell r="AO1488">
            <v>20.011939999999999</v>
          </cell>
          <cell r="AT1488">
            <v>39911</v>
          </cell>
          <cell r="AV1488">
            <v>18.389230000000001</v>
          </cell>
          <cell r="BA1488">
            <v>39911</v>
          </cell>
          <cell r="BC1488">
            <v>9.8514499999999998</v>
          </cell>
          <cell r="BH1488">
            <v>39911</v>
          </cell>
          <cell r="BJ1488">
            <v>8.6272699999999993</v>
          </cell>
        </row>
        <row r="1489">
          <cell r="D1489">
            <v>39910</v>
          </cell>
          <cell r="F1489">
            <v>85.668999999999997</v>
          </cell>
          <cell r="K1489">
            <v>39910</v>
          </cell>
          <cell r="M1489">
            <v>14.920339999999999</v>
          </cell>
          <cell r="R1489">
            <v>39910</v>
          </cell>
          <cell r="T1489">
            <v>3.44</v>
          </cell>
          <cell r="Y1489">
            <v>39910</v>
          </cell>
          <cell r="AA1489">
            <v>75.510000000000005</v>
          </cell>
          <cell r="AF1489">
            <v>39910</v>
          </cell>
          <cell r="AH1489">
            <v>15.29688</v>
          </cell>
          <cell r="AM1489">
            <v>39910</v>
          </cell>
          <cell r="AO1489">
            <v>20.25545</v>
          </cell>
          <cell r="AT1489">
            <v>39910</v>
          </cell>
          <cell r="AV1489">
            <v>18.238</v>
          </cell>
          <cell r="BA1489">
            <v>39910</v>
          </cell>
          <cell r="BC1489">
            <v>9.5315300000000001</v>
          </cell>
          <cell r="BH1489">
            <v>39910</v>
          </cell>
          <cell r="BJ1489">
            <v>8.6353799999999996</v>
          </cell>
        </row>
        <row r="1490">
          <cell r="D1490">
            <v>39909</v>
          </cell>
          <cell r="F1490">
            <v>88.106780000000001</v>
          </cell>
          <cell r="K1490">
            <v>39909</v>
          </cell>
          <cell r="M1490">
            <v>15.52247</v>
          </cell>
          <cell r="R1490">
            <v>39909</v>
          </cell>
          <cell r="T1490">
            <v>3.53</v>
          </cell>
          <cell r="Y1490">
            <v>39909</v>
          </cell>
          <cell r="AA1490">
            <v>77.989999999999995</v>
          </cell>
          <cell r="AF1490">
            <v>39909</v>
          </cell>
          <cell r="AH1490">
            <v>15.75578</v>
          </cell>
          <cell r="AM1490">
            <v>39909</v>
          </cell>
          <cell r="AO1490">
            <v>20.573889999999999</v>
          </cell>
          <cell r="AT1490">
            <v>39909</v>
          </cell>
          <cell r="AV1490">
            <v>18.389230000000001</v>
          </cell>
          <cell r="BA1490">
            <v>39909</v>
          </cell>
          <cell r="BC1490">
            <v>9.7197200000000006</v>
          </cell>
          <cell r="BH1490">
            <v>39909</v>
          </cell>
          <cell r="BJ1490">
            <v>9.0732300000000006</v>
          </cell>
        </row>
        <row r="1491">
          <cell r="D1491">
            <v>39906</v>
          </cell>
          <cell r="F1491">
            <v>88.679349999999999</v>
          </cell>
          <cell r="K1491">
            <v>39906</v>
          </cell>
          <cell r="M1491">
            <v>16.08032</v>
          </cell>
          <cell r="R1491">
            <v>39906</v>
          </cell>
          <cell r="T1491">
            <v>3.43</v>
          </cell>
          <cell r="Y1491">
            <v>39906</v>
          </cell>
          <cell r="AA1491">
            <v>78.17</v>
          </cell>
          <cell r="AF1491">
            <v>39906</v>
          </cell>
          <cell r="AH1491">
            <v>15.428559999999999</v>
          </cell>
          <cell r="AM1491">
            <v>39906</v>
          </cell>
          <cell r="AO1491">
            <v>20.267939999999999</v>
          </cell>
          <cell r="AT1491">
            <v>39906</v>
          </cell>
          <cell r="AV1491">
            <v>18.381060000000002</v>
          </cell>
          <cell r="BA1491">
            <v>39906</v>
          </cell>
          <cell r="BC1491">
            <v>9.9925800000000002</v>
          </cell>
          <cell r="BH1491">
            <v>39906</v>
          </cell>
          <cell r="BJ1491">
            <v>8.8705200000000008</v>
          </cell>
        </row>
        <row r="1492">
          <cell r="D1492">
            <v>39905</v>
          </cell>
          <cell r="F1492">
            <v>87.464799999999997</v>
          </cell>
          <cell r="K1492">
            <v>39905</v>
          </cell>
          <cell r="M1492">
            <v>16.062609999999999</v>
          </cell>
          <cell r="R1492">
            <v>39905</v>
          </cell>
          <cell r="T1492">
            <v>3.16</v>
          </cell>
          <cell r="Y1492">
            <v>39905</v>
          </cell>
          <cell r="AA1492">
            <v>76.34</v>
          </cell>
          <cell r="AF1492">
            <v>39905</v>
          </cell>
          <cell r="AH1492">
            <v>14.99227</v>
          </cell>
          <cell r="AM1492">
            <v>39905</v>
          </cell>
          <cell r="AO1492">
            <v>20.286670000000001</v>
          </cell>
          <cell r="AT1492">
            <v>39905</v>
          </cell>
          <cell r="AV1492">
            <v>18.53229</v>
          </cell>
          <cell r="BA1492">
            <v>39905</v>
          </cell>
          <cell r="BC1492">
            <v>9.7479399999999998</v>
          </cell>
          <cell r="BH1492">
            <v>39905</v>
          </cell>
          <cell r="BJ1492">
            <v>8.7083499999999994</v>
          </cell>
        </row>
        <row r="1493">
          <cell r="D1493">
            <v>39904</v>
          </cell>
          <cell r="F1493">
            <v>84.680009999999996</v>
          </cell>
          <cell r="K1493">
            <v>39904</v>
          </cell>
          <cell r="M1493">
            <v>15.46049</v>
          </cell>
          <cell r="R1493">
            <v>39904</v>
          </cell>
          <cell r="T1493">
            <v>3.02</v>
          </cell>
          <cell r="Y1493">
            <v>39904</v>
          </cell>
          <cell r="AA1493">
            <v>73.5</v>
          </cell>
          <cell r="AF1493">
            <v>39904</v>
          </cell>
          <cell r="AH1493">
            <v>14.45754</v>
          </cell>
          <cell r="AM1493">
            <v>39904</v>
          </cell>
          <cell r="AO1493">
            <v>19.456219999999998</v>
          </cell>
          <cell r="AT1493">
            <v>39904</v>
          </cell>
          <cell r="AV1493">
            <v>18.336099999999998</v>
          </cell>
          <cell r="BA1493">
            <v>39904</v>
          </cell>
          <cell r="BC1493">
            <v>9.2398500000000006</v>
          </cell>
          <cell r="BH1493">
            <v>39904</v>
          </cell>
          <cell r="BJ1493">
            <v>8.2461800000000007</v>
          </cell>
        </row>
        <row r="1494">
          <cell r="D1494">
            <v>39903</v>
          </cell>
          <cell r="F1494">
            <v>84.055390000000003</v>
          </cell>
          <cell r="K1494">
            <v>39903</v>
          </cell>
          <cell r="M1494">
            <v>14.849500000000001</v>
          </cell>
          <cell r="R1494">
            <v>39903</v>
          </cell>
          <cell r="T1494">
            <v>3.05</v>
          </cell>
          <cell r="Y1494">
            <v>39903</v>
          </cell>
          <cell r="AA1494">
            <v>73.44</v>
          </cell>
          <cell r="AF1494">
            <v>39903</v>
          </cell>
          <cell r="AH1494">
            <v>13.982670000000001</v>
          </cell>
          <cell r="AM1494">
            <v>39903</v>
          </cell>
          <cell r="AO1494">
            <v>19.656030000000001</v>
          </cell>
          <cell r="AT1494">
            <v>39903</v>
          </cell>
          <cell r="AV1494">
            <v>17.96414</v>
          </cell>
          <cell r="BA1494">
            <v>39903</v>
          </cell>
          <cell r="BC1494">
            <v>8.6188400000000005</v>
          </cell>
          <cell r="BH1494">
            <v>39903</v>
          </cell>
          <cell r="BJ1494">
            <v>8.1975300000000004</v>
          </cell>
        </row>
        <row r="1495">
          <cell r="D1495">
            <v>39902</v>
          </cell>
          <cell r="F1495">
            <v>81.99933</v>
          </cell>
          <cell r="K1495">
            <v>39902</v>
          </cell>
          <cell r="M1495">
            <v>14.44218</v>
          </cell>
          <cell r="R1495">
            <v>39902</v>
          </cell>
          <cell r="T1495">
            <v>3.19</v>
          </cell>
          <cell r="Y1495">
            <v>39902</v>
          </cell>
          <cell r="AA1495">
            <v>71.44</v>
          </cell>
          <cell r="AF1495">
            <v>39902</v>
          </cell>
          <cell r="AH1495">
            <v>13.898870000000001</v>
          </cell>
          <cell r="AM1495">
            <v>39902</v>
          </cell>
          <cell r="AO1495">
            <v>19.618569999999998</v>
          </cell>
          <cell r="AT1495">
            <v>39902</v>
          </cell>
          <cell r="AV1495">
            <v>17.951879999999999</v>
          </cell>
          <cell r="BA1495">
            <v>39902</v>
          </cell>
          <cell r="BC1495">
            <v>8.0825099999999992</v>
          </cell>
          <cell r="BH1495">
            <v>39902</v>
          </cell>
          <cell r="BJ1495">
            <v>8.0515799999999995</v>
          </cell>
        </row>
        <row r="1496">
          <cell r="D1496">
            <v>39899</v>
          </cell>
          <cell r="F1496">
            <v>81.678349999999995</v>
          </cell>
          <cell r="K1496">
            <v>39899</v>
          </cell>
          <cell r="M1496">
            <v>15.008889999999999</v>
          </cell>
          <cell r="R1496">
            <v>39899</v>
          </cell>
          <cell r="T1496">
            <v>3.37</v>
          </cell>
          <cell r="Y1496">
            <v>39899</v>
          </cell>
          <cell r="AA1496">
            <v>70.52</v>
          </cell>
          <cell r="AF1496">
            <v>39899</v>
          </cell>
          <cell r="AH1496">
            <v>14.21279</v>
          </cell>
          <cell r="AM1496">
            <v>39899</v>
          </cell>
          <cell r="AO1496">
            <v>20.16179</v>
          </cell>
          <cell r="AT1496">
            <v>39899</v>
          </cell>
          <cell r="AV1496">
            <v>18.434190000000001</v>
          </cell>
          <cell r="BA1496">
            <v>39899</v>
          </cell>
          <cell r="BC1496">
            <v>8.7881999999999998</v>
          </cell>
          <cell r="BH1496">
            <v>39899</v>
          </cell>
          <cell r="BJ1496">
            <v>8.7407900000000005</v>
          </cell>
        </row>
        <row r="1497">
          <cell r="D1497">
            <v>39898</v>
          </cell>
          <cell r="F1497">
            <v>85.695030000000003</v>
          </cell>
          <cell r="K1497">
            <v>39898</v>
          </cell>
          <cell r="M1497">
            <v>15.32766</v>
          </cell>
          <cell r="R1497">
            <v>39898</v>
          </cell>
          <cell r="T1497">
            <v>3.56</v>
          </cell>
          <cell r="Y1497">
            <v>39898</v>
          </cell>
          <cell r="AA1497">
            <v>73.69</v>
          </cell>
          <cell r="AF1497">
            <v>39898</v>
          </cell>
          <cell r="AH1497">
            <v>14.6145</v>
          </cell>
          <cell r="AM1497">
            <v>39898</v>
          </cell>
          <cell r="AO1497">
            <v>20.73997</v>
          </cell>
          <cell r="AT1497">
            <v>39898</v>
          </cell>
          <cell r="AV1497">
            <v>18.33201</v>
          </cell>
          <cell r="BA1497">
            <v>39898</v>
          </cell>
          <cell r="BC1497">
            <v>8.9293399999999998</v>
          </cell>
          <cell r="BH1497">
            <v>39898</v>
          </cell>
          <cell r="BJ1497">
            <v>8.8380899999999993</v>
          </cell>
        </row>
        <row r="1498">
          <cell r="D1498">
            <v>39897</v>
          </cell>
          <cell r="F1498">
            <v>84.974980000000002</v>
          </cell>
          <cell r="K1498">
            <v>39897</v>
          </cell>
          <cell r="M1498">
            <v>14.672409999999999</v>
          </cell>
          <cell r="R1498">
            <v>39897</v>
          </cell>
          <cell r="T1498">
            <v>3.17</v>
          </cell>
          <cell r="Y1498">
            <v>39897</v>
          </cell>
          <cell r="AA1498">
            <v>72.400000000000006</v>
          </cell>
          <cell r="AF1498">
            <v>39897</v>
          </cell>
          <cell r="AH1498">
            <v>14.164910000000001</v>
          </cell>
          <cell r="AM1498">
            <v>39897</v>
          </cell>
          <cell r="AO1498">
            <v>20.28613</v>
          </cell>
          <cell r="AT1498">
            <v>39897</v>
          </cell>
          <cell r="AV1498">
            <v>18.291129999999999</v>
          </cell>
          <cell r="BA1498">
            <v>39897</v>
          </cell>
          <cell r="BC1498">
            <v>8.1860199999999992</v>
          </cell>
          <cell r="BH1498">
            <v>39897</v>
          </cell>
          <cell r="BJ1498">
            <v>8.5056399999999996</v>
          </cell>
        </row>
        <row r="1499">
          <cell r="D1499">
            <v>39896</v>
          </cell>
          <cell r="F1499">
            <v>85.27861</v>
          </cell>
          <cell r="K1499">
            <v>39896</v>
          </cell>
          <cell r="M1499">
            <v>14.76981</v>
          </cell>
          <cell r="R1499">
            <v>39896</v>
          </cell>
          <cell r="T1499">
            <v>3.14</v>
          </cell>
          <cell r="Y1499">
            <v>39896</v>
          </cell>
          <cell r="AA1499">
            <v>72.81</v>
          </cell>
          <cell r="AF1499">
            <v>39896</v>
          </cell>
          <cell r="AH1499">
            <v>14.166370000000001</v>
          </cell>
          <cell r="AM1499">
            <v>39896</v>
          </cell>
          <cell r="AO1499">
            <v>20.130710000000001</v>
          </cell>
          <cell r="AT1499">
            <v>39896</v>
          </cell>
          <cell r="AV1499">
            <v>17.992750000000001</v>
          </cell>
          <cell r="BA1499">
            <v>39896</v>
          </cell>
          <cell r="BC1499">
            <v>7.7061500000000001</v>
          </cell>
          <cell r="BH1499">
            <v>39896</v>
          </cell>
          <cell r="BJ1499">
            <v>8.4407800000000002</v>
          </cell>
        </row>
        <row r="1500">
          <cell r="D1500">
            <v>39895</v>
          </cell>
          <cell r="F1500">
            <v>85.634299999999996</v>
          </cell>
          <cell r="K1500">
            <v>39895</v>
          </cell>
          <cell r="M1500">
            <v>15.03546</v>
          </cell>
          <cell r="R1500">
            <v>39895</v>
          </cell>
          <cell r="T1500">
            <v>3.02</v>
          </cell>
          <cell r="Y1500">
            <v>39895</v>
          </cell>
          <cell r="AA1500">
            <v>75.58</v>
          </cell>
          <cell r="AF1500">
            <v>39895</v>
          </cell>
          <cell r="AH1500">
            <v>14.320539999999999</v>
          </cell>
          <cell r="AM1500">
            <v>39895</v>
          </cell>
          <cell r="AO1500">
            <v>20.33587</v>
          </cell>
          <cell r="AT1500">
            <v>39895</v>
          </cell>
          <cell r="AV1500">
            <v>18.041799999999999</v>
          </cell>
          <cell r="BA1500">
            <v>39895</v>
          </cell>
          <cell r="BC1500">
            <v>7.8096500000000004</v>
          </cell>
          <cell r="BH1500">
            <v>39895</v>
          </cell>
          <cell r="BJ1500">
            <v>8.4569899999999993</v>
          </cell>
        </row>
        <row r="1501">
          <cell r="D1501">
            <v>39892</v>
          </cell>
          <cell r="F1501">
            <v>80.255589999999998</v>
          </cell>
          <cell r="K1501">
            <v>39892</v>
          </cell>
          <cell r="M1501">
            <v>14.08799</v>
          </cell>
          <cell r="R1501">
            <v>39892</v>
          </cell>
          <cell r="T1501">
            <v>2.67</v>
          </cell>
          <cell r="Y1501">
            <v>39892</v>
          </cell>
          <cell r="AA1501">
            <v>69.959999999999994</v>
          </cell>
          <cell r="AF1501">
            <v>39892</v>
          </cell>
          <cell r="AH1501">
            <v>13.51313</v>
          </cell>
          <cell r="AM1501">
            <v>39892</v>
          </cell>
          <cell r="AO1501">
            <v>19.278980000000001</v>
          </cell>
          <cell r="AT1501">
            <v>39892</v>
          </cell>
          <cell r="AV1501">
            <v>17.42869</v>
          </cell>
          <cell r="BA1501">
            <v>39892</v>
          </cell>
          <cell r="BC1501">
            <v>6.944</v>
          </cell>
          <cell r="BH1501">
            <v>39892</v>
          </cell>
          <cell r="BJ1501">
            <v>7.7353500000000004</v>
          </cell>
        </row>
        <row r="1502">
          <cell r="D1502">
            <v>39891</v>
          </cell>
          <cell r="F1502">
            <v>80.385720000000006</v>
          </cell>
          <cell r="K1502">
            <v>39891</v>
          </cell>
          <cell r="M1502">
            <v>14.37135</v>
          </cell>
          <cell r="R1502">
            <v>39891</v>
          </cell>
          <cell r="T1502">
            <v>2.96</v>
          </cell>
          <cell r="Y1502">
            <v>39891</v>
          </cell>
          <cell r="AA1502">
            <v>70.099999999999994</v>
          </cell>
          <cell r="AF1502">
            <v>39891</v>
          </cell>
          <cell r="AH1502">
            <v>13.51712</v>
          </cell>
          <cell r="AM1502">
            <v>39891</v>
          </cell>
          <cell r="AO1502">
            <v>19.53387</v>
          </cell>
          <cell r="AT1502">
            <v>39891</v>
          </cell>
          <cell r="AV1502">
            <v>17.240670000000001</v>
          </cell>
          <cell r="BA1502">
            <v>39891</v>
          </cell>
          <cell r="BC1502">
            <v>7.4803199999999999</v>
          </cell>
          <cell r="BH1502">
            <v>39891</v>
          </cell>
          <cell r="BJ1502">
            <v>8.2137399999999996</v>
          </cell>
        </row>
        <row r="1503">
          <cell r="D1503">
            <v>39890</v>
          </cell>
          <cell r="F1503">
            <v>79.769769999999994</v>
          </cell>
          <cell r="K1503">
            <v>39890</v>
          </cell>
          <cell r="M1503">
            <v>14.61042</v>
          </cell>
          <cell r="R1503">
            <v>39890</v>
          </cell>
          <cell r="T1503">
            <v>2.97</v>
          </cell>
          <cell r="Y1503">
            <v>39890</v>
          </cell>
          <cell r="AA1503">
            <v>71.25</v>
          </cell>
          <cell r="AF1503">
            <v>39890</v>
          </cell>
          <cell r="AH1503">
            <v>13.503819999999999</v>
          </cell>
          <cell r="AM1503">
            <v>39890</v>
          </cell>
          <cell r="AO1503">
            <v>19.987719999999999</v>
          </cell>
          <cell r="AT1503">
            <v>39890</v>
          </cell>
          <cell r="AV1503">
            <v>17.024039999999999</v>
          </cell>
          <cell r="BA1503">
            <v>39890</v>
          </cell>
          <cell r="BC1503">
            <v>7.5744199999999999</v>
          </cell>
          <cell r="BH1503">
            <v>39890</v>
          </cell>
          <cell r="BJ1503">
            <v>8.3678000000000008</v>
          </cell>
        </row>
        <row r="1504">
          <cell r="D1504">
            <v>39889</v>
          </cell>
          <cell r="F1504">
            <v>80.602599999999995</v>
          </cell>
          <cell r="K1504">
            <v>39889</v>
          </cell>
          <cell r="M1504">
            <v>14.291650000000001</v>
          </cell>
          <cell r="R1504">
            <v>39889</v>
          </cell>
          <cell r="T1504">
            <v>2.76</v>
          </cell>
          <cell r="Y1504">
            <v>39889</v>
          </cell>
          <cell r="AA1504">
            <v>71.349999999999994</v>
          </cell>
          <cell r="AF1504">
            <v>39889</v>
          </cell>
          <cell r="AH1504">
            <v>13.256410000000001</v>
          </cell>
          <cell r="AM1504">
            <v>39889</v>
          </cell>
          <cell r="AO1504">
            <v>19.720379999999999</v>
          </cell>
          <cell r="AT1504">
            <v>39889</v>
          </cell>
          <cell r="AV1504">
            <v>16.94229</v>
          </cell>
          <cell r="BA1504">
            <v>39889</v>
          </cell>
          <cell r="BC1504">
            <v>7.8096500000000004</v>
          </cell>
          <cell r="BH1504">
            <v>39889</v>
          </cell>
          <cell r="BJ1504">
            <v>8.1083400000000001</v>
          </cell>
        </row>
        <row r="1505">
          <cell r="D1505">
            <v>39888</v>
          </cell>
          <cell r="F1505">
            <v>79.136470000000003</v>
          </cell>
          <cell r="K1505">
            <v>39888</v>
          </cell>
          <cell r="M1505">
            <v>13.680669999999999</v>
          </cell>
          <cell r="R1505">
            <v>39888</v>
          </cell>
          <cell r="T1505">
            <v>2.48</v>
          </cell>
          <cell r="Y1505">
            <v>39888</v>
          </cell>
          <cell r="AA1505">
            <v>66.98</v>
          </cell>
          <cell r="AF1505">
            <v>39888</v>
          </cell>
          <cell r="AH1505">
            <v>12.69242</v>
          </cell>
          <cell r="AM1505">
            <v>39888</v>
          </cell>
          <cell r="AO1505">
            <v>19.303840000000001</v>
          </cell>
          <cell r="AT1505">
            <v>39888</v>
          </cell>
          <cell r="AV1505">
            <v>16.86872</v>
          </cell>
          <cell r="BA1505">
            <v>39888</v>
          </cell>
          <cell r="BC1505">
            <v>7.3015499999999998</v>
          </cell>
          <cell r="BH1505">
            <v>39888</v>
          </cell>
          <cell r="BJ1505">
            <v>7.8326500000000001</v>
          </cell>
        </row>
        <row r="1506">
          <cell r="D1506">
            <v>39885</v>
          </cell>
          <cell r="F1506">
            <v>78.390389999999996</v>
          </cell>
          <cell r="K1506">
            <v>39885</v>
          </cell>
          <cell r="M1506">
            <v>13.7338</v>
          </cell>
          <cell r="R1506">
            <v>39885</v>
          </cell>
          <cell r="T1506">
            <v>2.52</v>
          </cell>
          <cell r="Y1506">
            <v>39885</v>
          </cell>
          <cell r="AA1506">
            <v>68.63</v>
          </cell>
          <cell r="AF1506">
            <v>39885</v>
          </cell>
          <cell r="AH1506">
            <v>12.760260000000001</v>
          </cell>
          <cell r="AM1506">
            <v>39885</v>
          </cell>
          <cell r="AO1506">
            <v>19.60848</v>
          </cell>
          <cell r="AT1506">
            <v>39885</v>
          </cell>
          <cell r="AV1506">
            <v>16.848279999999999</v>
          </cell>
          <cell r="BA1506">
            <v>39885</v>
          </cell>
          <cell r="BC1506">
            <v>7.2168700000000001</v>
          </cell>
          <cell r="BH1506">
            <v>39885</v>
          </cell>
          <cell r="BJ1506">
            <v>7.8002200000000004</v>
          </cell>
        </row>
        <row r="1507">
          <cell r="D1507">
            <v>39884</v>
          </cell>
          <cell r="F1507">
            <v>78.425089999999997</v>
          </cell>
          <cell r="K1507">
            <v>39884</v>
          </cell>
          <cell r="M1507">
            <v>13.7338</v>
          </cell>
          <cell r="R1507">
            <v>39884</v>
          </cell>
          <cell r="T1507">
            <v>2.4</v>
          </cell>
          <cell r="Y1507">
            <v>39884</v>
          </cell>
          <cell r="AA1507">
            <v>69.58</v>
          </cell>
          <cell r="AF1507">
            <v>39884</v>
          </cell>
          <cell r="AH1507">
            <v>12.81612</v>
          </cell>
          <cell r="AM1507">
            <v>39884</v>
          </cell>
          <cell r="AO1507">
            <v>18.626190000000001</v>
          </cell>
          <cell r="AT1507">
            <v>39884</v>
          </cell>
          <cell r="AV1507">
            <v>16.692959999999999</v>
          </cell>
          <cell r="BA1507">
            <v>39884</v>
          </cell>
          <cell r="BC1507">
            <v>7.0380900000000004</v>
          </cell>
          <cell r="BH1507">
            <v>39884</v>
          </cell>
          <cell r="BJ1507">
            <v>7.7596800000000004</v>
          </cell>
        </row>
        <row r="1508">
          <cell r="D1508">
            <v>39883</v>
          </cell>
          <cell r="F1508">
            <v>76.880880000000005</v>
          </cell>
          <cell r="K1508">
            <v>39883</v>
          </cell>
          <cell r="M1508">
            <v>13.299910000000001</v>
          </cell>
          <cell r="R1508">
            <v>39883</v>
          </cell>
          <cell r="T1508">
            <v>2.31</v>
          </cell>
          <cell r="Y1508">
            <v>39883</v>
          </cell>
          <cell r="AA1508">
            <v>68.540000000000006</v>
          </cell>
          <cell r="AF1508">
            <v>39883</v>
          </cell>
          <cell r="AH1508">
            <v>12.32795</v>
          </cell>
          <cell r="AM1508">
            <v>39883</v>
          </cell>
          <cell r="AO1508">
            <v>17.774460000000001</v>
          </cell>
          <cell r="AT1508">
            <v>39883</v>
          </cell>
          <cell r="AV1508">
            <v>16.173860000000001</v>
          </cell>
          <cell r="BA1508">
            <v>39883</v>
          </cell>
          <cell r="BC1508">
            <v>5.97485</v>
          </cell>
          <cell r="BH1508">
            <v>39883</v>
          </cell>
          <cell r="BJ1508">
            <v>6.8839800000000002</v>
          </cell>
        </row>
        <row r="1509">
          <cell r="D1509">
            <v>39882</v>
          </cell>
          <cell r="F1509">
            <v>75.692359999999994</v>
          </cell>
          <cell r="K1509">
            <v>39882</v>
          </cell>
          <cell r="M1509">
            <v>12.959</v>
          </cell>
          <cell r="R1509">
            <v>39882</v>
          </cell>
          <cell r="T1509">
            <v>2.3199999999999998</v>
          </cell>
          <cell r="Y1509">
            <v>39882</v>
          </cell>
          <cell r="AA1509">
            <v>65.709999999999994</v>
          </cell>
          <cell r="AF1509">
            <v>39882</v>
          </cell>
          <cell r="AH1509">
            <v>11.7889</v>
          </cell>
          <cell r="AM1509">
            <v>39882</v>
          </cell>
          <cell r="AO1509">
            <v>19.70795</v>
          </cell>
          <cell r="AT1509">
            <v>39882</v>
          </cell>
          <cell r="AV1509">
            <v>15.83869</v>
          </cell>
          <cell r="BA1509">
            <v>39882</v>
          </cell>
          <cell r="BC1509">
            <v>5.7113899999999997</v>
          </cell>
          <cell r="BH1509">
            <v>39882</v>
          </cell>
          <cell r="BJ1509">
            <v>7.1920900000000003</v>
          </cell>
        </row>
        <row r="1510">
          <cell r="D1510">
            <v>39881</v>
          </cell>
          <cell r="F1510">
            <v>72.421760000000006</v>
          </cell>
          <cell r="K1510">
            <v>39881</v>
          </cell>
          <cell r="M1510">
            <v>12.06024</v>
          </cell>
          <cell r="R1510">
            <v>39881</v>
          </cell>
          <cell r="T1510">
            <v>2.14</v>
          </cell>
          <cell r="Y1510">
            <v>39881</v>
          </cell>
          <cell r="AA1510">
            <v>60.49</v>
          </cell>
          <cell r="AF1510">
            <v>39881</v>
          </cell>
          <cell r="AH1510">
            <v>11.05499</v>
          </cell>
          <cell r="AM1510">
            <v>39881</v>
          </cell>
          <cell r="AO1510">
            <v>18.470759999999999</v>
          </cell>
          <cell r="AT1510">
            <v>39881</v>
          </cell>
          <cell r="AV1510">
            <v>15.67286</v>
          </cell>
          <cell r="BA1510">
            <v>39881</v>
          </cell>
          <cell r="BC1510">
            <v>4.8833799999999998</v>
          </cell>
          <cell r="BH1510">
            <v>39881</v>
          </cell>
          <cell r="BJ1510">
            <v>6.0082800000000001</v>
          </cell>
        </row>
        <row r="1511">
          <cell r="D1511">
            <v>39878</v>
          </cell>
          <cell r="F1511">
            <v>74.443110000000004</v>
          </cell>
          <cell r="K1511">
            <v>39878</v>
          </cell>
          <cell r="M1511">
            <v>12.55611</v>
          </cell>
          <cell r="R1511">
            <v>39878</v>
          </cell>
          <cell r="T1511">
            <v>2.14</v>
          </cell>
          <cell r="Y1511">
            <v>39878</v>
          </cell>
          <cell r="AA1511">
            <v>61.69</v>
          </cell>
          <cell r="AF1511">
            <v>39878</v>
          </cell>
          <cell r="AH1511">
            <v>11.34629</v>
          </cell>
          <cell r="AM1511">
            <v>39878</v>
          </cell>
          <cell r="AO1511">
            <v>18.539149999999999</v>
          </cell>
          <cell r="AT1511">
            <v>39878</v>
          </cell>
          <cell r="AV1511">
            <v>15.81442</v>
          </cell>
          <cell r="BA1511">
            <v>39878</v>
          </cell>
          <cell r="BC1511">
            <v>4.9210200000000004</v>
          </cell>
          <cell r="BH1511">
            <v>39878</v>
          </cell>
          <cell r="BJ1511">
            <v>5.7244799999999998</v>
          </cell>
        </row>
        <row r="1512">
          <cell r="D1512">
            <v>39877</v>
          </cell>
          <cell r="F1512">
            <v>75.891890000000004</v>
          </cell>
          <cell r="K1512">
            <v>39877</v>
          </cell>
          <cell r="M1512">
            <v>12.88374</v>
          </cell>
          <cell r="R1512">
            <v>39877</v>
          </cell>
          <cell r="T1512">
            <v>2.16</v>
          </cell>
          <cell r="Y1512">
            <v>39877</v>
          </cell>
          <cell r="AA1512">
            <v>64.77</v>
          </cell>
          <cell r="AF1512">
            <v>39877</v>
          </cell>
          <cell r="AH1512">
            <v>11.817170000000001</v>
          </cell>
          <cell r="AM1512">
            <v>39877</v>
          </cell>
          <cell r="AO1512">
            <v>18.8127</v>
          </cell>
          <cell r="AT1512">
            <v>39877</v>
          </cell>
          <cell r="AV1512">
            <v>15.30885</v>
          </cell>
          <cell r="BA1512">
            <v>39877</v>
          </cell>
          <cell r="BC1512">
            <v>5.9184000000000001</v>
          </cell>
          <cell r="BH1512">
            <v>39877</v>
          </cell>
          <cell r="BJ1512">
            <v>5.40015</v>
          </cell>
        </row>
        <row r="1513">
          <cell r="D1513">
            <v>39876</v>
          </cell>
          <cell r="F1513">
            <v>77.635639999999995</v>
          </cell>
          <cell r="K1513">
            <v>39876</v>
          </cell>
          <cell r="M1513">
            <v>13.50357</v>
          </cell>
          <cell r="R1513">
            <v>39876</v>
          </cell>
          <cell r="T1513">
            <v>2.2999999999999998</v>
          </cell>
          <cell r="Y1513">
            <v>39876</v>
          </cell>
          <cell r="AA1513">
            <v>64.81</v>
          </cell>
          <cell r="AF1513">
            <v>39876</v>
          </cell>
          <cell r="AH1513">
            <v>12.1271</v>
          </cell>
          <cell r="AM1513">
            <v>39876</v>
          </cell>
          <cell r="AO1513">
            <v>19.60848</v>
          </cell>
          <cell r="AT1513">
            <v>39876</v>
          </cell>
          <cell r="AV1513">
            <v>16.069240000000001</v>
          </cell>
          <cell r="BA1513">
            <v>39876</v>
          </cell>
          <cell r="BC1513">
            <v>6.4076700000000004</v>
          </cell>
          <cell r="BH1513">
            <v>39876</v>
          </cell>
          <cell r="BJ1513">
            <v>5.42448</v>
          </cell>
        </row>
        <row r="1514">
          <cell r="D1514">
            <v>39875</v>
          </cell>
          <cell r="F1514">
            <v>76.143479999999997</v>
          </cell>
          <cell r="K1514">
            <v>39875</v>
          </cell>
          <cell r="M1514">
            <v>12.74206</v>
          </cell>
          <cell r="R1514">
            <v>39875</v>
          </cell>
          <cell r="T1514">
            <v>2.0699999999999998</v>
          </cell>
          <cell r="Y1514">
            <v>39875</v>
          </cell>
          <cell r="AA1514">
            <v>61.7</v>
          </cell>
          <cell r="AF1514">
            <v>39875</v>
          </cell>
          <cell r="AH1514">
            <v>11.75465</v>
          </cell>
          <cell r="AM1514">
            <v>39875</v>
          </cell>
          <cell r="AO1514">
            <v>19.11112</v>
          </cell>
          <cell r="AT1514">
            <v>39875</v>
          </cell>
          <cell r="AV1514">
            <v>15.705220000000001</v>
          </cell>
          <cell r="BA1514">
            <v>39875</v>
          </cell>
          <cell r="BC1514">
            <v>5.7678500000000001</v>
          </cell>
          <cell r="BH1514">
            <v>39875</v>
          </cell>
          <cell r="BJ1514">
            <v>5.6839399999999998</v>
          </cell>
        </row>
        <row r="1515">
          <cell r="D1515">
            <v>39874</v>
          </cell>
          <cell r="F1515">
            <v>77.253919999999994</v>
          </cell>
          <cell r="K1515">
            <v>39874</v>
          </cell>
          <cell r="M1515">
            <v>12.68008</v>
          </cell>
          <cell r="R1515">
            <v>39874</v>
          </cell>
          <cell r="T1515">
            <v>2.0099999999999998</v>
          </cell>
          <cell r="Y1515">
            <v>39874</v>
          </cell>
          <cell r="AA1515">
            <v>61.99</v>
          </cell>
          <cell r="AF1515">
            <v>39874</v>
          </cell>
          <cell r="AH1515">
            <v>11.69746</v>
          </cell>
          <cell r="AM1515">
            <v>39874</v>
          </cell>
          <cell r="AO1515">
            <v>19.223020000000002</v>
          </cell>
          <cell r="AT1515">
            <v>39874</v>
          </cell>
          <cell r="AV1515">
            <v>16.053059999999999</v>
          </cell>
          <cell r="BA1515">
            <v>39874</v>
          </cell>
          <cell r="BC1515">
            <v>7.0945499999999999</v>
          </cell>
          <cell r="BH1515">
            <v>39874</v>
          </cell>
          <cell r="BJ1515">
            <v>6.1623400000000004</v>
          </cell>
        </row>
        <row r="1516">
          <cell r="D1516">
            <v>39871</v>
          </cell>
          <cell r="F1516">
            <v>79.839169999999996</v>
          </cell>
          <cell r="K1516">
            <v>39871</v>
          </cell>
          <cell r="M1516">
            <v>12.901450000000001</v>
          </cell>
          <cell r="R1516">
            <v>39871</v>
          </cell>
          <cell r="T1516">
            <v>2.1800000000000002</v>
          </cell>
          <cell r="Y1516">
            <v>39871</v>
          </cell>
          <cell r="AA1516">
            <v>64.790000000000006</v>
          </cell>
          <cell r="AF1516">
            <v>39871</v>
          </cell>
          <cell r="AH1516">
            <v>11.87969</v>
          </cell>
          <cell r="AM1516">
            <v>39871</v>
          </cell>
          <cell r="AO1516">
            <v>20.174230000000001</v>
          </cell>
          <cell r="AT1516">
            <v>39871</v>
          </cell>
          <cell r="AV1516">
            <v>16.52223</v>
          </cell>
          <cell r="BA1516">
            <v>39871</v>
          </cell>
          <cell r="BC1516">
            <v>8.7693899999999996</v>
          </cell>
          <cell r="BH1516">
            <v>39871</v>
          </cell>
          <cell r="BJ1516">
            <v>6.9001900000000003</v>
          </cell>
        </row>
        <row r="1517">
          <cell r="D1517">
            <v>39870</v>
          </cell>
          <cell r="F1517">
            <v>77.184520000000006</v>
          </cell>
          <cell r="K1517">
            <v>39870</v>
          </cell>
          <cell r="M1517">
            <v>12.83061</v>
          </cell>
          <cell r="R1517">
            <v>39870</v>
          </cell>
          <cell r="T1517">
            <v>2.09</v>
          </cell>
          <cell r="Y1517">
            <v>39870</v>
          </cell>
          <cell r="AA1517">
            <v>62.34</v>
          </cell>
          <cell r="AF1517">
            <v>39870</v>
          </cell>
          <cell r="AH1517">
            <v>11.86373</v>
          </cell>
          <cell r="AM1517">
            <v>39870</v>
          </cell>
          <cell r="AO1517">
            <v>20.373170000000002</v>
          </cell>
          <cell r="AT1517">
            <v>39870</v>
          </cell>
          <cell r="AV1517">
            <v>16.61121</v>
          </cell>
          <cell r="BA1517">
            <v>39870</v>
          </cell>
          <cell r="BC1517">
            <v>8.7411600000000007</v>
          </cell>
          <cell r="BH1517">
            <v>39870</v>
          </cell>
          <cell r="BJ1517">
            <v>7.37859</v>
          </cell>
        </row>
        <row r="1518">
          <cell r="D1518">
            <v>39869</v>
          </cell>
          <cell r="F1518">
            <v>74.521190000000004</v>
          </cell>
          <cell r="K1518">
            <v>39869</v>
          </cell>
          <cell r="M1518">
            <v>13.07854</v>
          </cell>
          <cell r="R1518">
            <v>39869</v>
          </cell>
          <cell r="T1518">
            <v>2.2200000000000002</v>
          </cell>
          <cell r="Y1518">
            <v>39869</v>
          </cell>
          <cell r="AA1518">
            <v>63.71</v>
          </cell>
          <cell r="AF1518">
            <v>39869</v>
          </cell>
          <cell r="AH1518">
            <v>12.125769999999999</v>
          </cell>
          <cell r="AM1518">
            <v>39869</v>
          </cell>
          <cell r="AO1518">
            <v>21.88391</v>
          </cell>
          <cell r="AT1518">
            <v>39869</v>
          </cell>
          <cell r="AV1518">
            <v>17.13701</v>
          </cell>
          <cell r="BA1518">
            <v>39869</v>
          </cell>
          <cell r="BC1518">
            <v>9.1175300000000004</v>
          </cell>
          <cell r="BH1518">
            <v>39869</v>
          </cell>
          <cell r="BJ1518">
            <v>7.3056099999999997</v>
          </cell>
        </row>
        <row r="1519">
          <cell r="D1519">
            <v>39868</v>
          </cell>
          <cell r="F1519">
            <v>74.95496</v>
          </cell>
          <cell r="K1519">
            <v>39868</v>
          </cell>
          <cell r="M1519">
            <v>13.273350000000001</v>
          </cell>
          <cell r="R1519">
            <v>39868</v>
          </cell>
          <cell r="T1519">
            <v>2.12</v>
          </cell>
          <cell r="Y1519">
            <v>39868</v>
          </cell>
          <cell r="AA1519">
            <v>65.599999999999994</v>
          </cell>
          <cell r="AF1519">
            <v>39868</v>
          </cell>
          <cell r="AH1519">
            <v>12.004720000000001</v>
          </cell>
          <cell r="AM1519">
            <v>39868</v>
          </cell>
          <cell r="AO1519">
            <v>22.225840000000002</v>
          </cell>
          <cell r="AT1519">
            <v>39868</v>
          </cell>
          <cell r="AV1519">
            <v>17.416090000000001</v>
          </cell>
          <cell r="BA1519">
            <v>39868</v>
          </cell>
          <cell r="BC1519">
            <v>9.6256199999999996</v>
          </cell>
          <cell r="BH1519">
            <v>39868</v>
          </cell>
          <cell r="BJ1519">
            <v>7.3623700000000003</v>
          </cell>
        </row>
        <row r="1520">
          <cell r="D1520">
            <v>39867</v>
          </cell>
          <cell r="F1520">
            <v>73.193860000000001</v>
          </cell>
          <cell r="K1520">
            <v>39867</v>
          </cell>
          <cell r="M1520">
            <v>12.7155</v>
          </cell>
          <cell r="R1520">
            <v>39867</v>
          </cell>
          <cell r="T1520">
            <v>2.02</v>
          </cell>
          <cell r="Y1520">
            <v>39867</v>
          </cell>
          <cell r="AA1520">
            <v>61.71</v>
          </cell>
          <cell r="AF1520">
            <v>39867</v>
          </cell>
          <cell r="AH1520">
            <v>11.565770000000001</v>
          </cell>
          <cell r="AM1520">
            <v>39867</v>
          </cell>
          <cell r="AO1520">
            <v>22.10772</v>
          </cell>
          <cell r="AT1520">
            <v>39867</v>
          </cell>
          <cell r="AV1520">
            <v>17.023759999999999</v>
          </cell>
          <cell r="BA1520">
            <v>39867</v>
          </cell>
          <cell r="BC1520">
            <v>9.1928000000000001</v>
          </cell>
          <cell r="BH1520">
            <v>39867</v>
          </cell>
          <cell r="BJ1520">
            <v>7.1758800000000003</v>
          </cell>
        </row>
        <row r="1521">
          <cell r="D1521">
            <v>39864</v>
          </cell>
          <cell r="F1521">
            <v>77.028360000000006</v>
          </cell>
          <cell r="K1521">
            <v>39864</v>
          </cell>
          <cell r="M1521">
            <v>13.35304</v>
          </cell>
          <cell r="R1521">
            <v>39864</v>
          </cell>
          <cell r="T1521">
            <v>2.0299999999999998</v>
          </cell>
          <cell r="Y1521">
            <v>39864</v>
          </cell>
          <cell r="AA1521">
            <v>63.86</v>
          </cell>
          <cell r="AF1521">
            <v>39864</v>
          </cell>
          <cell r="AH1521">
            <v>12.13109</v>
          </cell>
          <cell r="AM1521">
            <v>39864</v>
          </cell>
          <cell r="AO1521">
            <v>22.331530000000001</v>
          </cell>
          <cell r="AT1521">
            <v>39864</v>
          </cell>
          <cell r="AV1521">
            <v>17.327110000000001</v>
          </cell>
          <cell r="BA1521">
            <v>39864</v>
          </cell>
          <cell r="BC1521">
            <v>9.5315300000000001</v>
          </cell>
          <cell r="BH1521">
            <v>39864</v>
          </cell>
          <cell r="BJ1521">
            <v>7.60562</v>
          </cell>
        </row>
        <row r="1522">
          <cell r="D1522">
            <v>39863</v>
          </cell>
          <cell r="F1522">
            <v>77.149820000000005</v>
          </cell>
          <cell r="K1522">
            <v>39863</v>
          </cell>
          <cell r="M1522">
            <v>13.31762</v>
          </cell>
          <cell r="R1522">
            <v>39863</v>
          </cell>
          <cell r="T1522">
            <v>2.12</v>
          </cell>
          <cell r="Y1522">
            <v>39863</v>
          </cell>
          <cell r="AA1522">
            <v>61.95</v>
          </cell>
          <cell r="AF1522">
            <v>39863</v>
          </cell>
          <cell r="AH1522">
            <v>12.0566</v>
          </cell>
          <cell r="AM1522">
            <v>39863</v>
          </cell>
          <cell r="AO1522">
            <v>22.474519999999998</v>
          </cell>
          <cell r="AT1522">
            <v>39863</v>
          </cell>
          <cell r="AV1522">
            <v>17.513159999999999</v>
          </cell>
          <cell r="BA1522">
            <v>39863</v>
          </cell>
          <cell r="BC1522">
            <v>10.26545</v>
          </cell>
          <cell r="BH1522">
            <v>39863</v>
          </cell>
          <cell r="BJ1522">
            <v>8.1569900000000004</v>
          </cell>
        </row>
        <row r="1523">
          <cell r="D1523">
            <v>39862</v>
          </cell>
          <cell r="F1523">
            <v>79.388059999999996</v>
          </cell>
          <cell r="K1523">
            <v>39862</v>
          </cell>
          <cell r="M1523">
            <v>13.609830000000001</v>
          </cell>
          <cell r="R1523">
            <v>39862</v>
          </cell>
          <cell r="T1523">
            <v>2.2000000000000002</v>
          </cell>
          <cell r="Y1523">
            <v>39862</v>
          </cell>
          <cell r="AA1523">
            <v>62.35</v>
          </cell>
          <cell r="AF1523">
            <v>39862</v>
          </cell>
          <cell r="AH1523">
            <v>12.55275</v>
          </cell>
          <cell r="AM1523">
            <v>39862</v>
          </cell>
          <cell r="AO1523">
            <v>22.804020000000001</v>
          </cell>
          <cell r="AT1523">
            <v>39862</v>
          </cell>
          <cell r="AV1523">
            <v>17.26239</v>
          </cell>
          <cell r="BA1523">
            <v>39862</v>
          </cell>
          <cell r="BC1523">
            <v>10.303089999999999</v>
          </cell>
          <cell r="BH1523">
            <v>39862</v>
          </cell>
          <cell r="BJ1523">
            <v>8.5542899999999999</v>
          </cell>
        </row>
        <row r="1524">
          <cell r="D1524">
            <v>39861</v>
          </cell>
          <cell r="F1524">
            <v>78.659329999999997</v>
          </cell>
          <cell r="K1524">
            <v>39861</v>
          </cell>
          <cell r="M1524">
            <v>13.53899</v>
          </cell>
          <cell r="R1524">
            <v>39861</v>
          </cell>
          <cell r="T1524">
            <v>2.37</v>
          </cell>
          <cell r="Y1524">
            <v>39861</v>
          </cell>
          <cell r="AA1524">
            <v>61.67</v>
          </cell>
          <cell r="AF1524">
            <v>39861</v>
          </cell>
          <cell r="AH1524">
            <v>12.57403</v>
          </cell>
          <cell r="AM1524">
            <v>39861</v>
          </cell>
          <cell r="AO1524">
            <v>22.78537</v>
          </cell>
          <cell r="AT1524">
            <v>39861</v>
          </cell>
          <cell r="AV1524">
            <v>17.230039999999999</v>
          </cell>
          <cell r="BA1524">
            <v>39861</v>
          </cell>
          <cell r="BC1524">
            <v>10.378360000000001</v>
          </cell>
          <cell r="BH1524">
            <v>39861</v>
          </cell>
          <cell r="BJ1524">
            <v>8.5149100000000004</v>
          </cell>
        </row>
        <row r="1525">
          <cell r="D1525">
            <v>39857</v>
          </cell>
          <cell r="F1525">
            <v>81.409409999999994</v>
          </cell>
          <cell r="K1525">
            <v>39857</v>
          </cell>
          <cell r="M1525">
            <v>14.25623</v>
          </cell>
          <cell r="R1525">
            <v>39857</v>
          </cell>
          <cell r="T1525">
            <v>2.42</v>
          </cell>
          <cell r="Y1525">
            <v>39857</v>
          </cell>
          <cell r="AA1525">
            <v>63.26</v>
          </cell>
          <cell r="AF1525">
            <v>39857</v>
          </cell>
          <cell r="AH1525">
            <v>13.1899</v>
          </cell>
          <cell r="AM1525">
            <v>39857</v>
          </cell>
          <cell r="AO1525">
            <v>23.68684</v>
          </cell>
          <cell r="AT1525">
            <v>39857</v>
          </cell>
          <cell r="AV1525">
            <v>17.735610000000001</v>
          </cell>
          <cell r="BA1525">
            <v>39857</v>
          </cell>
          <cell r="BC1525">
            <v>11.479240000000001</v>
          </cell>
          <cell r="BH1525">
            <v>39857</v>
          </cell>
          <cell r="BJ1525">
            <v>9.0111500000000007</v>
          </cell>
        </row>
        <row r="1526">
          <cell r="D1526">
            <v>39856</v>
          </cell>
          <cell r="F1526">
            <v>82.476479999999995</v>
          </cell>
          <cell r="K1526">
            <v>39856</v>
          </cell>
          <cell r="M1526">
            <v>14.34478</v>
          </cell>
          <cell r="R1526">
            <v>39856</v>
          </cell>
          <cell r="T1526">
            <v>2.2799999999999998</v>
          </cell>
          <cell r="Y1526">
            <v>39856</v>
          </cell>
          <cell r="AA1526">
            <v>63.96</v>
          </cell>
          <cell r="AF1526">
            <v>39856</v>
          </cell>
          <cell r="AH1526">
            <v>13.20453</v>
          </cell>
          <cell r="AM1526">
            <v>39856</v>
          </cell>
          <cell r="AO1526">
            <v>23.867139999999999</v>
          </cell>
          <cell r="AT1526">
            <v>39856</v>
          </cell>
          <cell r="AV1526">
            <v>17.95402</v>
          </cell>
          <cell r="BA1526">
            <v>39856</v>
          </cell>
          <cell r="BC1526">
            <v>11.45101</v>
          </cell>
          <cell r="BH1526">
            <v>39856</v>
          </cell>
          <cell r="BJ1526">
            <v>9.2002000000000006</v>
          </cell>
        </row>
        <row r="1527">
          <cell r="D1527">
            <v>39855</v>
          </cell>
          <cell r="F1527">
            <v>82.554559999999995</v>
          </cell>
          <cell r="K1527">
            <v>39855</v>
          </cell>
          <cell r="M1527">
            <v>14.31822</v>
          </cell>
          <cell r="R1527">
            <v>39855</v>
          </cell>
          <cell r="T1527">
            <v>2.15</v>
          </cell>
          <cell r="Y1527">
            <v>39855</v>
          </cell>
          <cell r="AA1527">
            <v>64.353999999999999</v>
          </cell>
          <cell r="AF1527">
            <v>39855</v>
          </cell>
          <cell r="AH1527">
            <v>12.878640000000001</v>
          </cell>
          <cell r="AM1527">
            <v>39855</v>
          </cell>
          <cell r="AO1527">
            <v>23.599799999999998</v>
          </cell>
          <cell r="AT1527">
            <v>39855</v>
          </cell>
          <cell r="AV1527">
            <v>16.6921</v>
          </cell>
          <cell r="BA1527">
            <v>39855</v>
          </cell>
          <cell r="BC1527">
            <v>11.385149999999999</v>
          </cell>
          <cell r="BH1527">
            <v>39855</v>
          </cell>
          <cell r="BJ1527">
            <v>9.4049999999999994</v>
          </cell>
        </row>
        <row r="1528">
          <cell r="D1528">
            <v>39854</v>
          </cell>
          <cell r="F1528">
            <v>80.914919999999995</v>
          </cell>
          <cell r="K1528">
            <v>39854</v>
          </cell>
          <cell r="M1528">
            <v>14.211959999999999</v>
          </cell>
          <cell r="R1528">
            <v>39854</v>
          </cell>
          <cell r="T1528">
            <v>2.11</v>
          </cell>
          <cell r="Y1528">
            <v>39854</v>
          </cell>
          <cell r="AA1528">
            <v>63.31</v>
          </cell>
          <cell r="AF1528">
            <v>39854</v>
          </cell>
          <cell r="AH1528">
            <v>13.01299</v>
          </cell>
          <cell r="AM1528">
            <v>39854</v>
          </cell>
          <cell r="AO1528">
            <v>23.425730000000001</v>
          </cell>
          <cell r="AT1528">
            <v>39854</v>
          </cell>
          <cell r="AV1528">
            <v>16.44943</v>
          </cell>
          <cell r="BA1528">
            <v>39854</v>
          </cell>
          <cell r="BC1528">
            <v>11.498060000000001</v>
          </cell>
          <cell r="BH1528">
            <v>39854</v>
          </cell>
          <cell r="BJ1528">
            <v>9.1529399999999992</v>
          </cell>
        </row>
        <row r="1529">
          <cell r="D1529">
            <v>39853</v>
          </cell>
          <cell r="F1529">
            <v>83.994659999999996</v>
          </cell>
          <cell r="K1529">
            <v>39853</v>
          </cell>
          <cell r="M1529">
            <v>14.920339999999999</v>
          </cell>
          <cell r="R1529">
            <v>39853</v>
          </cell>
          <cell r="T1529">
            <v>2.36</v>
          </cell>
          <cell r="Y1529">
            <v>39853</v>
          </cell>
          <cell r="AA1529">
            <v>66.709999999999994</v>
          </cell>
          <cell r="AF1529">
            <v>39853</v>
          </cell>
          <cell r="AH1529">
            <v>13.6355</v>
          </cell>
          <cell r="AM1529">
            <v>39853</v>
          </cell>
          <cell r="AO1529">
            <v>24.31476</v>
          </cell>
          <cell r="AT1529">
            <v>39853</v>
          </cell>
          <cell r="AV1529">
            <v>17.112739999999999</v>
          </cell>
          <cell r="BA1529">
            <v>39853</v>
          </cell>
          <cell r="BC1529">
            <v>12.401339999999999</v>
          </cell>
          <cell r="BH1529">
            <v>39853</v>
          </cell>
          <cell r="BJ1529">
            <v>9.9563799999999993</v>
          </cell>
        </row>
        <row r="1530">
          <cell r="D1530">
            <v>39850</v>
          </cell>
          <cell r="F1530">
            <v>83.404740000000004</v>
          </cell>
          <cell r="K1530">
            <v>39850</v>
          </cell>
          <cell r="M1530">
            <v>15.08858</v>
          </cell>
          <cell r="R1530">
            <v>39850</v>
          </cell>
          <cell r="T1530">
            <v>2.41</v>
          </cell>
          <cell r="Y1530">
            <v>39850</v>
          </cell>
          <cell r="AA1530">
            <v>66.55</v>
          </cell>
          <cell r="AF1530">
            <v>39850</v>
          </cell>
          <cell r="AH1530">
            <v>13.264390000000001</v>
          </cell>
          <cell r="AM1530">
            <v>39850</v>
          </cell>
          <cell r="AO1530">
            <v>24.575880000000002</v>
          </cell>
          <cell r="AT1530">
            <v>39850</v>
          </cell>
          <cell r="AV1530">
            <v>17.614280000000001</v>
          </cell>
          <cell r="BA1530">
            <v>39850</v>
          </cell>
          <cell r="BC1530">
            <v>12.561299999999999</v>
          </cell>
          <cell r="BH1530">
            <v>39850</v>
          </cell>
          <cell r="BJ1530">
            <v>8.7433399999999999</v>
          </cell>
        </row>
        <row r="1531">
          <cell r="D1531">
            <v>39849</v>
          </cell>
          <cell r="F1531">
            <v>79.735069999999993</v>
          </cell>
          <cell r="K1531">
            <v>39849</v>
          </cell>
          <cell r="M1531">
            <v>14.477600000000001</v>
          </cell>
          <cell r="R1531">
            <v>39849</v>
          </cell>
          <cell r="T1531">
            <v>2.36</v>
          </cell>
          <cell r="Y1531">
            <v>39849</v>
          </cell>
          <cell r="AA1531">
            <v>63.18</v>
          </cell>
          <cell r="AF1531">
            <v>39849</v>
          </cell>
          <cell r="AH1531">
            <v>12.83075</v>
          </cell>
          <cell r="AM1531">
            <v>39849</v>
          </cell>
          <cell r="AO1531">
            <v>24.246369999999999</v>
          </cell>
          <cell r="AT1531">
            <v>39849</v>
          </cell>
          <cell r="AV1531">
            <v>17.266439999999999</v>
          </cell>
          <cell r="BA1531">
            <v>39849</v>
          </cell>
          <cell r="BC1531">
            <v>12.015560000000001</v>
          </cell>
          <cell r="BH1531">
            <v>39849</v>
          </cell>
          <cell r="BJ1531">
            <v>8.5464199999999995</v>
          </cell>
        </row>
        <row r="1532">
          <cell r="D1532">
            <v>39848</v>
          </cell>
          <cell r="F1532">
            <v>80.097459999999998</v>
          </cell>
          <cell r="K1532">
            <v>39848</v>
          </cell>
          <cell r="M1532">
            <v>14.026009999999999</v>
          </cell>
          <cell r="R1532">
            <v>39848</v>
          </cell>
          <cell r="T1532">
            <v>2.27</v>
          </cell>
          <cell r="Y1532">
            <v>39848</v>
          </cell>
          <cell r="AA1532">
            <v>61.06</v>
          </cell>
          <cell r="AF1532">
            <v>39848</v>
          </cell>
          <cell r="AH1532">
            <v>12.443680000000001</v>
          </cell>
          <cell r="AM1532">
            <v>39848</v>
          </cell>
          <cell r="AO1532">
            <v>23.382210000000001</v>
          </cell>
          <cell r="AT1532">
            <v>39848</v>
          </cell>
          <cell r="AV1532">
            <v>17.149149999999999</v>
          </cell>
          <cell r="BA1532">
            <v>39848</v>
          </cell>
          <cell r="BC1532">
            <v>11.441599999999999</v>
          </cell>
          <cell r="BH1532">
            <v>39848</v>
          </cell>
          <cell r="BJ1532">
            <v>8.86937</v>
          </cell>
        </row>
        <row r="1533">
          <cell r="D1533">
            <v>39847</v>
          </cell>
          <cell r="F1533">
            <v>80.65831</v>
          </cell>
          <cell r="K1533">
            <v>39847</v>
          </cell>
          <cell r="M1533">
            <v>13.831200000000001</v>
          </cell>
          <cell r="R1533">
            <v>39847</v>
          </cell>
          <cell r="T1533">
            <v>2.21</v>
          </cell>
          <cell r="Y1533">
            <v>39847</v>
          </cell>
          <cell r="AA1533">
            <v>63.59</v>
          </cell>
          <cell r="AF1533">
            <v>39847</v>
          </cell>
          <cell r="AH1533">
            <v>12.36786</v>
          </cell>
          <cell r="AM1533">
            <v>39847</v>
          </cell>
          <cell r="AO1533">
            <v>23.170829999999999</v>
          </cell>
          <cell r="AT1533">
            <v>39847</v>
          </cell>
          <cell r="AV1533">
            <v>17.521249999999998</v>
          </cell>
          <cell r="BA1533">
            <v>39847</v>
          </cell>
          <cell r="BC1533">
            <v>11.620380000000001</v>
          </cell>
          <cell r="BH1533">
            <v>39847</v>
          </cell>
          <cell r="BJ1533">
            <v>8.9560099999999991</v>
          </cell>
        </row>
        <row r="1534">
          <cell r="D1534">
            <v>39846</v>
          </cell>
          <cell r="F1534">
            <v>78.458070000000006</v>
          </cell>
          <cell r="K1534">
            <v>39846</v>
          </cell>
          <cell r="M1534">
            <v>13.556699999999999</v>
          </cell>
          <cell r="R1534">
            <v>39846</v>
          </cell>
          <cell r="T1534">
            <v>2.15</v>
          </cell>
          <cell r="Y1534">
            <v>39846</v>
          </cell>
          <cell r="AA1534">
            <v>61.15</v>
          </cell>
          <cell r="AF1534">
            <v>39846</v>
          </cell>
          <cell r="AH1534">
            <v>12.172319999999999</v>
          </cell>
          <cell r="AM1534">
            <v>39846</v>
          </cell>
          <cell r="AO1534">
            <v>22.766719999999999</v>
          </cell>
          <cell r="AT1534">
            <v>39846</v>
          </cell>
          <cell r="AV1534">
            <v>17.084430000000001</v>
          </cell>
          <cell r="BA1534">
            <v>39846</v>
          </cell>
          <cell r="BC1534">
            <v>11.159330000000001</v>
          </cell>
          <cell r="BH1534">
            <v>39846</v>
          </cell>
          <cell r="BJ1534">
            <v>9.1529399999999992</v>
          </cell>
        </row>
        <row r="1535">
          <cell r="D1535">
            <v>39843</v>
          </cell>
          <cell r="F1535">
            <v>79.079310000000007</v>
          </cell>
          <cell r="K1535">
            <v>39843</v>
          </cell>
          <cell r="M1535">
            <v>13.25564</v>
          </cell>
          <cell r="R1535">
            <v>39843</v>
          </cell>
          <cell r="T1535">
            <v>2.19</v>
          </cell>
          <cell r="Y1535">
            <v>39843</v>
          </cell>
          <cell r="AA1535">
            <v>58.82</v>
          </cell>
          <cell r="AF1535">
            <v>39843</v>
          </cell>
          <cell r="AH1535">
            <v>11.988759999999999</v>
          </cell>
          <cell r="AM1535">
            <v>39843</v>
          </cell>
          <cell r="AO1535">
            <v>23.407080000000001</v>
          </cell>
          <cell r="AT1535">
            <v>39843</v>
          </cell>
          <cell r="AV1535">
            <v>17.278569999999998</v>
          </cell>
          <cell r="BA1535">
            <v>39843</v>
          </cell>
          <cell r="BC1535">
            <v>11.422779999999999</v>
          </cell>
          <cell r="BH1535">
            <v>39843</v>
          </cell>
          <cell r="BJ1535">
            <v>9.5546600000000002</v>
          </cell>
        </row>
        <row r="1536">
          <cell r="D1536">
            <v>39842</v>
          </cell>
          <cell r="F1536">
            <v>79.821349999999995</v>
          </cell>
          <cell r="K1536">
            <v>39842</v>
          </cell>
          <cell r="M1536">
            <v>14.105700000000001</v>
          </cell>
          <cell r="R1536">
            <v>39842</v>
          </cell>
          <cell r="T1536">
            <v>2.2000000000000002</v>
          </cell>
          <cell r="Y1536">
            <v>39842</v>
          </cell>
          <cell r="AA1536">
            <v>50</v>
          </cell>
          <cell r="AF1536">
            <v>39842</v>
          </cell>
          <cell r="AH1536">
            <v>12.370520000000001</v>
          </cell>
          <cell r="AM1536">
            <v>39842</v>
          </cell>
          <cell r="AO1536">
            <v>23.518979999999999</v>
          </cell>
          <cell r="AT1536">
            <v>39842</v>
          </cell>
          <cell r="AV1536">
            <v>17.614280000000001</v>
          </cell>
          <cell r="BA1536">
            <v>39842</v>
          </cell>
          <cell r="BC1536">
            <v>11.883839999999999</v>
          </cell>
          <cell r="BH1536">
            <v>39842</v>
          </cell>
          <cell r="BJ1536">
            <v>10.01939</v>
          </cell>
        </row>
        <row r="1537">
          <cell r="D1537">
            <v>39841</v>
          </cell>
          <cell r="F1537">
            <v>81.814509999999999</v>
          </cell>
          <cell r="K1537">
            <v>39841</v>
          </cell>
          <cell r="M1537">
            <v>14.946910000000001</v>
          </cell>
          <cell r="R1537">
            <v>39841</v>
          </cell>
          <cell r="T1537">
            <v>2.35</v>
          </cell>
          <cell r="Y1537">
            <v>39841</v>
          </cell>
          <cell r="AA1537">
            <v>50.36</v>
          </cell>
          <cell r="AF1537">
            <v>39841</v>
          </cell>
          <cell r="AH1537">
            <v>12.530139999999999</v>
          </cell>
          <cell r="AM1537">
            <v>39841</v>
          </cell>
          <cell r="AO1537">
            <v>24.420449999999999</v>
          </cell>
          <cell r="AT1537">
            <v>39841</v>
          </cell>
          <cell r="AV1537">
            <v>17.739660000000001</v>
          </cell>
          <cell r="BA1537">
            <v>39841</v>
          </cell>
          <cell r="BC1537">
            <v>12.561299999999999</v>
          </cell>
          <cell r="BH1537">
            <v>39841</v>
          </cell>
          <cell r="BJ1537">
            <v>10.633789999999999</v>
          </cell>
        </row>
        <row r="1538">
          <cell r="D1538">
            <v>39840</v>
          </cell>
          <cell r="F1538">
            <v>79.087940000000003</v>
          </cell>
          <cell r="K1538">
            <v>39840</v>
          </cell>
          <cell r="M1538">
            <v>14.81409</v>
          </cell>
          <cell r="R1538">
            <v>39840</v>
          </cell>
          <cell r="T1538">
            <v>2.14</v>
          </cell>
          <cell r="Y1538">
            <v>39840</v>
          </cell>
          <cell r="AA1538">
            <v>48.44</v>
          </cell>
          <cell r="AF1538">
            <v>39840</v>
          </cell>
          <cell r="AH1538">
            <v>12.068569999999999</v>
          </cell>
          <cell r="AM1538">
            <v>39840</v>
          </cell>
          <cell r="AO1538">
            <v>23.31382</v>
          </cell>
          <cell r="AT1538">
            <v>39840</v>
          </cell>
          <cell r="AV1538">
            <v>17.525289999999998</v>
          </cell>
          <cell r="BA1538">
            <v>39840</v>
          </cell>
          <cell r="BC1538">
            <v>11.695650000000001</v>
          </cell>
          <cell r="BH1538">
            <v>39840</v>
          </cell>
          <cell r="BJ1538">
            <v>10.28721</v>
          </cell>
        </row>
        <row r="1539">
          <cell r="D1539">
            <v>39839</v>
          </cell>
          <cell r="F1539">
            <v>79.036169999999998</v>
          </cell>
          <cell r="K1539">
            <v>39839</v>
          </cell>
          <cell r="M1539">
            <v>14.43333</v>
          </cell>
          <cell r="R1539">
            <v>39839</v>
          </cell>
          <cell r="T1539">
            <v>2.0099999999999998</v>
          </cell>
          <cell r="Y1539">
            <v>39839</v>
          </cell>
          <cell r="AA1539">
            <v>49.63</v>
          </cell>
          <cell r="AF1539">
            <v>39839</v>
          </cell>
          <cell r="AH1539">
            <v>11.923579999999999</v>
          </cell>
          <cell r="AM1539">
            <v>39839</v>
          </cell>
          <cell r="AO1539">
            <v>22.73564</v>
          </cell>
          <cell r="AT1539">
            <v>39839</v>
          </cell>
          <cell r="AV1539">
            <v>17.403960000000001</v>
          </cell>
          <cell r="BA1539">
            <v>39839</v>
          </cell>
          <cell r="BC1539">
            <v>11.25342</v>
          </cell>
          <cell r="BH1539">
            <v>39839</v>
          </cell>
          <cell r="BJ1539">
            <v>9.7830899999999996</v>
          </cell>
        </row>
        <row r="1540">
          <cell r="D1540">
            <v>39836</v>
          </cell>
          <cell r="F1540">
            <v>77.215580000000003</v>
          </cell>
          <cell r="K1540">
            <v>39836</v>
          </cell>
          <cell r="M1540">
            <v>14.07028</v>
          </cell>
          <cell r="R1540">
            <v>39836</v>
          </cell>
          <cell r="T1540">
            <v>2.0699999999999998</v>
          </cell>
          <cell r="Y1540">
            <v>39836</v>
          </cell>
          <cell r="AA1540">
            <v>50.63</v>
          </cell>
          <cell r="AF1540">
            <v>39836</v>
          </cell>
          <cell r="AH1540">
            <v>11.75332</v>
          </cell>
          <cell r="AM1540">
            <v>39836</v>
          </cell>
          <cell r="AO1540">
            <v>22.356400000000001</v>
          </cell>
          <cell r="AT1540">
            <v>39836</v>
          </cell>
          <cell r="AV1540">
            <v>17.068249999999999</v>
          </cell>
          <cell r="BA1540">
            <v>39836</v>
          </cell>
          <cell r="BC1540">
            <v>11.29106</v>
          </cell>
          <cell r="BH1540">
            <v>39836</v>
          </cell>
          <cell r="BJ1540">
            <v>9.4758899999999997</v>
          </cell>
        </row>
        <row r="1541">
          <cell r="D1541">
            <v>39835</v>
          </cell>
          <cell r="F1541">
            <v>77.71602</v>
          </cell>
          <cell r="K1541">
            <v>39835</v>
          </cell>
          <cell r="M1541">
            <v>13.609830000000001</v>
          </cell>
          <cell r="R1541">
            <v>39835</v>
          </cell>
          <cell r="T1541">
            <v>2.02</v>
          </cell>
          <cell r="Y1541">
            <v>39835</v>
          </cell>
          <cell r="AA1541">
            <v>49.94</v>
          </cell>
          <cell r="AF1541">
            <v>39835</v>
          </cell>
          <cell r="AH1541">
            <v>11.75332</v>
          </cell>
          <cell r="AM1541">
            <v>39835</v>
          </cell>
          <cell r="AO1541">
            <v>22.89106</v>
          </cell>
          <cell r="AT1541">
            <v>39835</v>
          </cell>
          <cell r="AV1541">
            <v>17.440359999999998</v>
          </cell>
          <cell r="BA1541">
            <v>39835</v>
          </cell>
          <cell r="BC1541">
            <v>11.9497</v>
          </cell>
          <cell r="BH1541">
            <v>39835</v>
          </cell>
          <cell r="BJ1541">
            <v>10.618040000000001</v>
          </cell>
        </row>
        <row r="1542">
          <cell r="D1542">
            <v>39834</v>
          </cell>
          <cell r="F1542">
            <v>78.880859999999998</v>
          </cell>
          <cell r="K1542">
            <v>39834</v>
          </cell>
          <cell r="M1542">
            <v>13.90204</v>
          </cell>
          <cell r="R1542">
            <v>39834</v>
          </cell>
          <cell r="T1542">
            <v>2.25</v>
          </cell>
          <cell r="Y1542">
            <v>39834</v>
          </cell>
          <cell r="AA1542">
            <v>50.54</v>
          </cell>
          <cell r="AF1542">
            <v>39834</v>
          </cell>
          <cell r="AH1542">
            <v>11.01774</v>
          </cell>
          <cell r="AM1542">
            <v>39834</v>
          </cell>
          <cell r="AO1542">
            <v>22.853760000000001</v>
          </cell>
          <cell r="AT1542">
            <v>39834</v>
          </cell>
          <cell r="AV1542">
            <v>17.509119999999999</v>
          </cell>
          <cell r="BA1542">
            <v>39834</v>
          </cell>
          <cell r="BC1542">
            <v>12.420159999999999</v>
          </cell>
          <cell r="BH1542">
            <v>39834</v>
          </cell>
          <cell r="BJ1542">
            <v>10.263579999999999</v>
          </cell>
        </row>
        <row r="1543">
          <cell r="D1543">
            <v>39833</v>
          </cell>
          <cell r="F1543">
            <v>70.735650000000007</v>
          </cell>
          <cell r="K1543">
            <v>39833</v>
          </cell>
          <cell r="M1543">
            <v>13.29106</v>
          </cell>
          <cell r="R1543">
            <v>39833</v>
          </cell>
          <cell r="T1543">
            <v>2</v>
          </cell>
          <cell r="Y1543">
            <v>39833</v>
          </cell>
          <cell r="AA1543">
            <v>48.44</v>
          </cell>
          <cell r="AF1543">
            <v>39833</v>
          </cell>
          <cell r="AH1543">
            <v>10.40188</v>
          </cell>
          <cell r="AM1543">
            <v>39833</v>
          </cell>
          <cell r="AO1543">
            <v>23.052710000000001</v>
          </cell>
          <cell r="AT1543">
            <v>39833</v>
          </cell>
          <cell r="AV1543">
            <v>17.34329</v>
          </cell>
          <cell r="BA1543">
            <v>39833</v>
          </cell>
          <cell r="BC1543">
            <v>14.179679999999999</v>
          </cell>
          <cell r="BH1543">
            <v>39833</v>
          </cell>
          <cell r="BJ1543">
            <v>10.184810000000001</v>
          </cell>
        </row>
        <row r="1544">
          <cell r="D1544">
            <v>39829</v>
          </cell>
          <cell r="F1544">
            <v>73.272400000000005</v>
          </cell>
          <cell r="K1544">
            <v>39829</v>
          </cell>
          <cell r="M1544">
            <v>14.0083</v>
          </cell>
          <cell r="R1544">
            <v>39829</v>
          </cell>
          <cell r="T1544">
            <v>2.29</v>
          </cell>
          <cell r="Y1544">
            <v>39829</v>
          </cell>
          <cell r="AA1544">
            <v>51.59</v>
          </cell>
          <cell r="AF1544">
            <v>39829</v>
          </cell>
          <cell r="AH1544">
            <v>10.951230000000001</v>
          </cell>
          <cell r="AM1544">
            <v>39829</v>
          </cell>
          <cell r="AO1544">
            <v>23.680620000000001</v>
          </cell>
          <cell r="AT1544">
            <v>39829</v>
          </cell>
          <cell r="AV1544">
            <v>17.731570000000001</v>
          </cell>
          <cell r="BA1544">
            <v>39829</v>
          </cell>
          <cell r="BC1544">
            <v>15.694570000000001</v>
          </cell>
          <cell r="BH1544">
            <v>39829</v>
          </cell>
          <cell r="BJ1544">
            <v>10.996130000000001</v>
          </cell>
        </row>
        <row r="1545">
          <cell r="D1545">
            <v>39828</v>
          </cell>
          <cell r="F1545">
            <v>72.582120000000003</v>
          </cell>
          <cell r="K1545">
            <v>39828</v>
          </cell>
          <cell r="M1545">
            <v>13.99944</v>
          </cell>
          <cell r="R1545">
            <v>39828</v>
          </cell>
          <cell r="T1545">
            <v>2.2599999999999998</v>
          </cell>
          <cell r="Y1545">
            <v>39828</v>
          </cell>
          <cell r="AA1545">
            <v>51.44</v>
          </cell>
          <cell r="AF1545">
            <v>39828</v>
          </cell>
          <cell r="AH1545">
            <v>11.0909</v>
          </cell>
          <cell r="AM1545">
            <v>39828</v>
          </cell>
          <cell r="AO1545">
            <v>23.568719999999999</v>
          </cell>
          <cell r="AT1545">
            <v>39828</v>
          </cell>
          <cell r="AV1545">
            <v>17.537430000000001</v>
          </cell>
          <cell r="BA1545">
            <v>39828</v>
          </cell>
          <cell r="BC1545">
            <v>15.27115</v>
          </cell>
          <cell r="BH1545">
            <v>39828</v>
          </cell>
          <cell r="BJ1545">
            <v>10.84647</v>
          </cell>
        </row>
        <row r="1546">
          <cell r="D1546">
            <v>39827</v>
          </cell>
          <cell r="F1546">
            <v>71.779679999999999</v>
          </cell>
          <cell r="K1546">
            <v>39827</v>
          </cell>
          <cell r="M1546">
            <v>13.93746</v>
          </cell>
          <cell r="R1546">
            <v>39827</v>
          </cell>
          <cell r="T1546">
            <v>2.15</v>
          </cell>
          <cell r="Y1546">
            <v>39827</v>
          </cell>
          <cell r="AA1546">
            <v>48.49</v>
          </cell>
          <cell r="AF1546">
            <v>39827</v>
          </cell>
          <cell r="AH1546">
            <v>11.35028</v>
          </cell>
          <cell r="AM1546">
            <v>39827</v>
          </cell>
          <cell r="AO1546">
            <v>23.226780000000002</v>
          </cell>
          <cell r="AT1546">
            <v>39827</v>
          </cell>
          <cell r="AV1546">
            <v>17.238130000000002</v>
          </cell>
          <cell r="BA1546">
            <v>39827</v>
          </cell>
          <cell r="BC1546">
            <v>15.28997</v>
          </cell>
          <cell r="BH1546">
            <v>39827</v>
          </cell>
          <cell r="BJ1546">
            <v>11.114280000000001</v>
          </cell>
        </row>
        <row r="1547">
          <cell r="D1547">
            <v>39826</v>
          </cell>
          <cell r="F1547">
            <v>73.634789999999995</v>
          </cell>
          <cell r="K1547">
            <v>39826</v>
          </cell>
          <cell r="M1547">
            <v>14.56615</v>
          </cell>
          <cell r="R1547">
            <v>39826</v>
          </cell>
          <cell r="T1547">
            <v>2.38</v>
          </cell>
          <cell r="Y1547">
            <v>39826</v>
          </cell>
          <cell r="AA1547">
            <v>51.45</v>
          </cell>
          <cell r="AF1547">
            <v>39826</v>
          </cell>
          <cell r="AH1547">
            <v>11.66686</v>
          </cell>
          <cell r="AM1547">
            <v>39826</v>
          </cell>
          <cell r="AO1547">
            <v>23.568719999999999</v>
          </cell>
          <cell r="AT1547">
            <v>39826</v>
          </cell>
          <cell r="AV1547">
            <v>17.804369999999999</v>
          </cell>
          <cell r="BA1547">
            <v>39826</v>
          </cell>
          <cell r="BC1547">
            <v>17.228269999999998</v>
          </cell>
          <cell r="BH1547">
            <v>39826</v>
          </cell>
          <cell r="BJ1547">
            <v>11.76806</v>
          </cell>
        </row>
        <row r="1548">
          <cell r="D1548">
            <v>39825</v>
          </cell>
          <cell r="F1548">
            <v>73.954040000000006</v>
          </cell>
          <cell r="K1548">
            <v>39825</v>
          </cell>
          <cell r="M1548">
            <v>14.521879999999999</v>
          </cell>
          <cell r="R1548">
            <v>39825</v>
          </cell>
          <cell r="T1548">
            <v>2.52</v>
          </cell>
          <cell r="Y1548">
            <v>39825</v>
          </cell>
          <cell r="AA1548">
            <v>51.92</v>
          </cell>
          <cell r="AF1548">
            <v>39825</v>
          </cell>
          <cell r="AH1548">
            <v>11.793229999999999</v>
          </cell>
          <cell r="AM1548">
            <v>39825</v>
          </cell>
          <cell r="AO1548">
            <v>22.93458</v>
          </cell>
          <cell r="AT1548">
            <v>39825</v>
          </cell>
          <cell r="AV1548">
            <v>17.687080000000002</v>
          </cell>
          <cell r="BA1548">
            <v>39825</v>
          </cell>
          <cell r="BC1548">
            <v>17.548179999999999</v>
          </cell>
          <cell r="BH1548">
            <v>39825</v>
          </cell>
          <cell r="BJ1548">
            <v>12.469099999999999</v>
          </cell>
        </row>
        <row r="1549">
          <cell r="D1549">
            <v>39822</v>
          </cell>
          <cell r="F1549">
            <v>73.082570000000004</v>
          </cell>
          <cell r="K1549">
            <v>39822</v>
          </cell>
          <cell r="M1549">
            <v>14.787520000000001</v>
          </cell>
          <cell r="R1549">
            <v>39822</v>
          </cell>
          <cell r="T1549">
            <v>2.69</v>
          </cell>
          <cell r="Y1549">
            <v>39822</v>
          </cell>
          <cell r="AA1549">
            <v>55.51</v>
          </cell>
          <cell r="AF1549">
            <v>39822</v>
          </cell>
          <cell r="AH1549">
            <v>12.04862</v>
          </cell>
          <cell r="AM1549">
            <v>39822</v>
          </cell>
          <cell r="AO1549">
            <v>22.922149999999998</v>
          </cell>
          <cell r="AT1549">
            <v>39822</v>
          </cell>
          <cell r="AV1549">
            <v>18.038959999999999</v>
          </cell>
          <cell r="BA1549">
            <v>39822</v>
          </cell>
          <cell r="BC1549">
            <v>18.714919999999999</v>
          </cell>
          <cell r="BH1549">
            <v>39822</v>
          </cell>
          <cell r="BJ1549">
            <v>12.603009999999999</v>
          </cell>
        </row>
        <row r="1550">
          <cell r="D1550">
            <v>39821</v>
          </cell>
          <cell r="F1550">
            <v>75.22242</v>
          </cell>
          <cell r="K1550">
            <v>39821</v>
          </cell>
          <cell r="M1550">
            <v>15.531319999999999</v>
          </cell>
          <cell r="R1550">
            <v>39821</v>
          </cell>
          <cell r="T1550">
            <v>2.74</v>
          </cell>
          <cell r="Y1550">
            <v>39821</v>
          </cell>
          <cell r="AA1550">
            <v>57.16</v>
          </cell>
          <cell r="AF1550">
            <v>39821</v>
          </cell>
          <cell r="AH1550">
            <v>12.33061</v>
          </cell>
          <cell r="AM1550">
            <v>39821</v>
          </cell>
          <cell r="AO1550">
            <v>22.822679999999998</v>
          </cell>
          <cell r="AT1550">
            <v>39821</v>
          </cell>
          <cell r="AV1550">
            <v>18.297809999999998</v>
          </cell>
          <cell r="BA1550">
            <v>39821</v>
          </cell>
          <cell r="BC1550">
            <v>19.749939999999999</v>
          </cell>
          <cell r="BH1550">
            <v>39821</v>
          </cell>
          <cell r="BJ1550">
            <v>12.713290000000001</v>
          </cell>
        </row>
        <row r="1551">
          <cell r="D1551">
            <v>39820</v>
          </cell>
          <cell r="F1551">
            <v>75.748750000000001</v>
          </cell>
          <cell r="K1551">
            <v>39820</v>
          </cell>
          <cell r="M1551">
            <v>15.33652</v>
          </cell>
          <cell r="R1551">
            <v>39820</v>
          </cell>
          <cell r="T1551">
            <v>2.66</v>
          </cell>
          <cell r="Y1551">
            <v>39820</v>
          </cell>
          <cell r="AA1551">
            <v>56.2</v>
          </cell>
          <cell r="AF1551">
            <v>39820</v>
          </cell>
          <cell r="AH1551">
            <v>12.10581</v>
          </cell>
          <cell r="AM1551">
            <v>39820</v>
          </cell>
          <cell r="AO1551">
            <v>22.343969999999999</v>
          </cell>
          <cell r="AT1551">
            <v>39820</v>
          </cell>
          <cell r="AV1551">
            <v>18.172429999999999</v>
          </cell>
          <cell r="BA1551">
            <v>39820</v>
          </cell>
          <cell r="BC1551">
            <v>19.364159999999998</v>
          </cell>
          <cell r="BH1551">
            <v>39820</v>
          </cell>
          <cell r="BJ1551">
            <v>12.68966</v>
          </cell>
        </row>
        <row r="1552">
          <cell r="D1552">
            <v>39819</v>
          </cell>
          <cell r="F1552">
            <v>76.991240000000005</v>
          </cell>
          <cell r="K1552">
            <v>39819</v>
          </cell>
          <cell r="M1552">
            <v>15.752689999999999</v>
          </cell>
          <cell r="R1552">
            <v>39819</v>
          </cell>
          <cell r="T1552">
            <v>2.78</v>
          </cell>
          <cell r="Y1552">
            <v>39819</v>
          </cell>
          <cell r="AA1552">
            <v>57.36</v>
          </cell>
          <cell r="AF1552">
            <v>39819</v>
          </cell>
          <cell r="AH1552">
            <v>12.37318</v>
          </cell>
          <cell r="AM1552">
            <v>39819</v>
          </cell>
          <cell r="AO1552">
            <v>22.151240000000001</v>
          </cell>
          <cell r="AT1552">
            <v>39819</v>
          </cell>
          <cell r="AV1552">
            <v>18.083449999999999</v>
          </cell>
          <cell r="BA1552">
            <v>39819</v>
          </cell>
          <cell r="BC1552">
            <v>19.298300000000001</v>
          </cell>
          <cell r="BH1552">
            <v>39819</v>
          </cell>
          <cell r="BJ1552">
            <v>13.280419999999999</v>
          </cell>
        </row>
        <row r="1553">
          <cell r="D1553">
            <v>39818</v>
          </cell>
          <cell r="F1553">
            <v>74.911789999999996</v>
          </cell>
          <cell r="K1553">
            <v>39818</v>
          </cell>
          <cell r="M1553">
            <v>15.15057</v>
          </cell>
          <cell r="R1553">
            <v>39818</v>
          </cell>
          <cell r="T1553">
            <v>2.67</v>
          </cell>
          <cell r="Y1553">
            <v>39818</v>
          </cell>
          <cell r="AA1553">
            <v>54.06</v>
          </cell>
          <cell r="AF1553">
            <v>39818</v>
          </cell>
          <cell r="AH1553">
            <v>12.580679999999999</v>
          </cell>
          <cell r="AM1553">
            <v>39818</v>
          </cell>
          <cell r="AO1553">
            <v>22.21341</v>
          </cell>
          <cell r="AT1553">
            <v>39818</v>
          </cell>
          <cell r="AV1553">
            <v>18.378710000000002</v>
          </cell>
          <cell r="BA1553">
            <v>39818</v>
          </cell>
          <cell r="BC1553">
            <v>18.799610000000001</v>
          </cell>
          <cell r="BH1553">
            <v>39818</v>
          </cell>
          <cell r="BJ1553">
            <v>13.09925</v>
          </cell>
        </row>
        <row r="1554">
          <cell r="D1554">
            <v>39815</v>
          </cell>
          <cell r="F1554">
            <v>75.386349999999993</v>
          </cell>
          <cell r="K1554">
            <v>39815</v>
          </cell>
          <cell r="M1554">
            <v>15.017749999999999</v>
          </cell>
          <cell r="R1554">
            <v>39815</v>
          </cell>
          <cell r="T1554">
            <v>2.38</v>
          </cell>
          <cell r="Y1554">
            <v>39815</v>
          </cell>
          <cell r="AA1554">
            <v>54.36</v>
          </cell>
          <cell r="AF1554">
            <v>39815</v>
          </cell>
          <cell r="AH1554">
            <v>12.07123</v>
          </cell>
          <cell r="AM1554">
            <v>39815</v>
          </cell>
          <cell r="AO1554">
            <v>21.896339999999999</v>
          </cell>
          <cell r="AT1554">
            <v>39815</v>
          </cell>
          <cell r="AV1554">
            <v>18.56476</v>
          </cell>
          <cell r="BA1554">
            <v>39815</v>
          </cell>
          <cell r="BC1554">
            <v>18.88429</v>
          </cell>
          <cell r="BH1554">
            <v>39815</v>
          </cell>
          <cell r="BJ1554">
            <v>13.44584</v>
          </cell>
        </row>
        <row r="1555">
          <cell r="D1555">
            <v>39813</v>
          </cell>
          <cell r="F1555">
            <v>72.616640000000004</v>
          </cell>
          <cell r="K1555">
            <v>39813</v>
          </cell>
          <cell r="M1555">
            <v>14.43333</v>
          </cell>
          <cell r="R1555">
            <v>39813</v>
          </cell>
          <cell r="T1555">
            <v>2.16</v>
          </cell>
          <cell r="Y1555">
            <v>39813</v>
          </cell>
          <cell r="AA1555">
            <v>51.28</v>
          </cell>
          <cell r="AF1555">
            <v>39813</v>
          </cell>
          <cell r="AH1555">
            <v>11.35294</v>
          </cell>
          <cell r="AM1555">
            <v>39813</v>
          </cell>
          <cell r="AO1555">
            <v>21.430060000000001</v>
          </cell>
          <cell r="AT1555">
            <v>39813</v>
          </cell>
          <cell r="AV1555">
            <v>18.309950000000001</v>
          </cell>
          <cell r="BA1555">
            <v>39813</v>
          </cell>
          <cell r="BC1555">
            <v>18.16919</v>
          </cell>
          <cell r="BH1555">
            <v>39813</v>
          </cell>
          <cell r="BJ1555">
            <v>12.76055</v>
          </cell>
        </row>
        <row r="1556">
          <cell r="D1556">
            <v>39812</v>
          </cell>
          <cell r="F1556">
            <v>72.090310000000002</v>
          </cell>
          <cell r="K1556">
            <v>39812</v>
          </cell>
          <cell r="M1556">
            <v>14.37135</v>
          </cell>
          <cell r="R1556">
            <v>39812</v>
          </cell>
          <cell r="T1556">
            <v>2.21</v>
          </cell>
          <cell r="Y1556">
            <v>39812</v>
          </cell>
          <cell r="AA1556">
            <v>50.76</v>
          </cell>
          <cell r="AF1556">
            <v>39812</v>
          </cell>
          <cell r="AH1556">
            <v>11.477980000000001</v>
          </cell>
          <cell r="AM1556">
            <v>39812</v>
          </cell>
          <cell r="AO1556">
            <v>21.249770000000002</v>
          </cell>
          <cell r="AT1556">
            <v>39812</v>
          </cell>
          <cell r="AV1556">
            <v>18.172429999999999</v>
          </cell>
          <cell r="BA1556">
            <v>39812</v>
          </cell>
          <cell r="BC1556">
            <v>17.228269999999998</v>
          </cell>
          <cell r="BH1556">
            <v>39812</v>
          </cell>
          <cell r="BJ1556">
            <v>12.46123</v>
          </cell>
        </row>
        <row r="1557">
          <cell r="D1557">
            <v>39811</v>
          </cell>
          <cell r="F1557">
            <v>70.105770000000007</v>
          </cell>
          <cell r="K1557">
            <v>39811</v>
          </cell>
          <cell r="M1557">
            <v>14.176539999999999</v>
          </cell>
          <cell r="R1557">
            <v>39811</v>
          </cell>
          <cell r="T1557">
            <v>2.1</v>
          </cell>
          <cell r="Y1557">
            <v>39811</v>
          </cell>
          <cell r="AA1557">
            <v>49.4</v>
          </cell>
          <cell r="AF1557">
            <v>39811</v>
          </cell>
          <cell r="AH1557">
            <v>11.52054</v>
          </cell>
          <cell r="AM1557">
            <v>39811</v>
          </cell>
          <cell r="AO1557">
            <v>20.572120000000002</v>
          </cell>
          <cell r="AT1557">
            <v>39811</v>
          </cell>
          <cell r="AV1557">
            <v>17.962109999999999</v>
          </cell>
          <cell r="BA1557">
            <v>39811</v>
          </cell>
          <cell r="BC1557">
            <v>16.92717</v>
          </cell>
          <cell r="BH1557">
            <v>39811</v>
          </cell>
          <cell r="BJ1557">
            <v>12.3352</v>
          </cell>
        </row>
        <row r="1558">
          <cell r="D1558">
            <v>39808</v>
          </cell>
          <cell r="F1558">
            <v>70.174800000000005</v>
          </cell>
          <cell r="K1558">
            <v>39808</v>
          </cell>
          <cell r="M1558">
            <v>14.40676</v>
          </cell>
          <cell r="R1558">
            <v>39808</v>
          </cell>
          <cell r="T1558">
            <v>2.1800000000000002</v>
          </cell>
          <cell r="Y1558">
            <v>39808</v>
          </cell>
          <cell r="AA1558">
            <v>51.78</v>
          </cell>
          <cell r="AF1558">
            <v>39808</v>
          </cell>
          <cell r="AH1558">
            <v>11.41413</v>
          </cell>
          <cell r="AM1558">
            <v>39808</v>
          </cell>
          <cell r="AO1558">
            <v>20.553460000000001</v>
          </cell>
          <cell r="AT1558">
            <v>39808</v>
          </cell>
          <cell r="AV1558">
            <v>18.03087</v>
          </cell>
          <cell r="BA1558">
            <v>39808</v>
          </cell>
          <cell r="BC1558">
            <v>17.858689999999999</v>
          </cell>
          <cell r="BH1558">
            <v>39808</v>
          </cell>
          <cell r="BJ1558">
            <v>12.57938</v>
          </cell>
        </row>
        <row r="1559">
          <cell r="D1559">
            <v>39806</v>
          </cell>
          <cell r="F1559">
            <v>69.475899999999996</v>
          </cell>
          <cell r="K1559">
            <v>39806</v>
          </cell>
          <cell r="M1559">
            <v>14.477600000000001</v>
          </cell>
          <cell r="R1559">
            <v>39806</v>
          </cell>
          <cell r="T1559">
            <v>1.99</v>
          </cell>
          <cell r="Y1559">
            <v>39806</v>
          </cell>
          <cell r="AA1559">
            <v>51.44</v>
          </cell>
          <cell r="AF1559">
            <v>39806</v>
          </cell>
          <cell r="AH1559">
            <v>11.31171</v>
          </cell>
          <cell r="AM1559">
            <v>39806</v>
          </cell>
          <cell r="AO1559">
            <v>20.268689999999999</v>
          </cell>
          <cell r="AT1559">
            <v>39806</v>
          </cell>
          <cell r="AV1559">
            <v>17.836729999999999</v>
          </cell>
          <cell r="BA1559">
            <v>39806</v>
          </cell>
          <cell r="BC1559">
            <v>17.096540000000001</v>
          </cell>
          <cell r="BH1559">
            <v>39806</v>
          </cell>
          <cell r="BJ1559">
            <v>12.68966</v>
          </cell>
        </row>
        <row r="1560">
          <cell r="D1560">
            <v>39805</v>
          </cell>
          <cell r="F1560">
            <v>69.544929999999994</v>
          </cell>
          <cell r="K1560">
            <v>39805</v>
          </cell>
          <cell r="M1560">
            <v>14.3802</v>
          </cell>
          <cell r="R1560">
            <v>39805</v>
          </cell>
          <cell r="T1560">
            <v>1.96</v>
          </cell>
          <cell r="Y1560">
            <v>39805</v>
          </cell>
          <cell r="AA1560">
            <v>51.08</v>
          </cell>
          <cell r="AF1560">
            <v>39805</v>
          </cell>
          <cell r="AH1560">
            <v>11.48995</v>
          </cell>
          <cell r="AM1560">
            <v>39805</v>
          </cell>
          <cell r="AO1560">
            <v>20.268689999999999</v>
          </cell>
          <cell r="AT1560">
            <v>39805</v>
          </cell>
          <cell r="AV1560">
            <v>17.78415</v>
          </cell>
          <cell r="BA1560">
            <v>39805</v>
          </cell>
          <cell r="BC1560">
            <v>16.82367</v>
          </cell>
          <cell r="BH1560">
            <v>39805</v>
          </cell>
          <cell r="BJ1560">
            <v>12.69753</v>
          </cell>
        </row>
        <row r="1561">
          <cell r="D1561">
            <v>39804</v>
          </cell>
          <cell r="F1561">
            <v>70.74427</v>
          </cell>
          <cell r="K1561">
            <v>39804</v>
          </cell>
          <cell r="M1561">
            <v>14.49531</v>
          </cell>
          <cell r="R1561">
            <v>39804</v>
          </cell>
          <cell r="T1561">
            <v>2.02</v>
          </cell>
          <cell r="Y1561">
            <v>39804</v>
          </cell>
          <cell r="AA1561">
            <v>49.84</v>
          </cell>
          <cell r="AF1561">
            <v>39804</v>
          </cell>
          <cell r="AH1561">
            <v>11.404820000000001</v>
          </cell>
          <cell r="AM1561">
            <v>39804</v>
          </cell>
          <cell r="AO1561">
            <v>20.51632</v>
          </cell>
          <cell r="AT1561">
            <v>39804</v>
          </cell>
          <cell r="AV1561">
            <v>18.063230000000001</v>
          </cell>
          <cell r="BA1561">
            <v>39804</v>
          </cell>
          <cell r="BC1561">
            <v>16.626080000000002</v>
          </cell>
          <cell r="BH1561">
            <v>39804</v>
          </cell>
          <cell r="BJ1561">
            <v>12.419320000000001</v>
          </cell>
        </row>
        <row r="1562">
          <cell r="D1562">
            <v>39801</v>
          </cell>
          <cell r="F1562">
            <v>72.064419999999998</v>
          </cell>
          <cell r="K1562">
            <v>39801</v>
          </cell>
          <cell r="M1562">
            <v>14.734389999999999</v>
          </cell>
          <cell r="R1562">
            <v>39801</v>
          </cell>
          <cell r="T1562">
            <v>2.27</v>
          </cell>
          <cell r="Y1562">
            <v>39801</v>
          </cell>
          <cell r="AA1562">
            <v>51.56</v>
          </cell>
          <cell r="AF1562">
            <v>39801</v>
          </cell>
          <cell r="AH1562">
            <v>11.97147</v>
          </cell>
          <cell r="AM1562">
            <v>39801</v>
          </cell>
          <cell r="AO1562">
            <v>20.596800000000002</v>
          </cell>
          <cell r="AT1562">
            <v>39801</v>
          </cell>
          <cell r="AV1562">
            <v>17.970199999999998</v>
          </cell>
          <cell r="BA1562">
            <v>39801</v>
          </cell>
          <cell r="BC1562">
            <v>17.228269999999998</v>
          </cell>
          <cell r="BH1562">
            <v>39801</v>
          </cell>
          <cell r="BJ1562">
            <v>12.75163</v>
          </cell>
        </row>
        <row r="1563">
          <cell r="D1563">
            <v>39800</v>
          </cell>
          <cell r="F1563">
            <v>72.478579999999994</v>
          </cell>
          <cell r="K1563">
            <v>39800</v>
          </cell>
          <cell r="M1563">
            <v>14.7521</v>
          </cell>
          <cell r="R1563">
            <v>39800</v>
          </cell>
          <cell r="T1563">
            <v>2.23</v>
          </cell>
          <cell r="Y1563">
            <v>39800</v>
          </cell>
          <cell r="AA1563">
            <v>52.08</v>
          </cell>
          <cell r="AF1563">
            <v>39800</v>
          </cell>
          <cell r="AH1563">
            <v>11.89565</v>
          </cell>
          <cell r="AM1563">
            <v>39800</v>
          </cell>
          <cell r="AO1563">
            <v>20.417269999999998</v>
          </cell>
          <cell r="AT1563">
            <v>39800</v>
          </cell>
          <cell r="AV1563">
            <v>18.27355</v>
          </cell>
          <cell r="BA1563">
            <v>39800</v>
          </cell>
          <cell r="BC1563">
            <v>16.945989999999998</v>
          </cell>
          <cell r="BH1563">
            <v>39800</v>
          </cell>
          <cell r="BJ1563">
            <v>12.33431</v>
          </cell>
        </row>
        <row r="1564">
          <cell r="D1564">
            <v>39799</v>
          </cell>
          <cell r="F1564">
            <v>74.066209999999998</v>
          </cell>
          <cell r="K1564">
            <v>39799</v>
          </cell>
          <cell r="M1564">
            <v>14.911490000000001</v>
          </cell>
          <cell r="R1564">
            <v>39799</v>
          </cell>
          <cell r="T1564">
            <v>2.29</v>
          </cell>
          <cell r="Y1564">
            <v>39799</v>
          </cell>
          <cell r="AA1564">
            <v>53.18</v>
          </cell>
          <cell r="AF1564">
            <v>39799</v>
          </cell>
          <cell r="AH1564">
            <v>11.859730000000001</v>
          </cell>
          <cell r="AM1564">
            <v>39799</v>
          </cell>
          <cell r="AO1564">
            <v>20.367740000000001</v>
          </cell>
          <cell r="AT1564">
            <v>39799</v>
          </cell>
          <cell r="AV1564">
            <v>18.39489</v>
          </cell>
          <cell r="BA1564">
            <v>39799</v>
          </cell>
          <cell r="BC1564">
            <v>17.661090000000002</v>
          </cell>
          <cell r="BH1564">
            <v>39799</v>
          </cell>
          <cell r="BJ1564">
            <v>13.439450000000001</v>
          </cell>
        </row>
        <row r="1565">
          <cell r="D1565">
            <v>39798</v>
          </cell>
          <cell r="F1565">
            <v>74.549400000000006</v>
          </cell>
          <cell r="K1565">
            <v>39798</v>
          </cell>
          <cell r="M1565">
            <v>15.42507</v>
          </cell>
          <cell r="R1565">
            <v>39798</v>
          </cell>
          <cell r="T1565">
            <v>2.25</v>
          </cell>
          <cell r="Y1565">
            <v>39798</v>
          </cell>
          <cell r="AA1565">
            <v>52.63</v>
          </cell>
          <cell r="AF1565">
            <v>39798</v>
          </cell>
          <cell r="AH1565">
            <v>12.69375</v>
          </cell>
          <cell r="AM1565">
            <v>39798</v>
          </cell>
          <cell r="AO1565">
            <v>21.265409999999999</v>
          </cell>
          <cell r="AT1565">
            <v>39798</v>
          </cell>
          <cell r="AV1565">
            <v>18.791260000000001</v>
          </cell>
          <cell r="BA1565">
            <v>39798</v>
          </cell>
          <cell r="BC1565">
            <v>16.541399999999999</v>
          </cell>
          <cell r="BH1565">
            <v>39798</v>
          </cell>
          <cell r="BJ1565">
            <v>13.84904</v>
          </cell>
        </row>
        <row r="1566">
          <cell r="D1566">
            <v>39797</v>
          </cell>
          <cell r="F1566">
            <v>71.417289999999994</v>
          </cell>
          <cell r="K1566">
            <v>39797</v>
          </cell>
          <cell r="M1566">
            <v>14.911490000000001</v>
          </cell>
          <cell r="R1566">
            <v>39797</v>
          </cell>
          <cell r="T1566">
            <v>2.21</v>
          </cell>
          <cell r="Y1566">
            <v>39797</v>
          </cell>
          <cell r="AA1566">
            <v>48.85</v>
          </cell>
          <cell r="AF1566">
            <v>39797</v>
          </cell>
          <cell r="AH1566">
            <v>12.603300000000001</v>
          </cell>
          <cell r="AM1566">
            <v>39797</v>
          </cell>
          <cell r="AO1566">
            <v>19.451499999999999</v>
          </cell>
          <cell r="AT1566">
            <v>39797</v>
          </cell>
          <cell r="AV1566">
            <v>18.188610000000001</v>
          </cell>
          <cell r="BA1566">
            <v>39797</v>
          </cell>
          <cell r="BC1566">
            <v>14.78187</v>
          </cell>
          <cell r="BH1566">
            <v>39797</v>
          </cell>
          <cell r="BJ1566">
            <v>13.099399999999999</v>
          </cell>
        </row>
        <row r="1567">
          <cell r="D1567">
            <v>39794</v>
          </cell>
          <cell r="F1567">
            <v>70.925470000000004</v>
          </cell>
          <cell r="K1567">
            <v>39794</v>
          </cell>
          <cell r="M1567">
            <v>15.044309999999999</v>
          </cell>
          <cell r="R1567">
            <v>39794</v>
          </cell>
          <cell r="T1567">
            <v>2.2799999999999998</v>
          </cell>
          <cell r="Y1567">
            <v>39794</v>
          </cell>
          <cell r="AA1567">
            <v>51.25</v>
          </cell>
          <cell r="AF1567">
            <v>39794</v>
          </cell>
          <cell r="AH1567">
            <v>13.07151</v>
          </cell>
          <cell r="AM1567">
            <v>39794</v>
          </cell>
          <cell r="AO1567">
            <v>20.144870000000001</v>
          </cell>
          <cell r="AT1567">
            <v>39794</v>
          </cell>
          <cell r="AV1567">
            <v>18.02683</v>
          </cell>
          <cell r="BA1567">
            <v>39794</v>
          </cell>
          <cell r="BC1567">
            <v>15.073560000000001</v>
          </cell>
          <cell r="BH1567">
            <v>39794</v>
          </cell>
          <cell r="BJ1567">
            <v>13.22306</v>
          </cell>
        </row>
        <row r="1568">
          <cell r="D1568">
            <v>39793</v>
          </cell>
          <cell r="F1568">
            <v>69.527670000000001</v>
          </cell>
          <cell r="K1568">
            <v>39793</v>
          </cell>
          <cell r="M1568">
            <v>14.973470000000001</v>
          </cell>
          <cell r="R1568">
            <v>39793</v>
          </cell>
          <cell r="T1568">
            <v>2.2000000000000002</v>
          </cell>
          <cell r="Y1568">
            <v>39793</v>
          </cell>
          <cell r="AA1568">
            <v>48.25</v>
          </cell>
          <cell r="AF1568">
            <v>39793</v>
          </cell>
          <cell r="AH1568">
            <v>12.63655</v>
          </cell>
          <cell r="AM1568">
            <v>39793</v>
          </cell>
          <cell r="AO1568">
            <v>20.144870000000001</v>
          </cell>
          <cell r="AT1568">
            <v>39793</v>
          </cell>
          <cell r="AV1568">
            <v>17.885259999999999</v>
          </cell>
          <cell r="BA1568">
            <v>39793</v>
          </cell>
          <cell r="BC1568">
            <v>14.038550000000001</v>
          </cell>
          <cell r="BH1568">
            <v>39793</v>
          </cell>
          <cell r="BJ1568">
            <v>13.176690000000001</v>
          </cell>
        </row>
        <row r="1569">
          <cell r="D1569">
            <v>39792</v>
          </cell>
          <cell r="F1569">
            <v>71.494950000000003</v>
          </cell>
          <cell r="K1569">
            <v>39792</v>
          </cell>
          <cell r="M1569">
            <v>15.345370000000001</v>
          </cell>
          <cell r="R1569">
            <v>39792</v>
          </cell>
          <cell r="T1569">
            <v>2.2000000000000002</v>
          </cell>
          <cell r="Y1569">
            <v>39792</v>
          </cell>
          <cell r="AA1569">
            <v>49.7</v>
          </cell>
          <cell r="AF1569">
            <v>39792</v>
          </cell>
          <cell r="AH1569">
            <v>13.06353</v>
          </cell>
          <cell r="AM1569">
            <v>39792</v>
          </cell>
          <cell r="AO1569">
            <v>19.655799999999999</v>
          </cell>
          <cell r="AT1569">
            <v>39792</v>
          </cell>
          <cell r="AV1569">
            <v>18.326129999999999</v>
          </cell>
          <cell r="BA1569">
            <v>39792</v>
          </cell>
          <cell r="BC1569">
            <v>14.894780000000001</v>
          </cell>
          <cell r="BH1569">
            <v>39792</v>
          </cell>
          <cell r="BJ1569">
            <v>13.910869999999999</v>
          </cell>
        </row>
        <row r="1570">
          <cell r="D1570">
            <v>39791</v>
          </cell>
          <cell r="F1570">
            <v>71.348259999999996</v>
          </cell>
          <cell r="K1570">
            <v>39791</v>
          </cell>
          <cell r="M1570">
            <v>15.194839999999999</v>
          </cell>
          <cell r="R1570">
            <v>39791</v>
          </cell>
          <cell r="T1570">
            <v>2.27</v>
          </cell>
          <cell r="Y1570">
            <v>39791</v>
          </cell>
          <cell r="AA1570">
            <v>51.25</v>
          </cell>
          <cell r="AF1570">
            <v>39791</v>
          </cell>
          <cell r="AH1570">
            <v>13.309609999999999</v>
          </cell>
          <cell r="AM1570">
            <v>39791</v>
          </cell>
          <cell r="AO1570">
            <v>19.69294</v>
          </cell>
          <cell r="AT1570">
            <v>39791</v>
          </cell>
          <cell r="AV1570">
            <v>18.131989999999998</v>
          </cell>
          <cell r="BA1570">
            <v>39791</v>
          </cell>
          <cell r="BC1570">
            <v>14.15146</v>
          </cell>
          <cell r="BH1570">
            <v>39791</v>
          </cell>
          <cell r="BJ1570">
            <v>13.74085</v>
          </cell>
        </row>
        <row r="1571">
          <cell r="D1571">
            <v>39790</v>
          </cell>
          <cell r="F1571">
            <v>73.22063</v>
          </cell>
          <cell r="K1571">
            <v>39790</v>
          </cell>
          <cell r="M1571">
            <v>15.27453</v>
          </cell>
          <cell r="R1571">
            <v>39790</v>
          </cell>
          <cell r="T1571">
            <v>2.1</v>
          </cell>
          <cell r="Y1571">
            <v>39790</v>
          </cell>
          <cell r="AA1571">
            <v>51.41</v>
          </cell>
          <cell r="AF1571">
            <v>39790</v>
          </cell>
          <cell r="AH1571">
            <v>13.264390000000001</v>
          </cell>
          <cell r="AM1571">
            <v>39790</v>
          </cell>
          <cell r="AO1571">
            <v>19.439119999999999</v>
          </cell>
          <cell r="AT1571">
            <v>39790</v>
          </cell>
          <cell r="AV1571">
            <v>18.59712</v>
          </cell>
          <cell r="BA1571">
            <v>39790</v>
          </cell>
          <cell r="BC1571">
            <v>15.22411</v>
          </cell>
          <cell r="BH1571">
            <v>39790</v>
          </cell>
          <cell r="BJ1571">
            <v>14.590960000000001</v>
          </cell>
        </row>
        <row r="1572">
          <cell r="D1572">
            <v>39787</v>
          </cell>
          <cell r="F1572">
            <v>69.536299999999997</v>
          </cell>
          <cell r="K1572">
            <v>39787</v>
          </cell>
          <cell r="M1572">
            <v>14.114560000000001</v>
          </cell>
          <cell r="R1572">
            <v>39787</v>
          </cell>
          <cell r="T1572">
            <v>2.13</v>
          </cell>
          <cell r="Y1572">
            <v>39787</v>
          </cell>
          <cell r="AA1572">
            <v>48.26</v>
          </cell>
          <cell r="AF1572">
            <v>39787</v>
          </cell>
          <cell r="AH1572">
            <v>12.50353</v>
          </cell>
          <cell r="AM1572">
            <v>39787</v>
          </cell>
          <cell r="AO1572">
            <v>19.408169999999998</v>
          </cell>
          <cell r="AT1572">
            <v>39787</v>
          </cell>
          <cell r="AV1572">
            <v>18.59712</v>
          </cell>
          <cell r="BA1572">
            <v>39787</v>
          </cell>
          <cell r="BC1572">
            <v>14.057359999999999</v>
          </cell>
          <cell r="BH1572">
            <v>39787</v>
          </cell>
          <cell r="BJ1572">
            <v>13.79495</v>
          </cell>
        </row>
        <row r="1573">
          <cell r="D1573">
            <v>39786</v>
          </cell>
          <cell r="F1573">
            <v>66.818349999999995</v>
          </cell>
          <cell r="K1573">
            <v>39786</v>
          </cell>
          <cell r="M1573">
            <v>13.57441</v>
          </cell>
          <cell r="R1573">
            <v>39786</v>
          </cell>
          <cell r="T1573">
            <v>2.08</v>
          </cell>
          <cell r="Y1573">
            <v>39786</v>
          </cell>
          <cell r="AA1573">
            <v>47.32</v>
          </cell>
          <cell r="AF1573">
            <v>39786</v>
          </cell>
          <cell r="AH1573">
            <v>12.15902</v>
          </cell>
          <cell r="AM1573">
            <v>39786</v>
          </cell>
          <cell r="AO1573">
            <v>19.06148</v>
          </cell>
          <cell r="AT1573">
            <v>39786</v>
          </cell>
          <cell r="AV1573">
            <v>18.099630000000001</v>
          </cell>
          <cell r="BA1573">
            <v>39786</v>
          </cell>
          <cell r="BC1573">
            <v>12.994120000000001</v>
          </cell>
          <cell r="BH1573">
            <v>39786</v>
          </cell>
          <cell r="BJ1573">
            <v>13.5631</v>
          </cell>
        </row>
        <row r="1574">
          <cell r="D1574">
            <v>39785</v>
          </cell>
          <cell r="F1574">
            <v>69.605329999999995</v>
          </cell>
          <cell r="K1574">
            <v>39785</v>
          </cell>
          <cell r="M1574">
            <v>14.176539999999999</v>
          </cell>
          <cell r="R1574">
            <v>39785</v>
          </cell>
          <cell r="T1574">
            <v>2.2000000000000002</v>
          </cell>
          <cell r="Y1574">
            <v>39785</v>
          </cell>
          <cell r="AA1574">
            <v>45.21</v>
          </cell>
          <cell r="AF1574">
            <v>39785</v>
          </cell>
          <cell r="AH1574">
            <v>12.756270000000001</v>
          </cell>
          <cell r="AM1574">
            <v>39785</v>
          </cell>
          <cell r="AO1574">
            <v>19.531980000000001</v>
          </cell>
          <cell r="AT1574">
            <v>39785</v>
          </cell>
          <cell r="AV1574">
            <v>18.661829999999998</v>
          </cell>
          <cell r="BA1574">
            <v>39785</v>
          </cell>
          <cell r="BC1574">
            <v>13.596310000000001</v>
          </cell>
          <cell r="BH1574">
            <v>39785</v>
          </cell>
          <cell r="BJ1574">
            <v>14.011340000000001</v>
          </cell>
        </row>
        <row r="1575">
          <cell r="D1575">
            <v>39784</v>
          </cell>
          <cell r="F1575">
            <v>68.889169999999993</v>
          </cell>
          <cell r="K1575">
            <v>39784</v>
          </cell>
          <cell r="M1575">
            <v>13.56556</v>
          </cell>
          <cell r="R1575">
            <v>39784</v>
          </cell>
          <cell r="T1575">
            <v>2.0299999999999998</v>
          </cell>
          <cell r="Y1575">
            <v>39784</v>
          </cell>
          <cell r="AA1575">
            <v>41.19</v>
          </cell>
          <cell r="AF1575">
            <v>39784</v>
          </cell>
          <cell r="AH1575">
            <v>12.30002</v>
          </cell>
          <cell r="AM1575">
            <v>39784</v>
          </cell>
          <cell r="AO1575">
            <v>19.872479999999999</v>
          </cell>
          <cell r="AT1575">
            <v>39784</v>
          </cell>
          <cell r="AV1575">
            <v>17.767969999999998</v>
          </cell>
          <cell r="BA1575">
            <v>39784</v>
          </cell>
          <cell r="BC1575">
            <v>13.10703</v>
          </cell>
          <cell r="BH1575">
            <v>39784</v>
          </cell>
          <cell r="BJ1575">
            <v>13.60947</v>
          </cell>
        </row>
        <row r="1576">
          <cell r="D1576">
            <v>39783</v>
          </cell>
          <cell r="F1576">
            <v>66.352419999999995</v>
          </cell>
          <cell r="K1576">
            <v>39783</v>
          </cell>
          <cell r="M1576">
            <v>13.246790000000001</v>
          </cell>
          <cell r="R1576">
            <v>39783</v>
          </cell>
          <cell r="T1576">
            <v>2</v>
          </cell>
          <cell r="Y1576">
            <v>39783</v>
          </cell>
          <cell r="AA1576">
            <v>40.47</v>
          </cell>
          <cell r="AF1576">
            <v>39783</v>
          </cell>
          <cell r="AH1576">
            <v>11.829140000000001</v>
          </cell>
          <cell r="AM1576">
            <v>39783</v>
          </cell>
          <cell r="AO1576">
            <v>19.371020000000001</v>
          </cell>
          <cell r="AT1576">
            <v>39783</v>
          </cell>
          <cell r="AV1576">
            <v>17.929760000000002</v>
          </cell>
          <cell r="BA1576">
            <v>39783</v>
          </cell>
          <cell r="BC1576">
            <v>12.156700000000001</v>
          </cell>
          <cell r="BH1576">
            <v>39783</v>
          </cell>
          <cell r="BJ1576">
            <v>11.978809999999999</v>
          </cell>
        </row>
        <row r="1577">
          <cell r="D1577">
            <v>39780</v>
          </cell>
          <cell r="F1577">
            <v>70.407769999999999</v>
          </cell>
          <cell r="K1577">
            <v>39780</v>
          </cell>
          <cell r="M1577">
            <v>14.64584</v>
          </cell>
          <cell r="R1577">
            <v>39780</v>
          </cell>
          <cell r="T1577">
            <v>2.36</v>
          </cell>
          <cell r="Y1577">
            <v>39780</v>
          </cell>
          <cell r="AA1577">
            <v>42.7</v>
          </cell>
          <cell r="AF1577">
            <v>39780</v>
          </cell>
          <cell r="AH1577">
            <v>12.32662</v>
          </cell>
          <cell r="AM1577">
            <v>39780</v>
          </cell>
          <cell r="AO1577">
            <v>20.132490000000001</v>
          </cell>
          <cell r="AT1577">
            <v>39780</v>
          </cell>
          <cell r="AV1577">
            <v>18.957090000000001</v>
          </cell>
          <cell r="BA1577">
            <v>39780</v>
          </cell>
          <cell r="BC1577">
            <v>14.960649999999999</v>
          </cell>
          <cell r="BH1577">
            <v>39780</v>
          </cell>
          <cell r="BJ1577">
            <v>13.26942</v>
          </cell>
        </row>
        <row r="1578">
          <cell r="D1578">
            <v>39778</v>
          </cell>
          <cell r="F1578">
            <v>70.468170000000001</v>
          </cell>
          <cell r="K1578">
            <v>39778</v>
          </cell>
          <cell r="M1578">
            <v>14.513019999999999</v>
          </cell>
          <cell r="R1578">
            <v>39778</v>
          </cell>
          <cell r="T1578">
            <v>2.13</v>
          </cell>
          <cell r="Y1578">
            <v>39778</v>
          </cell>
          <cell r="AA1578">
            <v>43.96</v>
          </cell>
          <cell r="AF1578">
            <v>39778</v>
          </cell>
          <cell r="AH1578">
            <v>12.63655</v>
          </cell>
          <cell r="AM1578">
            <v>39778</v>
          </cell>
          <cell r="AO1578">
            <v>19.785799999999998</v>
          </cell>
          <cell r="AT1578">
            <v>39778</v>
          </cell>
          <cell r="AV1578">
            <v>18.35444</v>
          </cell>
          <cell r="BA1578">
            <v>39778</v>
          </cell>
          <cell r="BC1578">
            <v>14.339639999999999</v>
          </cell>
          <cell r="BH1578">
            <v>39778</v>
          </cell>
          <cell r="BJ1578">
            <v>12.51206</v>
          </cell>
        </row>
        <row r="1579">
          <cell r="D1579">
            <v>39777</v>
          </cell>
          <cell r="F1579">
            <v>69.588070000000002</v>
          </cell>
          <cell r="K1579">
            <v>39777</v>
          </cell>
          <cell r="M1579">
            <v>13.654109999999999</v>
          </cell>
          <cell r="R1579">
            <v>39777</v>
          </cell>
          <cell r="T1579">
            <v>1.8</v>
          </cell>
          <cell r="Y1579">
            <v>39777</v>
          </cell>
          <cell r="AA1579">
            <v>42.19</v>
          </cell>
          <cell r="AF1579">
            <v>39777</v>
          </cell>
          <cell r="AH1579">
            <v>12.07788</v>
          </cell>
          <cell r="AM1579">
            <v>39777</v>
          </cell>
          <cell r="AO1579">
            <v>19.371020000000001</v>
          </cell>
          <cell r="AT1579">
            <v>39777</v>
          </cell>
          <cell r="AV1579">
            <v>18.07536</v>
          </cell>
          <cell r="BA1579">
            <v>39777</v>
          </cell>
          <cell r="BC1579">
            <v>13.19172</v>
          </cell>
          <cell r="BH1579">
            <v>39777</v>
          </cell>
          <cell r="BJ1579">
            <v>12.187469999999999</v>
          </cell>
        </row>
        <row r="1580">
          <cell r="D1580">
            <v>39776</v>
          </cell>
          <cell r="F1580">
            <v>68.932310000000001</v>
          </cell>
          <cell r="K1580">
            <v>39776</v>
          </cell>
          <cell r="M1580">
            <v>14.521879999999999</v>
          </cell>
          <cell r="R1580">
            <v>39776</v>
          </cell>
          <cell r="T1580">
            <v>1.86</v>
          </cell>
          <cell r="Y1580">
            <v>39776</v>
          </cell>
          <cell r="AA1580">
            <v>42.5</v>
          </cell>
          <cell r="AF1580">
            <v>39776</v>
          </cell>
          <cell r="AH1580">
            <v>12.36387</v>
          </cell>
          <cell r="AM1580">
            <v>39776</v>
          </cell>
          <cell r="AO1580">
            <v>19.69294</v>
          </cell>
          <cell r="AT1580">
            <v>39776</v>
          </cell>
          <cell r="AV1580">
            <v>18.139530000000001</v>
          </cell>
          <cell r="BA1580">
            <v>39776</v>
          </cell>
          <cell r="BC1580">
            <v>12.50484</v>
          </cell>
          <cell r="BH1580">
            <v>39776</v>
          </cell>
          <cell r="BJ1580">
            <v>11.793329999999999</v>
          </cell>
        </row>
        <row r="1581">
          <cell r="D1581">
            <v>39773</v>
          </cell>
          <cell r="F1581">
            <v>64.609480000000005</v>
          </cell>
          <cell r="K1581">
            <v>39773</v>
          </cell>
          <cell r="M1581">
            <v>13.432740000000001</v>
          </cell>
          <cell r="R1581">
            <v>39773</v>
          </cell>
          <cell r="T1581">
            <v>1.82</v>
          </cell>
          <cell r="Y1581">
            <v>39773</v>
          </cell>
          <cell r="AA1581">
            <v>37.869999999999997</v>
          </cell>
          <cell r="AF1581">
            <v>39773</v>
          </cell>
          <cell r="AH1581">
            <v>10.984489999999999</v>
          </cell>
          <cell r="AM1581">
            <v>39773</v>
          </cell>
          <cell r="AO1581">
            <v>18.7148</v>
          </cell>
          <cell r="AT1581">
            <v>39773</v>
          </cell>
          <cell r="AV1581">
            <v>17.646239999999999</v>
          </cell>
          <cell r="BA1581">
            <v>39773</v>
          </cell>
          <cell r="BC1581">
            <v>11.20637</v>
          </cell>
          <cell r="BH1581">
            <v>39773</v>
          </cell>
          <cell r="BJ1581">
            <v>10.842750000000001</v>
          </cell>
        </row>
        <row r="1582">
          <cell r="D1582">
            <v>39772</v>
          </cell>
          <cell r="F1582">
            <v>61.90016</v>
          </cell>
          <cell r="K1582">
            <v>39772</v>
          </cell>
          <cell r="M1582">
            <v>12.812900000000001</v>
          </cell>
          <cell r="R1582">
            <v>39772</v>
          </cell>
          <cell r="T1582">
            <v>1.91</v>
          </cell>
          <cell r="Y1582">
            <v>39772</v>
          </cell>
          <cell r="AA1582">
            <v>35.03</v>
          </cell>
          <cell r="AF1582">
            <v>39772</v>
          </cell>
          <cell r="AH1582">
            <v>10.706480000000001</v>
          </cell>
          <cell r="AM1582">
            <v>39772</v>
          </cell>
          <cell r="AO1582">
            <v>17.569500000000001</v>
          </cell>
          <cell r="AT1582">
            <v>39772</v>
          </cell>
          <cell r="AV1582">
            <v>16.471160000000001</v>
          </cell>
          <cell r="BA1582">
            <v>39772</v>
          </cell>
          <cell r="BC1582">
            <v>10.961729999999999</v>
          </cell>
          <cell r="BH1582">
            <v>39772</v>
          </cell>
          <cell r="BJ1582">
            <v>9.9230900000000002</v>
          </cell>
        </row>
        <row r="1583">
          <cell r="D1583">
            <v>39771</v>
          </cell>
          <cell r="F1583">
            <v>65.549980000000005</v>
          </cell>
          <cell r="K1583">
            <v>39771</v>
          </cell>
          <cell r="M1583">
            <v>13.35304</v>
          </cell>
          <cell r="R1583">
            <v>39771</v>
          </cell>
          <cell r="T1583">
            <v>2.12</v>
          </cell>
          <cell r="Y1583">
            <v>39771</v>
          </cell>
          <cell r="AA1583">
            <v>35.840000000000003</v>
          </cell>
          <cell r="AF1583">
            <v>39771</v>
          </cell>
          <cell r="AH1583">
            <v>11.477980000000001</v>
          </cell>
          <cell r="AM1583">
            <v>39771</v>
          </cell>
          <cell r="AO1583">
            <v>19.761040000000001</v>
          </cell>
          <cell r="AT1583">
            <v>39771</v>
          </cell>
          <cell r="AV1583">
            <v>16.95242</v>
          </cell>
          <cell r="BA1583">
            <v>39771</v>
          </cell>
          <cell r="BC1583">
            <v>12.42957</v>
          </cell>
          <cell r="BH1583">
            <v>39771</v>
          </cell>
          <cell r="BJ1583">
            <v>11.167339999999999</v>
          </cell>
        </row>
        <row r="1584">
          <cell r="D1584">
            <v>39770</v>
          </cell>
          <cell r="F1584">
            <v>69.096249999999998</v>
          </cell>
          <cell r="K1584">
            <v>39770</v>
          </cell>
          <cell r="M1584">
            <v>14.56615</v>
          </cell>
          <cell r="R1584">
            <v>39770</v>
          </cell>
          <cell r="T1584">
            <v>2.5</v>
          </cell>
          <cell r="Y1584">
            <v>39770</v>
          </cell>
          <cell r="AA1584">
            <v>38.44</v>
          </cell>
          <cell r="AF1584">
            <v>39770</v>
          </cell>
          <cell r="AH1584">
            <v>11.9595</v>
          </cell>
          <cell r="AM1584">
            <v>39770</v>
          </cell>
          <cell r="AO1584">
            <v>21.07349</v>
          </cell>
          <cell r="AT1584">
            <v>39770</v>
          </cell>
          <cell r="AV1584">
            <v>17.441700000000001</v>
          </cell>
          <cell r="BA1584">
            <v>39770</v>
          </cell>
          <cell r="BC1584">
            <v>13.953860000000001</v>
          </cell>
          <cell r="BH1584">
            <v>39770</v>
          </cell>
          <cell r="BJ1584">
            <v>12.41159</v>
          </cell>
        </row>
        <row r="1585">
          <cell r="D1585">
            <v>39769</v>
          </cell>
          <cell r="F1585">
            <v>66.852860000000007</v>
          </cell>
          <cell r="K1585">
            <v>39769</v>
          </cell>
          <cell r="M1585">
            <v>14.35364</v>
          </cell>
          <cell r="R1585">
            <v>39769</v>
          </cell>
          <cell r="T1585">
            <v>2.5</v>
          </cell>
          <cell r="Y1585">
            <v>39769</v>
          </cell>
          <cell r="AA1585">
            <v>39.69</v>
          </cell>
          <cell r="AF1585">
            <v>39769</v>
          </cell>
          <cell r="AH1585">
            <v>11.72406</v>
          </cell>
          <cell r="AM1585">
            <v>39769</v>
          </cell>
          <cell r="AO1585">
            <v>21.556370000000001</v>
          </cell>
          <cell r="AT1585">
            <v>39769</v>
          </cell>
          <cell r="AV1585">
            <v>17.634209999999999</v>
          </cell>
          <cell r="BA1585">
            <v>39769</v>
          </cell>
          <cell r="BC1585">
            <v>14.72542</v>
          </cell>
          <cell r="BH1585">
            <v>39769</v>
          </cell>
          <cell r="BJ1585">
            <v>12.450229999999999</v>
          </cell>
        </row>
        <row r="1586">
          <cell r="D1586">
            <v>39766</v>
          </cell>
          <cell r="F1586">
            <v>69.311959999999999</v>
          </cell>
          <cell r="K1586">
            <v>39766</v>
          </cell>
          <cell r="M1586">
            <v>14.71668</v>
          </cell>
          <cell r="R1586">
            <v>39766</v>
          </cell>
          <cell r="T1586">
            <v>2.4300000000000002</v>
          </cell>
          <cell r="Y1586">
            <v>39766</v>
          </cell>
          <cell r="AA1586">
            <v>41.75</v>
          </cell>
          <cell r="AF1586">
            <v>39766</v>
          </cell>
          <cell r="AH1586">
            <v>12.00339</v>
          </cell>
          <cell r="AM1586">
            <v>39766</v>
          </cell>
          <cell r="AO1586">
            <v>22.342610000000001</v>
          </cell>
          <cell r="AT1586">
            <v>39766</v>
          </cell>
          <cell r="AV1586">
            <v>18.055309999999999</v>
          </cell>
          <cell r="BA1586">
            <v>39766</v>
          </cell>
          <cell r="BC1586">
            <v>14.556050000000001</v>
          </cell>
          <cell r="BH1586">
            <v>39766</v>
          </cell>
          <cell r="BJ1586">
            <v>12.38067</v>
          </cell>
        </row>
        <row r="1587">
          <cell r="D1587">
            <v>39765</v>
          </cell>
          <cell r="F1587">
            <v>72.659779999999998</v>
          </cell>
          <cell r="K1587">
            <v>39765</v>
          </cell>
          <cell r="M1587">
            <v>15.283390000000001</v>
          </cell>
          <cell r="R1587">
            <v>39765</v>
          </cell>
          <cell r="T1587">
            <v>2.7</v>
          </cell>
          <cell r="Y1587">
            <v>39765</v>
          </cell>
          <cell r="AA1587">
            <v>44.93</v>
          </cell>
          <cell r="AF1587">
            <v>39765</v>
          </cell>
          <cell r="AH1587">
            <v>12.82809</v>
          </cell>
          <cell r="AM1587">
            <v>39765</v>
          </cell>
          <cell r="AO1587">
            <v>23.066929999999999</v>
          </cell>
          <cell r="AT1587">
            <v>39765</v>
          </cell>
          <cell r="AV1587">
            <v>18.56063</v>
          </cell>
          <cell r="BA1587">
            <v>39765</v>
          </cell>
          <cell r="BC1587">
            <v>16.10857</v>
          </cell>
          <cell r="BH1587">
            <v>39765</v>
          </cell>
          <cell r="BJ1587">
            <v>13.02985</v>
          </cell>
        </row>
        <row r="1588">
          <cell r="D1588">
            <v>39764</v>
          </cell>
          <cell r="F1588">
            <v>68.802880000000002</v>
          </cell>
          <cell r="K1588">
            <v>39764</v>
          </cell>
          <cell r="M1588">
            <v>14.6547</v>
          </cell>
          <cell r="R1588">
            <v>39764</v>
          </cell>
          <cell r="T1588">
            <v>2.57</v>
          </cell>
          <cell r="Y1588">
            <v>39764</v>
          </cell>
          <cell r="AA1588">
            <v>41.56</v>
          </cell>
          <cell r="AF1588">
            <v>39764</v>
          </cell>
          <cell r="AH1588">
            <v>11.98743</v>
          </cell>
          <cell r="AM1588">
            <v>39764</v>
          </cell>
          <cell r="AO1588">
            <v>22.998830000000002</v>
          </cell>
          <cell r="AT1588">
            <v>39764</v>
          </cell>
          <cell r="AV1588">
            <v>17.578060000000001</v>
          </cell>
          <cell r="BA1588">
            <v>39764</v>
          </cell>
          <cell r="BC1588">
            <v>14.82892</v>
          </cell>
          <cell r="BH1588">
            <v>39764</v>
          </cell>
          <cell r="BJ1588">
            <v>12.58934</v>
          </cell>
        </row>
        <row r="1589">
          <cell r="D1589">
            <v>39763</v>
          </cell>
          <cell r="F1589">
            <v>71.391400000000004</v>
          </cell>
          <cell r="K1589">
            <v>39763</v>
          </cell>
          <cell r="M1589">
            <v>15.21255</v>
          </cell>
          <cell r="R1589">
            <v>39763</v>
          </cell>
          <cell r="T1589">
            <v>2.96</v>
          </cell>
          <cell r="Y1589">
            <v>39763</v>
          </cell>
          <cell r="AA1589">
            <v>46.3</v>
          </cell>
          <cell r="AF1589">
            <v>39763</v>
          </cell>
          <cell r="AH1589">
            <v>12.60596</v>
          </cell>
          <cell r="AM1589">
            <v>39763</v>
          </cell>
          <cell r="AO1589">
            <v>24.32985</v>
          </cell>
          <cell r="AT1589">
            <v>39763</v>
          </cell>
          <cell r="AV1589">
            <v>17.822700000000001</v>
          </cell>
          <cell r="BA1589">
            <v>39763</v>
          </cell>
          <cell r="BC1589">
            <v>17.011859999999999</v>
          </cell>
          <cell r="BH1589">
            <v>39763</v>
          </cell>
          <cell r="BJ1589">
            <v>13.76403</v>
          </cell>
        </row>
        <row r="1590">
          <cell r="D1590">
            <v>39762</v>
          </cell>
          <cell r="F1590">
            <v>72.366410000000002</v>
          </cell>
          <cell r="K1590">
            <v>39762</v>
          </cell>
          <cell r="M1590">
            <v>15.55789</v>
          </cell>
          <cell r="R1590">
            <v>39762</v>
          </cell>
          <cell r="T1590">
            <v>3.04</v>
          </cell>
          <cell r="Y1590">
            <v>39762</v>
          </cell>
          <cell r="AA1590">
            <v>48.46</v>
          </cell>
          <cell r="AF1590">
            <v>39762</v>
          </cell>
          <cell r="AH1590">
            <v>12.7536</v>
          </cell>
          <cell r="AM1590">
            <v>39762</v>
          </cell>
          <cell r="AO1590">
            <v>25.10989</v>
          </cell>
          <cell r="AT1590">
            <v>39762</v>
          </cell>
          <cell r="AV1590">
            <v>18.40823</v>
          </cell>
          <cell r="BA1590">
            <v>39762</v>
          </cell>
          <cell r="BC1590">
            <v>17.218859999999999</v>
          </cell>
          <cell r="BH1590">
            <v>39762</v>
          </cell>
          <cell r="BJ1590">
            <v>14.25864</v>
          </cell>
        </row>
        <row r="1591">
          <cell r="D1591">
            <v>39759</v>
          </cell>
          <cell r="F1591">
            <v>74.43723</v>
          </cell>
          <cell r="K1591">
            <v>39759</v>
          </cell>
          <cell r="M1591">
            <v>15.566739999999999</v>
          </cell>
          <cell r="R1591">
            <v>39759</v>
          </cell>
          <cell r="T1591">
            <v>3.16</v>
          </cell>
          <cell r="Y1591">
            <v>39759</v>
          </cell>
          <cell r="AA1591">
            <v>49.21</v>
          </cell>
          <cell r="AF1591">
            <v>39759</v>
          </cell>
          <cell r="AH1591">
            <v>13.06752</v>
          </cell>
          <cell r="AM1591">
            <v>39759</v>
          </cell>
          <cell r="AO1591">
            <v>24.68892</v>
          </cell>
          <cell r="AT1591">
            <v>39759</v>
          </cell>
          <cell r="AV1591">
            <v>18.5486</v>
          </cell>
          <cell r="BA1591">
            <v>39759</v>
          </cell>
          <cell r="BC1591">
            <v>17.64227</v>
          </cell>
          <cell r="BH1591">
            <v>39759</v>
          </cell>
          <cell r="BJ1591">
            <v>14.5755</v>
          </cell>
        </row>
        <row r="1592">
          <cell r="D1592">
            <v>39758</v>
          </cell>
          <cell r="F1592">
            <v>73.470849999999999</v>
          </cell>
          <cell r="K1592">
            <v>39758</v>
          </cell>
          <cell r="M1592">
            <v>15.00004</v>
          </cell>
          <cell r="R1592">
            <v>39758</v>
          </cell>
          <cell r="T1592">
            <v>3.17</v>
          </cell>
          <cell r="Y1592">
            <v>39758</v>
          </cell>
          <cell r="AA1592">
            <v>47.22</v>
          </cell>
          <cell r="AF1592">
            <v>39758</v>
          </cell>
          <cell r="AH1592">
            <v>13.18192</v>
          </cell>
          <cell r="AM1592">
            <v>39758</v>
          </cell>
          <cell r="AO1592">
            <v>23.797440000000002</v>
          </cell>
          <cell r="AT1592">
            <v>39758</v>
          </cell>
          <cell r="AV1592">
            <v>17.842749999999999</v>
          </cell>
          <cell r="BA1592">
            <v>39758</v>
          </cell>
          <cell r="BC1592">
            <v>16.908359999999998</v>
          </cell>
          <cell r="BH1592">
            <v>39758</v>
          </cell>
          <cell r="BJ1592">
            <v>14.173629999999999</v>
          </cell>
        </row>
        <row r="1593">
          <cell r="D1593">
            <v>39757</v>
          </cell>
          <cell r="F1593">
            <v>77.172430000000006</v>
          </cell>
          <cell r="K1593">
            <v>39757</v>
          </cell>
          <cell r="M1593">
            <v>15.3985</v>
          </cell>
          <cell r="R1593">
            <v>39757</v>
          </cell>
          <cell r="T1593">
            <v>3.55</v>
          </cell>
          <cell r="Y1593">
            <v>39757</v>
          </cell>
          <cell r="AA1593">
            <v>51.98</v>
          </cell>
          <cell r="AF1593">
            <v>39757</v>
          </cell>
          <cell r="AH1593">
            <v>13.740589999999999</v>
          </cell>
          <cell r="AM1593">
            <v>39757</v>
          </cell>
          <cell r="AO1593">
            <v>24.34843</v>
          </cell>
          <cell r="AT1593">
            <v>39757</v>
          </cell>
          <cell r="AV1593">
            <v>17.939</v>
          </cell>
          <cell r="BA1593">
            <v>39757</v>
          </cell>
          <cell r="BC1593">
            <v>18.46088</v>
          </cell>
          <cell r="BH1593">
            <v>39757</v>
          </cell>
          <cell r="BJ1593">
            <v>15.402419999999999</v>
          </cell>
        </row>
        <row r="1594">
          <cell r="D1594">
            <v>39756</v>
          </cell>
          <cell r="F1594">
            <v>80.141260000000003</v>
          </cell>
          <cell r="K1594">
            <v>39756</v>
          </cell>
          <cell r="M1594">
            <v>16.23085</v>
          </cell>
          <cell r="R1594">
            <v>39756</v>
          </cell>
          <cell r="T1594">
            <v>3.8</v>
          </cell>
          <cell r="Y1594">
            <v>39756</v>
          </cell>
          <cell r="AA1594">
            <v>58.45</v>
          </cell>
          <cell r="AF1594">
            <v>39756</v>
          </cell>
          <cell r="AH1594">
            <v>14.763479999999999</v>
          </cell>
          <cell r="AM1594">
            <v>39756</v>
          </cell>
          <cell r="AO1594">
            <v>24.781780000000001</v>
          </cell>
          <cell r="AT1594">
            <v>39756</v>
          </cell>
          <cell r="AV1594">
            <v>18.460370000000001</v>
          </cell>
          <cell r="BA1594">
            <v>39756</v>
          </cell>
          <cell r="BC1594">
            <v>20.09808</v>
          </cell>
          <cell r="BH1594">
            <v>39756</v>
          </cell>
          <cell r="BJ1594">
            <v>16.051600000000001</v>
          </cell>
        </row>
        <row r="1595">
          <cell r="D1595">
            <v>39755</v>
          </cell>
          <cell r="F1595">
            <v>79.523470000000003</v>
          </cell>
          <cell r="K1595">
            <v>39755</v>
          </cell>
          <cell r="M1595">
            <v>15.230259999999999</v>
          </cell>
          <cell r="R1595">
            <v>39755</v>
          </cell>
          <cell r="T1595">
            <v>3.61</v>
          </cell>
          <cell r="Y1595">
            <v>39755</v>
          </cell>
          <cell r="AA1595">
            <v>55.77</v>
          </cell>
          <cell r="AF1595">
            <v>39755</v>
          </cell>
          <cell r="AH1595">
            <v>14.22743</v>
          </cell>
          <cell r="AM1595">
            <v>39755</v>
          </cell>
          <cell r="AO1595">
            <v>23.859349999999999</v>
          </cell>
          <cell r="AT1595">
            <v>39755</v>
          </cell>
          <cell r="AV1595">
            <v>18.22776</v>
          </cell>
          <cell r="BA1595">
            <v>39755</v>
          </cell>
          <cell r="BC1595">
            <v>18.78079</v>
          </cell>
          <cell r="BH1595">
            <v>39755</v>
          </cell>
          <cell r="BJ1595">
            <v>14.91554</v>
          </cell>
        </row>
        <row r="1596">
          <cell r="D1596">
            <v>39752</v>
          </cell>
          <cell r="F1596">
            <v>79.772310000000004</v>
          </cell>
          <cell r="K1596">
            <v>39752</v>
          </cell>
          <cell r="M1596">
            <v>15.73498</v>
          </cell>
          <cell r="R1596">
            <v>39752</v>
          </cell>
          <cell r="T1596">
            <v>3.5</v>
          </cell>
          <cell r="Y1596">
            <v>39752</v>
          </cell>
          <cell r="AA1596">
            <v>57.24</v>
          </cell>
          <cell r="AF1596">
            <v>39752</v>
          </cell>
          <cell r="AH1596">
            <v>14.31123</v>
          </cell>
          <cell r="AM1596">
            <v>39752</v>
          </cell>
          <cell r="AO1596">
            <v>23.648869999999999</v>
          </cell>
          <cell r="AT1596">
            <v>39752</v>
          </cell>
          <cell r="AV1596">
            <v>17.670300000000001</v>
          </cell>
          <cell r="BA1596">
            <v>39752</v>
          </cell>
          <cell r="BC1596">
            <v>17.877500000000001</v>
          </cell>
          <cell r="BH1596">
            <v>39752</v>
          </cell>
          <cell r="BJ1596">
            <v>15.07784</v>
          </cell>
        </row>
        <row r="1597">
          <cell r="D1597">
            <v>39751</v>
          </cell>
          <cell r="F1597">
            <v>77.815969999999993</v>
          </cell>
          <cell r="K1597">
            <v>39751</v>
          </cell>
          <cell r="M1597">
            <v>15.752689999999999</v>
          </cell>
          <cell r="R1597">
            <v>39751</v>
          </cell>
          <cell r="T1597">
            <v>3.56</v>
          </cell>
          <cell r="Y1597">
            <v>39751</v>
          </cell>
          <cell r="AA1597">
            <v>56.71</v>
          </cell>
          <cell r="AF1597">
            <v>39751</v>
          </cell>
          <cell r="AH1597">
            <v>14.77013</v>
          </cell>
          <cell r="AM1597">
            <v>39751</v>
          </cell>
          <cell r="AO1597">
            <v>22.621189999999999</v>
          </cell>
          <cell r="AT1597">
            <v>39751</v>
          </cell>
          <cell r="AV1597">
            <v>17.91093</v>
          </cell>
          <cell r="BA1597">
            <v>39751</v>
          </cell>
          <cell r="BC1597">
            <v>15.88275</v>
          </cell>
          <cell r="BH1597">
            <v>39751</v>
          </cell>
          <cell r="BJ1597">
            <v>14.954190000000001</v>
          </cell>
        </row>
        <row r="1598">
          <cell r="D1598">
            <v>39750</v>
          </cell>
          <cell r="F1598">
            <v>75.67944</v>
          </cell>
          <cell r="K1598">
            <v>39750</v>
          </cell>
          <cell r="M1598">
            <v>15.82353</v>
          </cell>
          <cell r="R1598">
            <v>39750</v>
          </cell>
          <cell r="T1598">
            <v>2.98</v>
          </cell>
          <cell r="Y1598">
            <v>39750</v>
          </cell>
          <cell r="AA1598">
            <v>56.89</v>
          </cell>
          <cell r="AF1598">
            <v>39750</v>
          </cell>
          <cell r="AH1598">
            <v>13.90686</v>
          </cell>
          <cell r="AM1598">
            <v>39750</v>
          </cell>
          <cell r="AO1598">
            <v>21.735910000000001</v>
          </cell>
          <cell r="AT1598">
            <v>39750</v>
          </cell>
          <cell r="AV1598">
            <v>17.586079999999999</v>
          </cell>
          <cell r="BA1598">
            <v>39750</v>
          </cell>
          <cell r="BC1598">
            <v>13.70922</v>
          </cell>
          <cell r="BH1598">
            <v>39750</v>
          </cell>
          <cell r="BJ1598">
            <v>14.83826</v>
          </cell>
        </row>
        <row r="1599">
          <cell r="D1599">
            <v>39749</v>
          </cell>
          <cell r="F1599">
            <v>74.890039999999999</v>
          </cell>
          <cell r="K1599">
            <v>39749</v>
          </cell>
          <cell r="M1599">
            <v>16.213139999999999</v>
          </cell>
          <cell r="R1599">
            <v>39749</v>
          </cell>
          <cell r="T1599">
            <v>2.84</v>
          </cell>
          <cell r="Y1599">
            <v>39749</v>
          </cell>
          <cell r="AA1599">
            <v>56.04</v>
          </cell>
          <cell r="AF1599">
            <v>39749</v>
          </cell>
          <cell r="AH1599">
            <v>13.28966</v>
          </cell>
          <cell r="AM1599">
            <v>39749</v>
          </cell>
          <cell r="AO1599">
            <v>23.661249999999999</v>
          </cell>
          <cell r="AT1599">
            <v>39749</v>
          </cell>
          <cell r="AV1599">
            <v>18.147549999999999</v>
          </cell>
          <cell r="BA1599">
            <v>39749</v>
          </cell>
          <cell r="BC1599">
            <v>13.163489999999999</v>
          </cell>
          <cell r="BH1599">
            <v>39749</v>
          </cell>
          <cell r="BJ1599">
            <v>15.062379999999999</v>
          </cell>
        </row>
        <row r="1600">
          <cell r="D1600">
            <v>39748</v>
          </cell>
          <cell r="F1600">
            <v>68.351749999999996</v>
          </cell>
          <cell r="K1600">
            <v>39748</v>
          </cell>
          <cell r="M1600">
            <v>14.24738</v>
          </cell>
          <cell r="R1600">
            <v>39748</v>
          </cell>
          <cell r="T1600">
            <v>2.94</v>
          </cell>
          <cell r="Y1600">
            <v>39748</v>
          </cell>
          <cell r="AA1600">
            <v>49.58</v>
          </cell>
          <cell r="AF1600">
            <v>39748</v>
          </cell>
          <cell r="AH1600">
            <v>12.249470000000001</v>
          </cell>
          <cell r="AM1600">
            <v>39748</v>
          </cell>
          <cell r="AO1600">
            <v>21.822579999999999</v>
          </cell>
          <cell r="AT1600">
            <v>39748</v>
          </cell>
          <cell r="AV1600">
            <v>16.447099999999999</v>
          </cell>
          <cell r="BA1600">
            <v>39748</v>
          </cell>
          <cell r="BC1600">
            <v>12.316660000000001</v>
          </cell>
          <cell r="BH1600">
            <v>39748</v>
          </cell>
          <cell r="BJ1600">
            <v>13.702210000000001</v>
          </cell>
        </row>
        <row r="1601">
          <cell r="D1601">
            <v>39745</v>
          </cell>
          <cell r="F1601">
            <v>70.419629999999998</v>
          </cell>
          <cell r="K1601">
            <v>39745</v>
          </cell>
          <cell r="M1601">
            <v>14.44218</v>
          </cell>
          <cell r="R1601">
            <v>39745</v>
          </cell>
          <cell r="T1601">
            <v>3.03</v>
          </cell>
          <cell r="Y1601">
            <v>39745</v>
          </cell>
          <cell r="AA1601">
            <v>48.96</v>
          </cell>
          <cell r="AF1601">
            <v>39745</v>
          </cell>
          <cell r="AH1601">
            <v>12.82011</v>
          </cell>
          <cell r="AM1601">
            <v>39745</v>
          </cell>
          <cell r="AO1601">
            <v>22.218789999999998</v>
          </cell>
          <cell r="AT1601">
            <v>39745</v>
          </cell>
          <cell r="AV1601">
            <v>16.687729999999998</v>
          </cell>
          <cell r="BA1601">
            <v>39745</v>
          </cell>
          <cell r="BC1601">
            <v>12.900029999999999</v>
          </cell>
          <cell r="BH1601">
            <v>39745</v>
          </cell>
          <cell r="BJ1601">
            <v>13.779489999999999</v>
          </cell>
        </row>
        <row r="1602">
          <cell r="D1602">
            <v>39744</v>
          </cell>
          <cell r="F1602">
            <v>72.375969999999995</v>
          </cell>
          <cell r="K1602">
            <v>39744</v>
          </cell>
          <cell r="M1602">
            <v>15.26568</v>
          </cell>
          <cell r="R1602">
            <v>39744</v>
          </cell>
          <cell r="T1602">
            <v>3.28</v>
          </cell>
          <cell r="Y1602">
            <v>39744</v>
          </cell>
          <cell r="AA1602">
            <v>50.32</v>
          </cell>
          <cell r="AF1602">
            <v>39744</v>
          </cell>
          <cell r="AH1602">
            <v>13.066190000000001</v>
          </cell>
          <cell r="AM1602">
            <v>39744</v>
          </cell>
          <cell r="AO1602">
            <v>23.74173</v>
          </cell>
          <cell r="AT1602">
            <v>39744</v>
          </cell>
          <cell r="AV1602">
            <v>17.26925</v>
          </cell>
          <cell r="BA1602">
            <v>39744</v>
          </cell>
          <cell r="BC1602">
            <v>14.339639999999999</v>
          </cell>
          <cell r="BH1602">
            <v>39744</v>
          </cell>
          <cell r="BJ1602">
            <v>14.52913</v>
          </cell>
        </row>
        <row r="1603">
          <cell r="D1603">
            <v>39743</v>
          </cell>
          <cell r="F1603">
            <v>71.732439999999997</v>
          </cell>
          <cell r="K1603">
            <v>39743</v>
          </cell>
          <cell r="M1603">
            <v>15.41621</v>
          </cell>
          <cell r="R1603">
            <v>39743</v>
          </cell>
          <cell r="T1603">
            <v>3.62</v>
          </cell>
          <cell r="Y1603">
            <v>39743</v>
          </cell>
          <cell r="AA1603">
            <v>49.99</v>
          </cell>
          <cell r="AF1603">
            <v>39743</v>
          </cell>
          <cell r="AH1603">
            <v>12.713699999999999</v>
          </cell>
          <cell r="AM1603">
            <v>39743</v>
          </cell>
          <cell r="AO1603">
            <v>24.175080000000001</v>
          </cell>
          <cell r="AT1603">
            <v>39743</v>
          </cell>
          <cell r="AV1603">
            <v>18.19969</v>
          </cell>
          <cell r="BA1603">
            <v>39743</v>
          </cell>
          <cell r="BC1603">
            <v>14.716010000000001</v>
          </cell>
          <cell r="BH1603">
            <v>39743</v>
          </cell>
          <cell r="BJ1603">
            <v>14.65278</v>
          </cell>
        </row>
        <row r="1604">
          <cell r="D1604">
            <v>39742</v>
          </cell>
          <cell r="F1604">
            <v>76.245750000000001</v>
          </cell>
          <cell r="K1604">
            <v>39742</v>
          </cell>
          <cell r="M1604">
            <v>15.814679999999999</v>
          </cell>
          <cell r="R1604">
            <v>39742</v>
          </cell>
          <cell r="T1604">
            <v>3.91</v>
          </cell>
          <cell r="Y1604">
            <v>39742</v>
          </cell>
          <cell r="AA1604">
            <v>50.23</v>
          </cell>
          <cell r="AF1604">
            <v>39742</v>
          </cell>
          <cell r="AH1604">
            <v>12.16966</v>
          </cell>
          <cell r="AM1604">
            <v>39742</v>
          </cell>
          <cell r="AO1604">
            <v>24.992270000000001</v>
          </cell>
          <cell r="AT1604">
            <v>39742</v>
          </cell>
          <cell r="AV1604">
            <v>18.460370000000001</v>
          </cell>
          <cell r="BA1604">
            <v>39742</v>
          </cell>
          <cell r="BC1604">
            <v>16.07094</v>
          </cell>
          <cell r="BH1604">
            <v>39742</v>
          </cell>
          <cell r="BJ1604">
            <v>15.72701</v>
          </cell>
        </row>
        <row r="1605">
          <cell r="D1605">
            <v>39741</v>
          </cell>
          <cell r="F1605">
            <v>79.377610000000004</v>
          </cell>
          <cell r="K1605">
            <v>39741</v>
          </cell>
          <cell r="M1605">
            <v>16.788709999999998</v>
          </cell>
          <cell r="R1605">
            <v>39741</v>
          </cell>
          <cell r="T1605">
            <v>4.1100000000000003</v>
          </cell>
          <cell r="Y1605">
            <v>39741</v>
          </cell>
          <cell r="AA1605">
            <v>52.97</v>
          </cell>
          <cell r="AF1605">
            <v>39741</v>
          </cell>
          <cell r="AH1605">
            <v>13.09413</v>
          </cell>
          <cell r="AM1605">
            <v>39741</v>
          </cell>
          <cell r="AO1605">
            <v>25.50611</v>
          </cell>
          <cell r="AT1605">
            <v>39741</v>
          </cell>
          <cell r="AV1605">
            <v>18.632819999999999</v>
          </cell>
          <cell r="BA1605">
            <v>39741</v>
          </cell>
          <cell r="BC1605">
            <v>16.814260000000001</v>
          </cell>
          <cell r="BH1605">
            <v>39741</v>
          </cell>
          <cell r="BJ1605">
            <v>15.564719999999999</v>
          </cell>
        </row>
        <row r="1606">
          <cell r="D1606">
            <v>39738</v>
          </cell>
          <cell r="F1606">
            <v>77.893190000000004</v>
          </cell>
          <cell r="K1606">
            <v>39738</v>
          </cell>
          <cell r="M1606">
            <v>15.85895</v>
          </cell>
          <cell r="R1606">
            <v>39738</v>
          </cell>
          <cell r="T1606">
            <v>4.21</v>
          </cell>
          <cell r="Y1606">
            <v>39738</v>
          </cell>
          <cell r="AA1606">
            <v>50.65</v>
          </cell>
          <cell r="AF1606">
            <v>39738</v>
          </cell>
          <cell r="AH1606">
            <v>12.95579</v>
          </cell>
          <cell r="AM1606">
            <v>39738</v>
          </cell>
          <cell r="AO1606">
            <v>24.267949999999999</v>
          </cell>
          <cell r="AT1606">
            <v>39738</v>
          </cell>
          <cell r="AV1606">
            <v>17.72645</v>
          </cell>
          <cell r="BA1606">
            <v>39738</v>
          </cell>
          <cell r="BC1606">
            <v>15.835710000000001</v>
          </cell>
          <cell r="BH1606">
            <v>39738</v>
          </cell>
          <cell r="BJ1606">
            <v>15.170579999999999</v>
          </cell>
        </row>
        <row r="1607">
          <cell r="D1607">
            <v>39737</v>
          </cell>
          <cell r="F1607">
            <v>78.528139999999993</v>
          </cell>
          <cell r="K1607">
            <v>39737</v>
          </cell>
          <cell r="M1607">
            <v>15.717280000000001</v>
          </cell>
          <cell r="R1607">
            <v>39737</v>
          </cell>
          <cell r="T1607">
            <v>4.12</v>
          </cell>
          <cell r="Y1607">
            <v>39737</v>
          </cell>
          <cell r="AA1607">
            <v>50.29</v>
          </cell>
          <cell r="AF1607">
            <v>39737</v>
          </cell>
          <cell r="AH1607">
            <v>13.55303</v>
          </cell>
          <cell r="AM1607">
            <v>39737</v>
          </cell>
          <cell r="AO1607">
            <v>24.08222</v>
          </cell>
          <cell r="AT1607">
            <v>39737</v>
          </cell>
          <cell r="AV1607">
            <v>18.360109999999999</v>
          </cell>
          <cell r="BA1607">
            <v>39737</v>
          </cell>
          <cell r="BC1607">
            <v>16.381440000000001</v>
          </cell>
          <cell r="BH1607">
            <v>39737</v>
          </cell>
          <cell r="BJ1607">
            <v>15.371510000000001</v>
          </cell>
        </row>
        <row r="1608">
          <cell r="D1608">
            <v>39736</v>
          </cell>
          <cell r="F1608">
            <v>75.756659999999997</v>
          </cell>
          <cell r="K1608">
            <v>39736</v>
          </cell>
          <cell r="M1608">
            <v>14.672409999999999</v>
          </cell>
          <cell r="R1608">
            <v>39736</v>
          </cell>
          <cell r="T1608">
            <v>3.91</v>
          </cell>
          <cell r="Y1608">
            <v>39736</v>
          </cell>
          <cell r="AA1608">
            <v>48.72</v>
          </cell>
          <cell r="AF1608">
            <v>39736</v>
          </cell>
          <cell r="AH1608">
            <v>13.02895</v>
          </cell>
          <cell r="AM1608">
            <v>39736</v>
          </cell>
          <cell r="AO1608">
            <v>23.48171</v>
          </cell>
          <cell r="AT1608">
            <v>39736</v>
          </cell>
          <cell r="AV1608">
            <v>17.730460000000001</v>
          </cell>
          <cell r="BA1608">
            <v>39736</v>
          </cell>
          <cell r="BC1608">
            <v>15.835710000000001</v>
          </cell>
          <cell r="BH1608">
            <v>39736</v>
          </cell>
          <cell r="BJ1608">
            <v>14.876899999999999</v>
          </cell>
        </row>
        <row r="1609">
          <cell r="D1609">
            <v>39735</v>
          </cell>
          <cell r="F1609">
            <v>80.312870000000004</v>
          </cell>
          <cell r="K1609">
            <v>39735</v>
          </cell>
          <cell r="M1609">
            <v>16.416799999999999</v>
          </cell>
          <cell r="R1609">
            <v>39735</v>
          </cell>
          <cell r="T1609">
            <v>4.2699999999999996</v>
          </cell>
          <cell r="Y1609">
            <v>39735</v>
          </cell>
          <cell r="AA1609">
            <v>55.86</v>
          </cell>
          <cell r="AF1609">
            <v>39735</v>
          </cell>
          <cell r="AH1609">
            <v>13.844340000000001</v>
          </cell>
          <cell r="AM1609">
            <v>39735</v>
          </cell>
          <cell r="AO1609">
            <v>25.072749999999999</v>
          </cell>
          <cell r="AT1609">
            <v>39735</v>
          </cell>
          <cell r="AV1609">
            <v>17.537949999999999</v>
          </cell>
          <cell r="BA1609">
            <v>39735</v>
          </cell>
          <cell r="BC1609">
            <v>17.99982</v>
          </cell>
          <cell r="BH1609">
            <v>39735</v>
          </cell>
          <cell r="BJ1609">
            <v>16.113420000000001</v>
          </cell>
        </row>
        <row r="1610">
          <cell r="D1610">
            <v>39734</v>
          </cell>
          <cell r="F1610">
            <v>79.120189999999994</v>
          </cell>
          <cell r="K1610">
            <v>39734</v>
          </cell>
          <cell r="M1610">
            <v>17.063210000000002</v>
          </cell>
          <cell r="R1610">
            <v>39734</v>
          </cell>
          <cell r="T1610">
            <v>4.21</v>
          </cell>
          <cell r="Y1610">
            <v>39734</v>
          </cell>
          <cell r="AA1610">
            <v>62.02</v>
          </cell>
          <cell r="AF1610">
            <v>39734</v>
          </cell>
          <cell r="AH1610">
            <v>14.66638</v>
          </cell>
          <cell r="AM1610">
            <v>39734</v>
          </cell>
          <cell r="AO1610">
            <v>26.026129999999998</v>
          </cell>
          <cell r="AT1610">
            <v>39734</v>
          </cell>
          <cell r="AV1610">
            <v>18.953659999999999</v>
          </cell>
          <cell r="BA1610">
            <v>39734</v>
          </cell>
          <cell r="BC1610">
            <v>18.658470000000001</v>
          </cell>
          <cell r="BH1610">
            <v>39734</v>
          </cell>
          <cell r="BJ1610">
            <v>16.22935</v>
          </cell>
        </row>
        <row r="1611">
          <cell r="D1611">
            <v>39731</v>
          </cell>
          <cell r="F1611">
            <v>75.293319999999994</v>
          </cell>
          <cell r="K1611">
            <v>39731</v>
          </cell>
          <cell r="M1611">
            <v>15.256830000000001</v>
          </cell>
          <cell r="R1611">
            <v>39731</v>
          </cell>
          <cell r="T1611">
            <v>3.81</v>
          </cell>
          <cell r="Y1611">
            <v>39731</v>
          </cell>
          <cell r="AA1611">
            <v>56.25</v>
          </cell>
          <cell r="AF1611">
            <v>39731</v>
          </cell>
          <cell r="AH1611">
            <v>12.87598</v>
          </cell>
          <cell r="AM1611">
            <v>39731</v>
          </cell>
          <cell r="AO1611">
            <v>23.648869999999999</v>
          </cell>
          <cell r="AT1611">
            <v>39731</v>
          </cell>
          <cell r="AV1611">
            <v>16.643609999999999</v>
          </cell>
          <cell r="BA1611">
            <v>39731</v>
          </cell>
          <cell r="BC1611">
            <v>16.052119999999999</v>
          </cell>
          <cell r="BH1611">
            <v>39731</v>
          </cell>
          <cell r="BJ1611">
            <v>16.615760000000002</v>
          </cell>
        </row>
        <row r="1612">
          <cell r="D1612">
            <v>39730</v>
          </cell>
          <cell r="F1612">
            <v>76.365870000000001</v>
          </cell>
          <cell r="K1612">
            <v>39730</v>
          </cell>
          <cell r="M1612">
            <v>15.221410000000001</v>
          </cell>
          <cell r="R1612">
            <v>39730</v>
          </cell>
          <cell r="T1612">
            <v>4.04</v>
          </cell>
          <cell r="Y1612">
            <v>39730</v>
          </cell>
          <cell r="AA1612">
            <v>56</v>
          </cell>
          <cell r="AF1612">
            <v>39730</v>
          </cell>
          <cell r="AH1612">
            <v>11.80387</v>
          </cell>
          <cell r="AM1612">
            <v>39730</v>
          </cell>
          <cell r="AO1612">
            <v>24.825119999999998</v>
          </cell>
          <cell r="AT1612">
            <v>39730</v>
          </cell>
          <cell r="AV1612">
            <v>17.365500000000001</v>
          </cell>
          <cell r="BA1612">
            <v>39730</v>
          </cell>
          <cell r="BC1612">
            <v>15.798069999999999</v>
          </cell>
          <cell r="BH1612">
            <v>39730</v>
          </cell>
          <cell r="BJ1612">
            <v>14.691420000000001</v>
          </cell>
        </row>
        <row r="1613">
          <cell r="D1613">
            <v>39729</v>
          </cell>
          <cell r="F1613">
            <v>77.695840000000004</v>
          </cell>
          <cell r="K1613">
            <v>39729</v>
          </cell>
          <cell r="M1613">
            <v>16.239709999999999</v>
          </cell>
          <cell r="R1613">
            <v>39729</v>
          </cell>
          <cell r="T1613">
            <v>4.05</v>
          </cell>
          <cell r="Y1613">
            <v>39729</v>
          </cell>
          <cell r="AA1613">
            <v>61.02</v>
          </cell>
          <cell r="AF1613">
            <v>39729</v>
          </cell>
          <cell r="AH1613">
            <v>11.943530000000001</v>
          </cell>
          <cell r="AM1613">
            <v>39729</v>
          </cell>
          <cell r="AO1613">
            <v>26.428540000000002</v>
          </cell>
          <cell r="AT1613">
            <v>39729</v>
          </cell>
          <cell r="AV1613">
            <v>19.013819999999999</v>
          </cell>
          <cell r="BA1613">
            <v>39729</v>
          </cell>
          <cell r="BC1613">
            <v>16.955400000000001</v>
          </cell>
          <cell r="BH1613">
            <v>39729</v>
          </cell>
          <cell r="BJ1613">
            <v>15.95886</v>
          </cell>
        </row>
        <row r="1614">
          <cell r="D1614">
            <v>39728</v>
          </cell>
          <cell r="F1614">
            <v>82.071860000000001</v>
          </cell>
          <cell r="K1614">
            <v>39728</v>
          </cell>
          <cell r="M1614">
            <v>16.682449999999999</v>
          </cell>
          <cell r="R1614">
            <v>39728</v>
          </cell>
          <cell r="T1614">
            <v>4.59</v>
          </cell>
          <cell r="Y1614">
            <v>39728</v>
          </cell>
          <cell r="AA1614">
            <v>58.52</v>
          </cell>
          <cell r="AF1614">
            <v>39728</v>
          </cell>
          <cell r="AH1614">
            <v>11.859730000000001</v>
          </cell>
          <cell r="AM1614">
            <v>39728</v>
          </cell>
          <cell r="AO1614">
            <v>27.52431</v>
          </cell>
          <cell r="AT1614">
            <v>39728</v>
          </cell>
          <cell r="AV1614">
            <v>19.771809999999999</v>
          </cell>
          <cell r="BA1614">
            <v>39728</v>
          </cell>
          <cell r="BC1614">
            <v>16.955400000000001</v>
          </cell>
          <cell r="BH1614">
            <v>39728</v>
          </cell>
          <cell r="BJ1614">
            <v>15.688370000000001</v>
          </cell>
        </row>
        <row r="1615">
          <cell r="D1615">
            <v>39727</v>
          </cell>
          <cell r="F1615">
            <v>86.336340000000007</v>
          </cell>
          <cell r="K1615">
            <v>39727</v>
          </cell>
          <cell r="M1615">
            <v>18.11693</v>
          </cell>
          <cell r="R1615">
            <v>39727</v>
          </cell>
          <cell r="T1615">
            <v>4.2300000000000004</v>
          </cell>
          <cell r="Y1615">
            <v>39727</v>
          </cell>
          <cell r="AA1615">
            <v>65.23</v>
          </cell>
          <cell r="AF1615">
            <v>39727</v>
          </cell>
          <cell r="AH1615">
            <v>13.054220000000001</v>
          </cell>
          <cell r="AM1615">
            <v>39727</v>
          </cell>
          <cell r="AO1615">
            <v>28.55198</v>
          </cell>
          <cell r="AT1615">
            <v>39727</v>
          </cell>
          <cell r="AV1615">
            <v>20.421510000000001</v>
          </cell>
          <cell r="BA1615">
            <v>39727</v>
          </cell>
          <cell r="BC1615">
            <v>18.98779</v>
          </cell>
          <cell r="BH1615">
            <v>39727</v>
          </cell>
          <cell r="BJ1615">
            <v>16.523019999999999</v>
          </cell>
        </row>
        <row r="1616">
          <cell r="D1616">
            <v>39724</v>
          </cell>
          <cell r="F1616">
            <v>88.756020000000007</v>
          </cell>
          <cell r="K1616">
            <v>39724</v>
          </cell>
          <cell r="M1616">
            <v>18.816459999999999</v>
          </cell>
          <cell r="R1616">
            <v>39724</v>
          </cell>
          <cell r="T1616">
            <v>4.53</v>
          </cell>
          <cell r="Y1616">
            <v>39724</v>
          </cell>
          <cell r="AA1616">
            <v>67</v>
          </cell>
          <cell r="AF1616">
            <v>39724</v>
          </cell>
          <cell r="AH1616">
            <v>12.91189</v>
          </cell>
          <cell r="AM1616">
            <v>39724</v>
          </cell>
          <cell r="AO1616">
            <v>30.997350000000001</v>
          </cell>
          <cell r="AT1616">
            <v>39724</v>
          </cell>
          <cell r="AV1616">
            <v>21.08324</v>
          </cell>
          <cell r="BA1616">
            <v>39724</v>
          </cell>
          <cell r="BC1616">
            <v>19.213609999999999</v>
          </cell>
          <cell r="BH1616">
            <v>39724</v>
          </cell>
          <cell r="BJ1616">
            <v>16.66986</v>
          </cell>
        </row>
        <row r="1617">
          <cell r="D1617">
            <v>39723</v>
          </cell>
          <cell r="F1617">
            <v>89.871480000000005</v>
          </cell>
          <cell r="K1617">
            <v>39723</v>
          </cell>
          <cell r="M1617">
            <v>18.772179999999999</v>
          </cell>
          <cell r="R1617">
            <v>39723</v>
          </cell>
          <cell r="T1617">
            <v>4.1399999999999997</v>
          </cell>
          <cell r="Y1617">
            <v>39723</v>
          </cell>
          <cell r="AA1617">
            <v>67.36</v>
          </cell>
          <cell r="AF1617">
            <v>39723</v>
          </cell>
          <cell r="AH1617">
            <v>13.31493</v>
          </cell>
          <cell r="AM1617">
            <v>39723</v>
          </cell>
          <cell r="AO1617">
            <v>31.108779999999999</v>
          </cell>
          <cell r="AT1617">
            <v>39723</v>
          </cell>
          <cell r="AV1617">
            <v>21.49633</v>
          </cell>
          <cell r="BA1617">
            <v>39723</v>
          </cell>
          <cell r="BC1617">
            <v>19.016020000000001</v>
          </cell>
          <cell r="BH1617">
            <v>39723</v>
          </cell>
          <cell r="BJ1617">
            <v>17.118099999999998</v>
          </cell>
        </row>
        <row r="1618">
          <cell r="D1618">
            <v>39722</v>
          </cell>
          <cell r="F1618">
            <v>94.49633</v>
          </cell>
          <cell r="K1618">
            <v>39722</v>
          </cell>
          <cell r="M1618">
            <v>19.43629</v>
          </cell>
          <cell r="R1618">
            <v>39722</v>
          </cell>
          <cell r="T1618">
            <v>4.74</v>
          </cell>
          <cell r="Y1618">
            <v>39722</v>
          </cell>
          <cell r="AA1618">
            <v>69.58</v>
          </cell>
          <cell r="AF1618">
            <v>39722</v>
          </cell>
          <cell r="AH1618">
            <v>14.51474</v>
          </cell>
          <cell r="AM1618">
            <v>39722</v>
          </cell>
          <cell r="AO1618">
            <v>31.263549999999999</v>
          </cell>
          <cell r="AT1618">
            <v>39722</v>
          </cell>
          <cell r="AV1618">
            <v>21.72091</v>
          </cell>
          <cell r="BA1618">
            <v>39722</v>
          </cell>
          <cell r="BC1618">
            <v>21.37773</v>
          </cell>
          <cell r="BH1618">
            <v>39722</v>
          </cell>
          <cell r="BJ1618">
            <v>18.934239999999999</v>
          </cell>
        </row>
        <row r="1619">
          <cell r="D1619">
            <v>39721</v>
          </cell>
          <cell r="F1619">
            <v>100.35677</v>
          </cell>
          <cell r="K1619">
            <v>39721</v>
          </cell>
          <cell r="M1619">
            <v>19.97644</v>
          </cell>
          <cell r="R1619">
            <v>39721</v>
          </cell>
          <cell r="T1619">
            <v>5.25</v>
          </cell>
          <cell r="Y1619">
            <v>39721</v>
          </cell>
          <cell r="AA1619">
            <v>72.760000000000005</v>
          </cell>
          <cell r="AF1619">
            <v>39721</v>
          </cell>
          <cell r="AH1619">
            <v>15.11863</v>
          </cell>
          <cell r="AM1619">
            <v>39721</v>
          </cell>
          <cell r="AO1619">
            <v>30.50827</v>
          </cell>
          <cell r="AT1619">
            <v>39721</v>
          </cell>
          <cell r="AV1619">
            <v>21.20757</v>
          </cell>
          <cell r="BA1619">
            <v>39721</v>
          </cell>
          <cell r="BC1619">
            <v>21.83878</v>
          </cell>
          <cell r="BH1619">
            <v>39721</v>
          </cell>
          <cell r="BJ1619">
            <v>19.707070000000002</v>
          </cell>
        </row>
        <row r="1620">
          <cell r="D1620">
            <v>39720</v>
          </cell>
          <cell r="F1620">
            <v>98.211659999999995</v>
          </cell>
          <cell r="K1620">
            <v>39720</v>
          </cell>
          <cell r="M1620">
            <v>19.294619999999998</v>
          </cell>
          <cell r="R1620">
            <v>39720</v>
          </cell>
          <cell r="T1620">
            <v>4.29</v>
          </cell>
          <cell r="Y1620">
            <v>39720</v>
          </cell>
          <cell r="AA1620">
            <v>63.35</v>
          </cell>
          <cell r="AF1620">
            <v>39720</v>
          </cell>
          <cell r="AH1620">
            <v>14.001300000000001</v>
          </cell>
          <cell r="AM1620">
            <v>39720</v>
          </cell>
          <cell r="AO1620">
            <v>30.050149999999999</v>
          </cell>
          <cell r="AT1620">
            <v>39720</v>
          </cell>
          <cell r="AV1620">
            <v>20.465620000000001</v>
          </cell>
          <cell r="BA1620">
            <v>39720</v>
          </cell>
          <cell r="BC1620">
            <v>21.001359999999998</v>
          </cell>
          <cell r="BH1620">
            <v>39720</v>
          </cell>
          <cell r="BJ1620">
            <v>17.85228</v>
          </cell>
        </row>
        <row r="1621">
          <cell r="D1621">
            <v>39717</v>
          </cell>
          <cell r="F1621">
            <v>102.46756000000001</v>
          </cell>
          <cell r="K1621">
            <v>39717</v>
          </cell>
          <cell r="M1621">
            <v>21.092140000000001</v>
          </cell>
          <cell r="R1621">
            <v>39717</v>
          </cell>
          <cell r="T1621">
            <v>5.16</v>
          </cell>
          <cell r="Y1621">
            <v>39717</v>
          </cell>
          <cell r="AA1621">
            <v>70.7</v>
          </cell>
          <cell r="AF1621">
            <v>39717</v>
          </cell>
          <cell r="AH1621">
            <v>17.058009999999999</v>
          </cell>
          <cell r="AM1621">
            <v>39717</v>
          </cell>
          <cell r="AO1621">
            <v>30.76829</v>
          </cell>
          <cell r="AT1621">
            <v>39717</v>
          </cell>
          <cell r="AV1621">
            <v>21.047149999999998</v>
          </cell>
          <cell r="BA1621">
            <v>39717</v>
          </cell>
          <cell r="BC1621">
            <v>24.049949999999999</v>
          </cell>
          <cell r="BH1621">
            <v>39717</v>
          </cell>
          <cell r="BJ1621">
            <v>19.513860000000001</v>
          </cell>
        </row>
        <row r="1622">
          <cell r="D1622">
            <v>39716</v>
          </cell>
          <cell r="F1622">
            <v>103.05961000000001</v>
          </cell>
          <cell r="K1622">
            <v>39716</v>
          </cell>
          <cell r="M1622">
            <v>20.791080000000001</v>
          </cell>
          <cell r="R1622">
            <v>39716</v>
          </cell>
          <cell r="T1622">
            <v>5.23</v>
          </cell>
          <cell r="Y1622">
            <v>39716</v>
          </cell>
          <cell r="AA1622">
            <v>72.08</v>
          </cell>
          <cell r="AF1622">
            <v>39716</v>
          </cell>
          <cell r="AH1622">
            <v>17.548839999999998</v>
          </cell>
          <cell r="AM1622">
            <v>39716</v>
          </cell>
          <cell r="AO1622">
            <v>30.521350000000002</v>
          </cell>
          <cell r="AT1622">
            <v>39716</v>
          </cell>
          <cell r="AV1622">
            <v>20.638079999999999</v>
          </cell>
          <cell r="BA1622">
            <v>39716</v>
          </cell>
          <cell r="BC1622">
            <v>24.943819999999999</v>
          </cell>
          <cell r="BH1622">
            <v>39716</v>
          </cell>
          <cell r="BJ1622">
            <v>19.84618</v>
          </cell>
        </row>
        <row r="1623">
          <cell r="D1623">
            <v>39715</v>
          </cell>
          <cell r="F1623">
            <v>99.927750000000003</v>
          </cell>
          <cell r="K1623">
            <v>39715</v>
          </cell>
          <cell r="M1623">
            <v>20.188949999999998</v>
          </cell>
          <cell r="R1623">
            <v>39715</v>
          </cell>
          <cell r="T1623">
            <v>4.88</v>
          </cell>
          <cell r="Y1623">
            <v>39715</v>
          </cell>
          <cell r="AA1623">
            <v>69.959999999999994</v>
          </cell>
          <cell r="AF1623">
            <v>39715</v>
          </cell>
          <cell r="AH1623">
            <v>17.120529999999999</v>
          </cell>
          <cell r="AM1623">
            <v>39715</v>
          </cell>
          <cell r="AO1623">
            <v>30.416399999999999</v>
          </cell>
          <cell r="AT1623">
            <v>39715</v>
          </cell>
          <cell r="AV1623">
            <v>20.128740000000001</v>
          </cell>
          <cell r="BA1623">
            <v>39715</v>
          </cell>
          <cell r="BC1623">
            <v>26.345800000000001</v>
          </cell>
          <cell r="BH1623">
            <v>39715</v>
          </cell>
          <cell r="BJ1623">
            <v>19.003789999999999</v>
          </cell>
        </row>
        <row r="1624">
          <cell r="D1624">
            <v>39714</v>
          </cell>
          <cell r="F1624">
            <v>98.983900000000006</v>
          </cell>
          <cell r="K1624">
            <v>39714</v>
          </cell>
          <cell r="M1624">
            <v>20.12697</v>
          </cell>
          <cell r="R1624">
            <v>39714</v>
          </cell>
          <cell r="T1624">
            <v>4.9400000000000004</v>
          </cell>
          <cell r="Y1624">
            <v>39714</v>
          </cell>
          <cell r="AA1624">
            <v>71.760000000000005</v>
          </cell>
          <cell r="AF1624">
            <v>39714</v>
          </cell>
          <cell r="AH1624">
            <v>16.871790000000001</v>
          </cell>
          <cell r="AM1624">
            <v>39714</v>
          </cell>
          <cell r="AO1624">
            <v>30.31146</v>
          </cell>
          <cell r="AT1624">
            <v>39714</v>
          </cell>
          <cell r="AV1624">
            <v>20.32526</v>
          </cell>
          <cell r="BA1624">
            <v>39714</v>
          </cell>
          <cell r="BC1624">
            <v>26.3552</v>
          </cell>
          <cell r="BH1624">
            <v>39714</v>
          </cell>
          <cell r="BJ1624">
            <v>19.28201</v>
          </cell>
        </row>
        <row r="1625">
          <cell r="D1625">
            <v>39713</v>
          </cell>
          <cell r="F1625">
            <v>99.713239999999999</v>
          </cell>
          <cell r="K1625">
            <v>39713</v>
          </cell>
          <cell r="M1625">
            <v>20.463450000000002</v>
          </cell>
          <cell r="R1625">
            <v>39713</v>
          </cell>
          <cell r="T1625">
            <v>4.99</v>
          </cell>
          <cell r="Y1625">
            <v>39713</v>
          </cell>
          <cell r="AA1625">
            <v>74.930000000000007</v>
          </cell>
          <cell r="AF1625">
            <v>39713</v>
          </cell>
          <cell r="AH1625">
            <v>17.431789999999999</v>
          </cell>
          <cell r="AM1625">
            <v>39713</v>
          </cell>
          <cell r="AO1625">
            <v>30.749770000000002</v>
          </cell>
          <cell r="AT1625">
            <v>39713</v>
          </cell>
          <cell r="AV1625">
            <v>20.605989999999998</v>
          </cell>
          <cell r="BA1625">
            <v>39713</v>
          </cell>
          <cell r="BC1625">
            <v>27.616040000000002</v>
          </cell>
          <cell r="BH1625">
            <v>39713</v>
          </cell>
          <cell r="BJ1625">
            <v>20.209399999999999</v>
          </cell>
        </row>
        <row r="1626">
          <cell r="D1626">
            <v>39710</v>
          </cell>
          <cell r="F1626">
            <v>101.97847</v>
          </cell>
          <cell r="K1626">
            <v>39710</v>
          </cell>
          <cell r="M1626">
            <v>21.508320000000001</v>
          </cell>
          <cell r="R1626">
            <v>39710</v>
          </cell>
          <cell r="T1626">
            <v>5.42</v>
          </cell>
          <cell r="Y1626">
            <v>39710</v>
          </cell>
          <cell r="AA1626">
            <v>81</v>
          </cell>
          <cell r="AF1626">
            <v>39710</v>
          </cell>
          <cell r="AH1626">
            <v>18.74333</v>
          </cell>
          <cell r="AM1626">
            <v>39710</v>
          </cell>
          <cell r="AO1626">
            <v>31.42267</v>
          </cell>
          <cell r="AT1626">
            <v>39710</v>
          </cell>
          <cell r="AV1626">
            <v>21.1434</v>
          </cell>
          <cell r="BA1626">
            <v>39710</v>
          </cell>
          <cell r="BC1626">
            <v>27.399629999999998</v>
          </cell>
          <cell r="BH1626">
            <v>39710</v>
          </cell>
          <cell r="BJ1626">
            <v>20.57263</v>
          </cell>
        </row>
        <row r="1627">
          <cell r="D1627">
            <v>39709</v>
          </cell>
          <cell r="F1627">
            <v>98.777969999999996</v>
          </cell>
          <cell r="K1627">
            <v>39709</v>
          </cell>
          <cell r="M1627">
            <v>20.188949999999998</v>
          </cell>
          <cell r="R1627">
            <v>39709</v>
          </cell>
          <cell r="T1627">
            <v>5.3</v>
          </cell>
          <cell r="Y1627">
            <v>39709</v>
          </cell>
          <cell r="AA1627">
            <v>76.5</v>
          </cell>
          <cell r="AF1627">
            <v>39709</v>
          </cell>
          <cell r="AH1627">
            <v>17.83616</v>
          </cell>
          <cell r="AM1627">
            <v>39709</v>
          </cell>
          <cell r="AO1627">
            <v>31.607869999999998</v>
          </cell>
          <cell r="AT1627">
            <v>39709</v>
          </cell>
          <cell r="AV1627">
            <v>21.412099999999999</v>
          </cell>
          <cell r="BA1627">
            <v>39709</v>
          </cell>
          <cell r="BC1627">
            <v>25.85652</v>
          </cell>
          <cell r="BH1627">
            <v>39709</v>
          </cell>
          <cell r="BJ1627">
            <v>19.158359999999998</v>
          </cell>
        </row>
        <row r="1628">
          <cell r="D1628">
            <v>39708</v>
          </cell>
          <cell r="F1628">
            <v>95.646109999999993</v>
          </cell>
          <cell r="K1628">
            <v>39708</v>
          </cell>
          <cell r="M1628">
            <v>19.303470000000001</v>
          </cell>
          <cell r="R1628">
            <v>39708</v>
          </cell>
          <cell r="T1628">
            <v>4.9000000000000004</v>
          </cell>
          <cell r="Y1628">
            <v>39708</v>
          </cell>
          <cell r="AA1628">
            <v>71.540000000000006</v>
          </cell>
          <cell r="AF1628">
            <v>39708</v>
          </cell>
          <cell r="AH1628">
            <v>17.00348</v>
          </cell>
          <cell r="AM1628">
            <v>39708</v>
          </cell>
          <cell r="AO1628">
            <v>31.144870000000001</v>
          </cell>
          <cell r="AT1628">
            <v>39708</v>
          </cell>
          <cell r="AV1628">
            <v>21.119340000000001</v>
          </cell>
          <cell r="BA1628">
            <v>39708</v>
          </cell>
          <cell r="BC1628">
            <v>23.748850000000001</v>
          </cell>
          <cell r="BH1628">
            <v>39708</v>
          </cell>
          <cell r="BJ1628">
            <v>17.836829999999999</v>
          </cell>
        </row>
        <row r="1629">
          <cell r="D1629">
            <v>39707</v>
          </cell>
          <cell r="F1629">
            <v>99.575950000000006</v>
          </cell>
          <cell r="K1629">
            <v>39707</v>
          </cell>
          <cell r="M1629">
            <v>20.188949999999998</v>
          </cell>
          <cell r="R1629">
            <v>39707</v>
          </cell>
          <cell r="T1629">
            <v>5.26</v>
          </cell>
          <cell r="Y1629">
            <v>39707</v>
          </cell>
          <cell r="AA1629">
            <v>78.73</v>
          </cell>
          <cell r="AF1629">
            <v>39707</v>
          </cell>
          <cell r="AH1629">
            <v>18.60632</v>
          </cell>
          <cell r="AM1629">
            <v>39707</v>
          </cell>
          <cell r="AO1629">
            <v>31.73751</v>
          </cell>
          <cell r="AT1629">
            <v>39707</v>
          </cell>
          <cell r="AV1629">
            <v>21.997640000000001</v>
          </cell>
          <cell r="BA1629">
            <v>39707</v>
          </cell>
          <cell r="BC1629">
            <v>25.85652</v>
          </cell>
          <cell r="BH1629">
            <v>39707</v>
          </cell>
          <cell r="BJ1629">
            <v>19.110340000000001</v>
          </cell>
        </row>
        <row r="1630">
          <cell r="D1630">
            <v>39706</v>
          </cell>
          <cell r="F1630">
            <v>98.838030000000003</v>
          </cell>
          <cell r="K1630">
            <v>39706</v>
          </cell>
          <cell r="M1630">
            <v>19.817049999999998</v>
          </cell>
          <cell r="R1630">
            <v>39706</v>
          </cell>
          <cell r="T1630">
            <v>5.18</v>
          </cell>
          <cell r="Y1630">
            <v>39706</v>
          </cell>
          <cell r="AA1630">
            <v>77.34</v>
          </cell>
          <cell r="AF1630">
            <v>39706</v>
          </cell>
          <cell r="AH1630">
            <v>18.670169999999999</v>
          </cell>
          <cell r="AM1630">
            <v>39706</v>
          </cell>
          <cell r="AO1630">
            <v>31.700469999999999</v>
          </cell>
          <cell r="AT1630">
            <v>39706</v>
          </cell>
          <cell r="AV1630">
            <v>21.957529999999998</v>
          </cell>
          <cell r="BA1630">
            <v>39706</v>
          </cell>
          <cell r="BC1630">
            <v>24.341629999999999</v>
          </cell>
          <cell r="BH1630">
            <v>39706</v>
          </cell>
          <cell r="BJ1630">
            <v>18.759550000000001</v>
          </cell>
        </row>
        <row r="1631">
          <cell r="D1631">
            <v>39703</v>
          </cell>
          <cell r="F1631">
            <v>102.08144</v>
          </cell>
          <cell r="K1631">
            <v>39703</v>
          </cell>
          <cell r="M1631">
            <v>20.77337</v>
          </cell>
          <cell r="R1631">
            <v>39703</v>
          </cell>
          <cell r="T1631">
            <v>5.75</v>
          </cell>
          <cell r="Y1631">
            <v>39703</v>
          </cell>
          <cell r="AA1631">
            <v>78.3</v>
          </cell>
          <cell r="AF1631">
            <v>39703</v>
          </cell>
          <cell r="AH1631">
            <v>19.811450000000001</v>
          </cell>
          <cell r="AM1631">
            <v>39703</v>
          </cell>
          <cell r="AO1631">
            <v>32.144959999999998</v>
          </cell>
          <cell r="AT1631">
            <v>39703</v>
          </cell>
          <cell r="AV1631">
            <v>21.85727</v>
          </cell>
          <cell r="BA1631">
            <v>39703</v>
          </cell>
          <cell r="BC1631">
            <v>25.14142</v>
          </cell>
          <cell r="BH1631">
            <v>39703</v>
          </cell>
          <cell r="BJ1631">
            <v>20.39911</v>
          </cell>
        </row>
        <row r="1632">
          <cell r="D1632">
            <v>39702</v>
          </cell>
          <cell r="F1632">
            <v>102.27879</v>
          </cell>
          <cell r="K1632">
            <v>39702</v>
          </cell>
          <cell r="M1632">
            <v>20.410319999999999</v>
          </cell>
          <cell r="R1632">
            <v>39702</v>
          </cell>
          <cell r="T1632">
            <v>5.71</v>
          </cell>
          <cell r="Y1632">
            <v>39702</v>
          </cell>
          <cell r="AA1632">
            <v>79.510000000000005</v>
          </cell>
          <cell r="AF1632">
            <v>39702</v>
          </cell>
          <cell r="AH1632">
            <v>20.304939999999998</v>
          </cell>
          <cell r="AM1632">
            <v>39702</v>
          </cell>
          <cell r="AO1632">
            <v>32.231389999999998</v>
          </cell>
          <cell r="AT1632">
            <v>39702</v>
          </cell>
          <cell r="AV1632">
            <v>21.716899999999999</v>
          </cell>
          <cell r="BA1632">
            <v>39702</v>
          </cell>
          <cell r="BC1632">
            <v>25.169640000000001</v>
          </cell>
          <cell r="BH1632">
            <v>39702</v>
          </cell>
          <cell r="BJ1632">
            <v>21.474350000000001</v>
          </cell>
        </row>
        <row r="1633">
          <cell r="D1633">
            <v>39701</v>
          </cell>
          <cell r="F1633">
            <v>101.28346000000001</v>
          </cell>
          <cell r="K1633">
            <v>39701</v>
          </cell>
          <cell r="M1633">
            <v>20.357189999999999</v>
          </cell>
          <cell r="R1633">
            <v>39701</v>
          </cell>
          <cell r="T1633">
            <v>5.78</v>
          </cell>
          <cell r="Y1633">
            <v>39701</v>
          </cell>
          <cell r="AA1633">
            <v>76.739999999999995</v>
          </cell>
          <cell r="AF1633">
            <v>39701</v>
          </cell>
          <cell r="AH1633">
            <v>20.166599999999999</v>
          </cell>
          <cell r="AM1633">
            <v>39701</v>
          </cell>
          <cell r="AO1633">
            <v>32.428939999999997</v>
          </cell>
          <cell r="AT1633">
            <v>39701</v>
          </cell>
          <cell r="AV1633">
            <v>21.428149999999999</v>
          </cell>
          <cell r="BA1633">
            <v>39701</v>
          </cell>
          <cell r="BC1633">
            <v>24.14404</v>
          </cell>
          <cell r="BH1633">
            <v>39701</v>
          </cell>
          <cell r="BJ1633">
            <v>21.420970000000001</v>
          </cell>
        </row>
        <row r="1634">
          <cell r="D1634">
            <v>39700</v>
          </cell>
          <cell r="F1634">
            <v>98.709329999999994</v>
          </cell>
          <cell r="K1634">
            <v>39700</v>
          </cell>
          <cell r="M1634">
            <v>20.339479999999998</v>
          </cell>
          <cell r="R1634">
            <v>39700</v>
          </cell>
          <cell r="T1634">
            <v>5.77</v>
          </cell>
          <cell r="Y1634">
            <v>39700</v>
          </cell>
          <cell r="AA1634">
            <v>79.040000000000006</v>
          </cell>
          <cell r="AF1634">
            <v>39700</v>
          </cell>
          <cell r="AH1634">
            <v>20.175909999999998</v>
          </cell>
          <cell r="AM1634">
            <v>39700</v>
          </cell>
          <cell r="AO1634">
            <v>32.503019999999999</v>
          </cell>
          <cell r="AT1634">
            <v>39700</v>
          </cell>
          <cell r="AV1634">
            <v>21.456019999999999</v>
          </cell>
          <cell r="BA1634">
            <v>39700</v>
          </cell>
          <cell r="BC1634">
            <v>23.635940000000002</v>
          </cell>
          <cell r="BH1634">
            <v>39700</v>
          </cell>
          <cell r="BJ1634">
            <v>21.443850000000001</v>
          </cell>
        </row>
        <row r="1635">
          <cell r="D1635">
            <v>39699</v>
          </cell>
          <cell r="F1635">
            <v>100.63992</v>
          </cell>
          <cell r="K1635">
            <v>39699</v>
          </cell>
          <cell r="M1635">
            <v>20.693670000000001</v>
          </cell>
          <cell r="R1635">
            <v>39699</v>
          </cell>
          <cell r="T1635">
            <v>6.07</v>
          </cell>
          <cell r="Y1635">
            <v>39699</v>
          </cell>
          <cell r="AA1635">
            <v>81.16</v>
          </cell>
          <cell r="AF1635">
            <v>39699</v>
          </cell>
          <cell r="AH1635">
            <v>21.005939999999999</v>
          </cell>
          <cell r="AM1635">
            <v>39699</v>
          </cell>
          <cell r="AO1635">
            <v>34.151319999999998</v>
          </cell>
          <cell r="AT1635">
            <v>39699</v>
          </cell>
          <cell r="AV1635">
            <v>21.256910000000001</v>
          </cell>
          <cell r="BA1635">
            <v>39699</v>
          </cell>
          <cell r="BC1635">
            <v>25.132010000000001</v>
          </cell>
          <cell r="BH1635">
            <v>39699</v>
          </cell>
          <cell r="BJ1635">
            <v>22.18355</v>
          </cell>
        </row>
        <row r="1636">
          <cell r="D1636">
            <v>39696</v>
          </cell>
          <cell r="F1636">
            <v>98.100120000000004</v>
          </cell>
          <cell r="K1636">
            <v>39696</v>
          </cell>
          <cell r="M1636">
            <v>19.710789999999999</v>
          </cell>
          <cell r="R1636">
            <v>39696</v>
          </cell>
          <cell r="T1636">
            <v>5.96</v>
          </cell>
          <cell r="Y1636">
            <v>39696</v>
          </cell>
          <cell r="AA1636">
            <v>79.19</v>
          </cell>
          <cell r="AF1636">
            <v>39696</v>
          </cell>
          <cell r="AH1636">
            <v>21.306550000000001</v>
          </cell>
          <cell r="AM1636">
            <v>39696</v>
          </cell>
          <cell r="AO1636">
            <v>33.268520000000002</v>
          </cell>
          <cell r="AT1636">
            <v>39696</v>
          </cell>
          <cell r="AV1636">
            <v>20.679500000000001</v>
          </cell>
          <cell r="BA1636">
            <v>39696</v>
          </cell>
          <cell r="BC1636">
            <v>25.17905</v>
          </cell>
          <cell r="BH1636">
            <v>39696</v>
          </cell>
          <cell r="BJ1636">
            <v>21.260829999999999</v>
          </cell>
        </row>
        <row r="1637">
          <cell r="D1637">
            <v>39695</v>
          </cell>
          <cell r="F1637">
            <v>98.674999999999997</v>
          </cell>
          <cell r="K1637">
            <v>39695</v>
          </cell>
          <cell r="M1637">
            <v>19.7285</v>
          </cell>
          <cell r="R1637">
            <v>39695</v>
          </cell>
          <cell r="T1637">
            <v>5.84</v>
          </cell>
          <cell r="Y1637">
            <v>39695</v>
          </cell>
          <cell r="AA1637">
            <v>78.03</v>
          </cell>
          <cell r="AF1637">
            <v>39695</v>
          </cell>
          <cell r="AH1637">
            <v>21.444890000000001</v>
          </cell>
          <cell r="AM1637">
            <v>39695</v>
          </cell>
          <cell r="AO1637">
            <v>33.064799999999998</v>
          </cell>
          <cell r="AT1637">
            <v>39695</v>
          </cell>
          <cell r="AV1637">
            <v>20.591889999999999</v>
          </cell>
          <cell r="BA1637">
            <v>39695</v>
          </cell>
          <cell r="BC1637">
            <v>25.875330000000002</v>
          </cell>
          <cell r="BH1637">
            <v>39695</v>
          </cell>
          <cell r="BJ1637">
            <v>21.123560000000001</v>
          </cell>
        </row>
        <row r="1638">
          <cell r="D1638">
            <v>39694</v>
          </cell>
          <cell r="F1638">
            <v>101.54087</v>
          </cell>
          <cell r="K1638">
            <v>39694</v>
          </cell>
          <cell r="M1638">
            <v>20.640550000000001</v>
          </cell>
          <cell r="R1638">
            <v>39694</v>
          </cell>
          <cell r="T1638">
            <v>6.15</v>
          </cell>
          <cell r="Y1638">
            <v>39694</v>
          </cell>
          <cell r="AA1638">
            <v>80.77</v>
          </cell>
          <cell r="AF1638">
            <v>39694</v>
          </cell>
          <cell r="AH1638">
            <v>22.208400000000001</v>
          </cell>
          <cell r="AM1638">
            <v>39694</v>
          </cell>
          <cell r="AO1638">
            <v>34.16366</v>
          </cell>
          <cell r="AT1638">
            <v>39694</v>
          </cell>
          <cell r="AV1638">
            <v>20.57198</v>
          </cell>
          <cell r="BA1638">
            <v>39694</v>
          </cell>
          <cell r="BC1638">
            <v>27.296130000000002</v>
          </cell>
          <cell r="BH1638">
            <v>39694</v>
          </cell>
          <cell r="BJ1638">
            <v>21.787009999999999</v>
          </cell>
        </row>
        <row r="1639">
          <cell r="D1639">
            <v>39693</v>
          </cell>
          <cell r="F1639">
            <v>101.60093000000001</v>
          </cell>
          <cell r="K1639">
            <v>39693</v>
          </cell>
          <cell r="M1639">
            <v>21.030159999999999</v>
          </cell>
          <cell r="R1639">
            <v>39693</v>
          </cell>
          <cell r="T1639">
            <v>6.34</v>
          </cell>
          <cell r="Y1639">
            <v>39693</v>
          </cell>
          <cell r="AA1639">
            <v>81.41</v>
          </cell>
          <cell r="AF1639">
            <v>39693</v>
          </cell>
          <cell r="AH1639">
            <v>22.105979999999999</v>
          </cell>
          <cell r="AM1639">
            <v>39693</v>
          </cell>
          <cell r="AO1639">
            <v>34.30565</v>
          </cell>
          <cell r="AT1639">
            <v>39693</v>
          </cell>
          <cell r="AV1639">
            <v>20.69144</v>
          </cell>
          <cell r="BA1639">
            <v>39693</v>
          </cell>
          <cell r="BC1639">
            <v>27.860679999999999</v>
          </cell>
          <cell r="BH1639">
            <v>39693</v>
          </cell>
          <cell r="BJ1639">
            <v>21.756509999999999</v>
          </cell>
        </row>
        <row r="1640">
          <cell r="D1640">
            <v>39689</v>
          </cell>
          <cell r="F1640">
            <v>104.44964</v>
          </cell>
          <cell r="K1640">
            <v>39689</v>
          </cell>
          <cell r="M1640">
            <v>21.2958</v>
          </cell>
          <cell r="R1640">
            <v>39689</v>
          </cell>
          <cell r="T1640">
            <v>6.29</v>
          </cell>
          <cell r="Y1640">
            <v>39689</v>
          </cell>
          <cell r="AA1640">
            <v>80.81</v>
          </cell>
          <cell r="AF1640">
            <v>39689</v>
          </cell>
          <cell r="AH1640">
            <v>22.550260000000002</v>
          </cell>
          <cell r="AM1640">
            <v>39689</v>
          </cell>
          <cell r="AO1640">
            <v>33.941420000000001</v>
          </cell>
          <cell r="AT1640">
            <v>39689</v>
          </cell>
          <cell r="AV1640">
            <v>20.735250000000001</v>
          </cell>
          <cell r="BA1640">
            <v>39689</v>
          </cell>
          <cell r="BC1640">
            <v>28.95215</v>
          </cell>
          <cell r="BH1640">
            <v>39689</v>
          </cell>
          <cell r="BJ1640">
            <v>21.428599999999999</v>
          </cell>
        </row>
        <row r="1641">
          <cell r="D1641">
            <v>39688</v>
          </cell>
          <cell r="F1641">
            <v>106.89506</v>
          </cell>
          <cell r="K1641">
            <v>39688</v>
          </cell>
          <cell r="M1641">
            <v>21.835940000000001</v>
          </cell>
          <cell r="R1641">
            <v>39688</v>
          </cell>
          <cell r="T1641">
            <v>6.25</v>
          </cell>
          <cell r="Y1641">
            <v>39688</v>
          </cell>
          <cell r="AA1641">
            <v>83.42</v>
          </cell>
          <cell r="AF1641">
            <v>39688</v>
          </cell>
          <cell r="AH1641">
            <v>23.11026</v>
          </cell>
          <cell r="AM1641">
            <v>39688</v>
          </cell>
          <cell r="AO1641">
            <v>34.330350000000003</v>
          </cell>
          <cell r="AT1641">
            <v>39688</v>
          </cell>
          <cell r="AV1641">
            <v>21.153379999999999</v>
          </cell>
          <cell r="BA1641">
            <v>39688</v>
          </cell>
          <cell r="BC1641">
            <v>28.763960000000001</v>
          </cell>
          <cell r="BH1641">
            <v>39688</v>
          </cell>
          <cell r="BJ1641">
            <v>21.985279999999999</v>
          </cell>
        </row>
        <row r="1642">
          <cell r="D1642">
            <v>39687</v>
          </cell>
          <cell r="F1642">
            <v>105.86541</v>
          </cell>
          <cell r="K1642">
            <v>39687</v>
          </cell>
          <cell r="M1642">
            <v>21.579149999999998</v>
          </cell>
          <cell r="R1642">
            <v>39687</v>
          </cell>
          <cell r="T1642">
            <v>6.07</v>
          </cell>
          <cell r="Y1642">
            <v>39687</v>
          </cell>
          <cell r="AA1642">
            <v>81.73</v>
          </cell>
          <cell r="AF1642">
            <v>39687</v>
          </cell>
          <cell r="AH1642">
            <v>23.23396</v>
          </cell>
          <cell r="AM1642">
            <v>39687</v>
          </cell>
          <cell r="AO1642">
            <v>34.05254</v>
          </cell>
          <cell r="AT1642">
            <v>39687</v>
          </cell>
          <cell r="AV1642">
            <v>21.420179999999998</v>
          </cell>
          <cell r="BA1642">
            <v>39687</v>
          </cell>
          <cell r="BC1642">
            <v>27.926539999999999</v>
          </cell>
          <cell r="BH1642">
            <v>39687</v>
          </cell>
          <cell r="BJ1642">
            <v>21.520109999999999</v>
          </cell>
        </row>
        <row r="1643">
          <cell r="D1643">
            <v>39686</v>
          </cell>
          <cell r="F1643">
            <v>105.11033</v>
          </cell>
          <cell r="K1643">
            <v>39686</v>
          </cell>
          <cell r="M1643">
            <v>21.348929999999999</v>
          </cell>
          <cell r="R1643">
            <v>39686</v>
          </cell>
          <cell r="T1643">
            <v>5.93</v>
          </cell>
          <cell r="Y1643">
            <v>39686</v>
          </cell>
          <cell r="AA1643">
            <v>81.760000000000005</v>
          </cell>
          <cell r="AF1643">
            <v>39686</v>
          </cell>
          <cell r="AH1643">
            <v>23.09695</v>
          </cell>
          <cell r="AM1643">
            <v>39686</v>
          </cell>
          <cell r="AO1643">
            <v>33.953769999999999</v>
          </cell>
          <cell r="AT1643">
            <v>39686</v>
          </cell>
          <cell r="AV1643">
            <v>21.312660000000001</v>
          </cell>
          <cell r="BA1643">
            <v>39686</v>
          </cell>
          <cell r="BC1643">
            <v>27.973590000000002</v>
          </cell>
          <cell r="BH1643">
            <v>39686</v>
          </cell>
          <cell r="BJ1643">
            <v>21.558229999999998</v>
          </cell>
        </row>
        <row r="1644">
          <cell r="D1644">
            <v>39685</v>
          </cell>
          <cell r="F1644">
            <v>105.41923</v>
          </cell>
          <cell r="K1644">
            <v>39685</v>
          </cell>
          <cell r="M1644">
            <v>21.437480000000001</v>
          </cell>
          <cell r="R1644">
            <v>39685</v>
          </cell>
          <cell r="T1644">
            <v>5.93</v>
          </cell>
          <cell r="Y1644">
            <v>39685</v>
          </cell>
          <cell r="AA1644">
            <v>82.85</v>
          </cell>
          <cell r="AF1644">
            <v>39685</v>
          </cell>
          <cell r="AH1644">
            <v>22.951969999999999</v>
          </cell>
          <cell r="AM1644">
            <v>39685</v>
          </cell>
          <cell r="AO1644">
            <v>34.05254</v>
          </cell>
          <cell r="AT1644">
            <v>39685</v>
          </cell>
          <cell r="AV1644">
            <v>21.33257</v>
          </cell>
          <cell r="BA1644">
            <v>39685</v>
          </cell>
          <cell r="BC1644">
            <v>28.001819999999999</v>
          </cell>
          <cell r="BH1644">
            <v>39685</v>
          </cell>
          <cell r="BJ1644">
            <v>21.596360000000001</v>
          </cell>
        </row>
        <row r="1645">
          <cell r="D1645">
            <v>39682</v>
          </cell>
          <cell r="F1645">
            <v>107.19538</v>
          </cell>
          <cell r="K1645">
            <v>39682</v>
          </cell>
          <cell r="M1645">
            <v>21.880220000000001</v>
          </cell>
          <cell r="R1645">
            <v>39682</v>
          </cell>
          <cell r="T1645">
            <v>5.81</v>
          </cell>
          <cell r="Y1645">
            <v>39682</v>
          </cell>
          <cell r="AA1645">
            <v>85.26</v>
          </cell>
          <cell r="AF1645">
            <v>39682</v>
          </cell>
          <cell r="AH1645">
            <v>23.51595</v>
          </cell>
          <cell r="AM1645">
            <v>39682</v>
          </cell>
          <cell r="AO1645">
            <v>34.756309999999999</v>
          </cell>
          <cell r="AT1645">
            <v>39682</v>
          </cell>
          <cell r="AV1645">
            <v>21.651150000000001</v>
          </cell>
          <cell r="BA1645">
            <v>39682</v>
          </cell>
          <cell r="BC1645">
            <v>29.37556</v>
          </cell>
          <cell r="BH1645">
            <v>39682</v>
          </cell>
          <cell r="BJ1645">
            <v>22.206430000000001</v>
          </cell>
        </row>
        <row r="1646">
          <cell r="D1646">
            <v>39681</v>
          </cell>
          <cell r="F1646">
            <v>105.53077</v>
          </cell>
          <cell r="K1646">
            <v>39681</v>
          </cell>
          <cell r="M1646">
            <v>21.455190000000002</v>
          </cell>
          <cell r="R1646">
            <v>39681</v>
          </cell>
          <cell r="T1646">
            <v>5.76</v>
          </cell>
          <cell r="Y1646">
            <v>39681</v>
          </cell>
          <cell r="AA1646">
            <v>83.26</v>
          </cell>
          <cell r="AF1646">
            <v>39681</v>
          </cell>
          <cell r="AH1646">
            <v>23.183409999999999</v>
          </cell>
          <cell r="AM1646">
            <v>39681</v>
          </cell>
          <cell r="AO1646">
            <v>34.231569999999998</v>
          </cell>
          <cell r="AT1646">
            <v>39681</v>
          </cell>
          <cell r="AV1646">
            <v>21.308679999999999</v>
          </cell>
          <cell r="BA1646">
            <v>39681</v>
          </cell>
          <cell r="BC1646">
            <v>29.027419999999999</v>
          </cell>
          <cell r="BH1646">
            <v>39681</v>
          </cell>
          <cell r="BJ1646">
            <v>21.92427</v>
          </cell>
        </row>
        <row r="1647">
          <cell r="D1647">
            <v>39680</v>
          </cell>
          <cell r="F1647">
            <v>105.11891</v>
          </cell>
          <cell r="K1647">
            <v>39680</v>
          </cell>
          <cell r="M1647">
            <v>21.455190000000002</v>
          </cell>
          <cell r="R1647">
            <v>39680</v>
          </cell>
          <cell r="T1647">
            <v>5.7</v>
          </cell>
          <cell r="Y1647">
            <v>39680</v>
          </cell>
          <cell r="AA1647">
            <v>82.13</v>
          </cell>
          <cell r="AF1647">
            <v>39680</v>
          </cell>
          <cell r="AH1647">
            <v>23.389589999999998</v>
          </cell>
          <cell r="AM1647">
            <v>39680</v>
          </cell>
          <cell r="AO1647">
            <v>33.996980000000001</v>
          </cell>
          <cell r="AT1647">
            <v>39680</v>
          </cell>
          <cell r="AV1647">
            <v>21.643180000000001</v>
          </cell>
          <cell r="BA1647">
            <v>39680</v>
          </cell>
          <cell r="BC1647">
            <v>28.368780000000001</v>
          </cell>
          <cell r="BH1647">
            <v>39680</v>
          </cell>
          <cell r="BJ1647">
            <v>21.848020000000002</v>
          </cell>
        </row>
        <row r="1648">
          <cell r="D1648">
            <v>39679</v>
          </cell>
          <cell r="F1648">
            <v>105.16181</v>
          </cell>
          <cell r="K1648">
            <v>39679</v>
          </cell>
          <cell r="M1648">
            <v>21.464040000000001</v>
          </cell>
          <cell r="R1648">
            <v>39679</v>
          </cell>
          <cell r="T1648">
            <v>5.58</v>
          </cell>
          <cell r="Y1648">
            <v>39679</v>
          </cell>
          <cell r="AA1648">
            <v>81.290000000000006</v>
          </cell>
          <cell r="AF1648">
            <v>39679</v>
          </cell>
          <cell r="AH1648">
            <v>23.082319999999999</v>
          </cell>
          <cell r="AM1648">
            <v>39679</v>
          </cell>
          <cell r="AO1648">
            <v>34.373559999999998</v>
          </cell>
          <cell r="AT1648">
            <v>39679</v>
          </cell>
          <cell r="AV1648">
            <v>21.63522</v>
          </cell>
          <cell r="BA1648">
            <v>39679</v>
          </cell>
          <cell r="BC1648">
            <v>28.255870000000002</v>
          </cell>
          <cell r="BH1648">
            <v>39679</v>
          </cell>
          <cell r="BJ1648">
            <v>21.89377</v>
          </cell>
        </row>
        <row r="1649">
          <cell r="D1649">
            <v>39678</v>
          </cell>
          <cell r="F1649">
            <v>106.90364</v>
          </cell>
          <cell r="K1649">
            <v>39678</v>
          </cell>
          <cell r="M1649">
            <v>21.685410000000001</v>
          </cell>
          <cell r="R1649">
            <v>39678</v>
          </cell>
          <cell r="T1649">
            <v>5.91</v>
          </cell>
          <cell r="Y1649">
            <v>39678</v>
          </cell>
          <cell r="AA1649">
            <v>83.11</v>
          </cell>
          <cell r="AF1649">
            <v>39678</v>
          </cell>
          <cell r="AH1649">
            <v>23.329730000000001</v>
          </cell>
          <cell r="AM1649">
            <v>39678</v>
          </cell>
          <cell r="AO1649">
            <v>34.546419999999998</v>
          </cell>
          <cell r="AT1649">
            <v>39678</v>
          </cell>
          <cell r="AV1649">
            <v>21.63522</v>
          </cell>
          <cell r="BA1649">
            <v>39678</v>
          </cell>
          <cell r="BC1649">
            <v>28.754549999999998</v>
          </cell>
          <cell r="BH1649">
            <v>39678</v>
          </cell>
          <cell r="BJ1649">
            <v>22.381820000000001</v>
          </cell>
        </row>
        <row r="1650">
          <cell r="D1650">
            <v>39675</v>
          </cell>
          <cell r="F1650">
            <v>108.42238</v>
          </cell>
          <cell r="K1650">
            <v>39675</v>
          </cell>
          <cell r="M1650">
            <v>22.057310000000001</v>
          </cell>
          <cell r="R1650">
            <v>39675</v>
          </cell>
          <cell r="T1650">
            <v>5.64</v>
          </cell>
          <cell r="Y1650">
            <v>39675</v>
          </cell>
          <cell r="AA1650">
            <v>86.4</v>
          </cell>
          <cell r="AF1650">
            <v>39675</v>
          </cell>
          <cell r="AH1650">
            <v>23.376290000000001</v>
          </cell>
          <cell r="AM1650">
            <v>39675</v>
          </cell>
          <cell r="AO1650">
            <v>34.651359999999997</v>
          </cell>
          <cell r="AT1650">
            <v>39675</v>
          </cell>
          <cell r="AV1650">
            <v>21.925920000000001</v>
          </cell>
          <cell r="BA1650">
            <v>39675</v>
          </cell>
          <cell r="BC1650">
            <v>30.15653</v>
          </cell>
          <cell r="BH1650">
            <v>39675</v>
          </cell>
          <cell r="BJ1650">
            <v>22.724989999999998</v>
          </cell>
        </row>
        <row r="1651">
          <cell r="D1651">
            <v>39674</v>
          </cell>
          <cell r="F1651">
            <v>108.92004</v>
          </cell>
          <cell r="K1651">
            <v>39674</v>
          </cell>
          <cell r="M1651">
            <v>21.844799999999999</v>
          </cell>
          <cell r="R1651">
            <v>39674</v>
          </cell>
          <cell r="T1651">
            <v>5.3</v>
          </cell>
          <cell r="Y1651">
            <v>39674</v>
          </cell>
          <cell r="AA1651">
            <v>88.03</v>
          </cell>
          <cell r="AF1651">
            <v>39674</v>
          </cell>
          <cell r="AH1651">
            <v>23.85249</v>
          </cell>
          <cell r="AM1651">
            <v>39674</v>
          </cell>
          <cell r="AO1651">
            <v>34.299480000000003</v>
          </cell>
          <cell r="AT1651">
            <v>39674</v>
          </cell>
          <cell r="AV1651">
            <v>21.909990000000001</v>
          </cell>
          <cell r="BA1651">
            <v>39674</v>
          </cell>
          <cell r="BC1651">
            <v>30.024799999999999</v>
          </cell>
          <cell r="BH1651">
            <v>39674</v>
          </cell>
          <cell r="BJ1651">
            <v>22.51146</v>
          </cell>
        </row>
        <row r="1652">
          <cell r="D1652">
            <v>39673</v>
          </cell>
          <cell r="F1652">
            <v>107.94186999999999</v>
          </cell>
          <cell r="K1652">
            <v>39673</v>
          </cell>
          <cell r="M1652">
            <v>21.526029999999999</v>
          </cell>
          <cell r="R1652">
            <v>39673</v>
          </cell>
          <cell r="T1652">
            <v>5.15</v>
          </cell>
          <cell r="Y1652">
            <v>39673</v>
          </cell>
          <cell r="AA1652">
            <v>86.69</v>
          </cell>
          <cell r="AF1652">
            <v>39673</v>
          </cell>
          <cell r="AH1652">
            <v>23.849830000000001</v>
          </cell>
          <cell r="AM1652">
            <v>39673</v>
          </cell>
          <cell r="AO1652">
            <v>33.367289999999997</v>
          </cell>
          <cell r="AT1652">
            <v>39673</v>
          </cell>
          <cell r="AV1652">
            <v>21.98565</v>
          </cell>
          <cell r="BA1652">
            <v>39673</v>
          </cell>
          <cell r="BC1652">
            <v>29.620200000000001</v>
          </cell>
          <cell r="BH1652">
            <v>39673</v>
          </cell>
          <cell r="BJ1652">
            <v>22.351320000000001</v>
          </cell>
        </row>
        <row r="1653">
          <cell r="D1653">
            <v>39672</v>
          </cell>
          <cell r="F1653">
            <v>107.44421</v>
          </cell>
          <cell r="K1653">
            <v>39672</v>
          </cell>
          <cell r="M1653">
            <v>21.694269999999999</v>
          </cell>
          <cell r="R1653">
            <v>39672</v>
          </cell>
          <cell r="T1653">
            <v>5.21</v>
          </cell>
          <cell r="Y1653">
            <v>39672</v>
          </cell>
          <cell r="AA1653">
            <v>87.25</v>
          </cell>
          <cell r="AF1653">
            <v>39672</v>
          </cell>
          <cell r="AH1653">
            <v>23.50797</v>
          </cell>
          <cell r="AM1653">
            <v>39672</v>
          </cell>
          <cell r="AO1653">
            <v>33.151229999999998</v>
          </cell>
          <cell r="AT1653">
            <v>39672</v>
          </cell>
          <cell r="AV1653">
            <v>21.8184</v>
          </cell>
          <cell r="BA1653">
            <v>39672</v>
          </cell>
          <cell r="BC1653">
            <v>28.105319999999999</v>
          </cell>
          <cell r="BH1653">
            <v>39672</v>
          </cell>
          <cell r="BJ1653">
            <v>22.67923</v>
          </cell>
        </row>
        <row r="1654">
          <cell r="D1654">
            <v>39671</v>
          </cell>
          <cell r="F1654">
            <v>108.62831</v>
          </cell>
          <cell r="K1654">
            <v>39671</v>
          </cell>
          <cell r="M1654">
            <v>21.800519999999999</v>
          </cell>
          <cell r="R1654">
            <v>39671</v>
          </cell>
          <cell r="T1654">
            <v>5.1100000000000003</v>
          </cell>
          <cell r="Y1654">
            <v>39671</v>
          </cell>
          <cell r="AA1654">
            <v>88.09</v>
          </cell>
          <cell r="AF1654">
            <v>39671</v>
          </cell>
          <cell r="AH1654">
            <v>23.086310000000001</v>
          </cell>
          <cell r="AM1654">
            <v>39671</v>
          </cell>
          <cell r="AO1654">
            <v>33.398159999999997</v>
          </cell>
          <cell r="AT1654">
            <v>39671</v>
          </cell>
          <cell r="AV1654">
            <v>22.041399999999999</v>
          </cell>
          <cell r="BA1654">
            <v>39671</v>
          </cell>
          <cell r="BC1654">
            <v>27.794809999999998</v>
          </cell>
          <cell r="BH1654">
            <v>39671</v>
          </cell>
          <cell r="BJ1654">
            <v>22.839369999999999</v>
          </cell>
        </row>
        <row r="1655">
          <cell r="D1655">
            <v>39668</v>
          </cell>
          <cell r="F1655">
            <v>110.52459</v>
          </cell>
          <cell r="K1655">
            <v>39668</v>
          </cell>
          <cell r="M1655">
            <v>21.472899999999999</v>
          </cell>
          <cell r="R1655">
            <v>39668</v>
          </cell>
          <cell r="T1655">
            <v>5.13</v>
          </cell>
          <cell r="Y1655">
            <v>39668</v>
          </cell>
          <cell r="AA1655">
            <v>80.510000000000005</v>
          </cell>
          <cell r="AF1655">
            <v>39668</v>
          </cell>
          <cell r="AH1655">
            <v>22.55292</v>
          </cell>
          <cell r="AM1655">
            <v>39668</v>
          </cell>
          <cell r="AO1655">
            <v>33.206789999999998</v>
          </cell>
          <cell r="AT1655">
            <v>39668</v>
          </cell>
          <cell r="AV1655">
            <v>22.065300000000001</v>
          </cell>
          <cell r="BA1655">
            <v>39668</v>
          </cell>
          <cell r="BC1655">
            <v>27.079709999999999</v>
          </cell>
          <cell r="BH1655">
            <v>39668</v>
          </cell>
          <cell r="BJ1655">
            <v>22.602969999999999</v>
          </cell>
        </row>
        <row r="1656">
          <cell r="D1656">
            <v>39667</v>
          </cell>
          <cell r="F1656">
            <v>110.73052</v>
          </cell>
          <cell r="K1656">
            <v>39667</v>
          </cell>
          <cell r="M1656">
            <v>20.879619999999999</v>
          </cell>
          <cell r="R1656">
            <v>39667</v>
          </cell>
          <cell r="T1656">
            <v>5.03</v>
          </cell>
          <cell r="Y1656">
            <v>39667</v>
          </cell>
          <cell r="AA1656">
            <v>76.95</v>
          </cell>
          <cell r="AF1656">
            <v>39667</v>
          </cell>
          <cell r="AH1656">
            <v>21.757480000000001</v>
          </cell>
          <cell r="AM1656">
            <v>39667</v>
          </cell>
          <cell r="AO1656">
            <v>33.10801</v>
          </cell>
          <cell r="AT1656">
            <v>39667</v>
          </cell>
          <cell r="AV1656">
            <v>21.50779</v>
          </cell>
          <cell r="BA1656">
            <v>39667</v>
          </cell>
          <cell r="BC1656">
            <v>26.77862</v>
          </cell>
          <cell r="BH1656">
            <v>39667</v>
          </cell>
          <cell r="BJ1656">
            <v>21.787009999999999</v>
          </cell>
        </row>
        <row r="1657">
          <cell r="D1657">
            <v>39666</v>
          </cell>
          <cell r="F1657">
            <v>110.8249</v>
          </cell>
          <cell r="K1657">
            <v>39666</v>
          </cell>
          <cell r="M1657">
            <v>21.189540000000001</v>
          </cell>
          <cell r="R1657">
            <v>39666</v>
          </cell>
          <cell r="T1657">
            <v>4.8</v>
          </cell>
          <cell r="Y1657">
            <v>39666</v>
          </cell>
          <cell r="AA1657">
            <v>78.09</v>
          </cell>
          <cell r="AF1657">
            <v>39666</v>
          </cell>
          <cell r="AH1657">
            <v>21.839950000000002</v>
          </cell>
          <cell r="AM1657">
            <v>39666</v>
          </cell>
          <cell r="AO1657">
            <v>33.651269999999997</v>
          </cell>
          <cell r="AT1657">
            <v>39666</v>
          </cell>
          <cell r="AV1657">
            <v>22.045390000000001</v>
          </cell>
          <cell r="BA1657">
            <v>39666</v>
          </cell>
          <cell r="BC1657">
            <v>26.505749999999999</v>
          </cell>
          <cell r="BH1657">
            <v>39666</v>
          </cell>
          <cell r="BJ1657">
            <v>22.114920000000001</v>
          </cell>
        </row>
        <row r="1658">
          <cell r="D1658">
            <v>39665</v>
          </cell>
          <cell r="F1658">
            <v>110.14704999999999</v>
          </cell>
          <cell r="K1658">
            <v>39665</v>
          </cell>
          <cell r="M1658">
            <v>20.05613</v>
          </cell>
          <cell r="R1658">
            <v>39665</v>
          </cell>
          <cell r="T1658">
            <v>4.5999999999999996</v>
          </cell>
          <cell r="Y1658">
            <v>39665</v>
          </cell>
          <cell r="AA1658">
            <v>79.11</v>
          </cell>
          <cell r="AF1658">
            <v>39665</v>
          </cell>
          <cell r="AH1658">
            <v>21.367740000000001</v>
          </cell>
          <cell r="AM1658">
            <v>39665</v>
          </cell>
          <cell r="AO1658">
            <v>34.781010000000002</v>
          </cell>
          <cell r="AT1658">
            <v>39665</v>
          </cell>
          <cell r="AV1658">
            <v>21.86619</v>
          </cell>
          <cell r="BA1658">
            <v>39665</v>
          </cell>
          <cell r="BC1658">
            <v>25.60247</v>
          </cell>
          <cell r="BH1658">
            <v>39665</v>
          </cell>
          <cell r="BJ1658">
            <v>22.305569999999999</v>
          </cell>
        </row>
        <row r="1659">
          <cell r="D1659">
            <v>39664</v>
          </cell>
          <cell r="F1659">
            <v>109.02737</v>
          </cell>
          <cell r="K1659">
            <v>39664</v>
          </cell>
          <cell r="M1659">
            <v>19.471710000000002</v>
          </cell>
          <cell r="R1659">
            <v>39664</v>
          </cell>
          <cell r="T1659">
            <v>4.4800000000000004</v>
          </cell>
          <cell r="Y1659">
            <v>39664</v>
          </cell>
          <cell r="AA1659">
            <v>75.709999999999994</v>
          </cell>
          <cell r="AF1659">
            <v>39664</v>
          </cell>
          <cell r="AH1659">
            <v>20.382090000000002</v>
          </cell>
          <cell r="AM1659">
            <v>39664</v>
          </cell>
          <cell r="AO1659">
            <v>33.515459999999997</v>
          </cell>
          <cell r="AT1659">
            <v>39664</v>
          </cell>
          <cell r="AV1659">
            <v>21.463989999999999</v>
          </cell>
          <cell r="BA1659">
            <v>39664</v>
          </cell>
          <cell r="BC1659">
            <v>25.753019999999999</v>
          </cell>
          <cell r="BH1659">
            <v>39664</v>
          </cell>
          <cell r="BJ1659">
            <v>21.48198</v>
          </cell>
        </row>
        <row r="1660">
          <cell r="D1660">
            <v>39661</v>
          </cell>
          <cell r="F1660">
            <v>108.24102999999999</v>
          </cell>
          <cell r="K1660">
            <v>39661</v>
          </cell>
          <cell r="M1660">
            <v>19.471710000000002</v>
          </cell>
          <cell r="R1660">
            <v>39661</v>
          </cell>
          <cell r="T1660">
            <v>4.28</v>
          </cell>
          <cell r="Y1660">
            <v>39661</v>
          </cell>
          <cell r="AA1660">
            <v>75.75</v>
          </cell>
          <cell r="AF1660">
            <v>39661</v>
          </cell>
          <cell r="AH1660">
            <v>20.838339999999999</v>
          </cell>
          <cell r="AM1660">
            <v>39661</v>
          </cell>
          <cell r="AO1660">
            <v>32.953679999999999</v>
          </cell>
          <cell r="AT1660">
            <v>39661</v>
          </cell>
          <cell r="AV1660">
            <v>21.161339999999999</v>
          </cell>
          <cell r="BA1660">
            <v>39661</v>
          </cell>
          <cell r="BC1660">
            <v>27.0703</v>
          </cell>
          <cell r="BH1660">
            <v>39661</v>
          </cell>
          <cell r="BJ1660">
            <v>21.51248</v>
          </cell>
        </row>
        <row r="1661">
          <cell r="D1661">
            <v>39660</v>
          </cell>
          <cell r="F1661">
            <v>109.38634999999999</v>
          </cell>
          <cell r="K1661">
            <v>39660</v>
          </cell>
          <cell r="M1661">
            <v>19.471710000000002</v>
          </cell>
          <cell r="R1661">
            <v>39660</v>
          </cell>
          <cell r="T1661">
            <v>4.21</v>
          </cell>
          <cell r="Y1661">
            <v>39660</v>
          </cell>
          <cell r="AA1661">
            <v>76.34</v>
          </cell>
          <cell r="AF1661">
            <v>39660</v>
          </cell>
          <cell r="AH1661">
            <v>21.142939999999999</v>
          </cell>
          <cell r="AM1661">
            <v>39660</v>
          </cell>
          <cell r="AO1661">
            <v>33.169750000000001</v>
          </cell>
          <cell r="AT1661">
            <v>39660</v>
          </cell>
          <cell r="AV1661">
            <v>20.50826</v>
          </cell>
          <cell r="BA1661">
            <v>39660</v>
          </cell>
          <cell r="BC1661">
            <v>30.984539999999999</v>
          </cell>
          <cell r="BH1661">
            <v>39660</v>
          </cell>
          <cell r="BJ1661">
            <v>21.57349</v>
          </cell>
        </row>
        <row r="1662">
          <cell r="D1662">
            <v>39659</v>
          </cell>
          <cell r="F1662">
            <v>110.13849999999999</v>
          </cell>
          <cell r="K1662">
            <v>39659</v>
          </cell>
          <cell r="M1662">
            <v>19.6311</v>
          </cell>
          <cell r="R1662">
            <v>39659</v>
          </cell>
          <cell r="T1662">
            <v>4.2300000000000004</v>
          </cell>
          <cell r="Y1662">
            <v>39659</v>
          </cell>
          <cell r="AA1662">
            <v>78.209999999999994</v>
          </cell>
          <cell r="AF1662">
            <v>39659</v>
          </cell>
          <cell r="AH1662">
            <v>21.266649999999998</v>
          </cell>
          <cell r="AM1662">
            <v>39659</v>
          </cell>
          <cell r="AO1662">
            <v>32.410420000000002</v>
          </cell>
          <cell r="AT1662">
            <v>39659</v>
          </cell>
          <cell r="AV1662">
            <v>20.432600000000001</v>
          </cell>
          <cell r="BA1662">
            <v>39659</v>
          </cell>
          <cell r="BC1662">
            <v>30.984539999999999</v>
          </cell>
          <cell r="BH1662">
            <v>39659</v>
          </cell>
          <cell r="BJ1662">
            <v>22.092040000000001</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wnership"/>
      <sheetName val="tmarcdarun"/>
      <sheetName val="DCF Main "/>
      <sheetName val="Public Comp"/>
      <sheetName val="Data"/>
      <sheetName val="AcqMatrix"/>
      <sheetName val="Cover Sheet"/>
      <sheetName val="CSHFL00INC"/>
      <sheetName val="Summary"/>
      <sheetName val="Sched A9"/>
      <sheetName val="Co. BS 2002"/>
      <sheetName val="Co.-Monthly 2002"/>
      <sheetName val="Shipments &amp; Margin - YTD"/>
      <sheetName val="France - 2004"/>
      <sheetName val="Projections"/>
      <sheetName val="Worksheet"/>
      <sheetName val="Champion"/>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pCache"/>
      <sheetName val="BneWorkBookProperties"/>
      <sheetName val="BneLog"/>
      <sheetName val="Oracle Add- Ins"/>
      <sheetName val="JE Apr12"/>
      <sheetName val="JE"/>
    </sheetNames>
    <sheetDataSet>
      <sheetData sheetId="0" refreshError="1">
        <row r="1">
          <cell r="A1" t="str">
            <v>No</v>
          </cell>
        </row>
        <row r="2">
          <cell r="A2" t="str">
            <v>Yes</v>
          </cell>
        </row>
      </sheetData>
      <sheetData sheetId="1" refreshError="1"/>
      <sheetData sheetId="2" refreshError="1"/>
      <sheetData sheetId="3" refreshError="1"/>
      <sheetData sheetId="4" refreshError="1"/>
      <sheetData sheetId="5"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Trans Assum &amp; Overview"/>
      <sheetName val="Combined Company"/>
      <sheetName val="Pro Forma Credit Statistics"/>
      <sheetName val="GATOR Standalone Financials"/>
      <sheetName val="GATOR BS"/>
      <sheetName val="GATOR Backlog"/>
      <sheetName val="GLOBE Standalone Financials"/>
      <sheetName val="GATOR Revenue Build-Up"/>
      <sheetName val="Backup-----&gt;"/>
      <sheetName val="S &amp; U"/>
      <sheetName val="Cap &amp; Credit Stats"/>
      <sheetName val="GLOBE Revenue Build-Up"/>
      <sheetName val="GLOBE Analysis by Month"/>
      <sheetName val="GATOR Monthly IS"/>
      <sheetName val="Threshold"/>
      <sheetName val="GATOR TSM"/>
      <sheetName val="GLOBE IS Mo"/>
      <sheetName val="GLOBE IS Quart"/>
      <sheetName val="DIL4"/>
      <sheetName val="Assumptions"/>
      <sheetName val="AcqShares"/>
      <sheetName val="TgtShares"/>
      <sheetName val="Co. C"/>
      <sheetName val="LBO"/>
      <sheetName val="Summary"/>
      <sheetName val="Comp. Transaction"/>
      <sheetName val="LBOSHELL"/>
    </sheetNames>
    <sheetDataSet>
      <sheetData sheetId="0"/>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nks"/>
      <sheetName val="Summary"/>
      <sheetName val="JE Info"/>
      <sheetName val="Fut Min Lease Pay-Q1 '10-End"/>
      <sheetName val="11105 LA Showroom"/>
      <sheetName val="11106 NY Showroom"/>
      <sheetName val="11108 Atlanta Showroom"/>
      <sheetName val=".1 Manhattan Beach"/>
      <sheetName val=".2 Prince St"/>
      <sheetName val=".3 Robertson Blvd"/>
      <sheetName val=".4 Collins Ave"/>
      <sheetName val=".5 2202 N. Halsted"/>
      <sheetName val=".6 Short Hills"/>
      <sheetName val=".7 Corte Madera"/>
      <sheetName val=".8 Miracle @ Aladdin"/>
      <sheetName val=".9 Houston Galleria"/>
      <sheetName val=".10 Valley Fair"/>
      <sheetName val=".11 Lenox Square"/>
      <sheetName val=".12 NorthPark Center"/>
      <sheetName val=".013 Fashion Show"/>
      <sheetName val=".014 Wall St."/>
      <sheetName val=".015 Beachwood Place"/>
      <sheetName val=".016 San Fran Center"/>
      <sheetName val=".017 St. Johns"/>
      <sheetName val=".018 Shops at Americana"/>
      <sheetName val=".019  Newbury - Boston"/>
      <sheetName val=".020 Pentagon City"/>
      <sheetName val=".021 Ala Moana"/>
      <sheetName val=".021 Ala Moana Storage"/>
      <sheetName val=".022 Fashion Valley Mall"/>
      <sheetName val=".023 1122 3rd Ave"/>
      <sheetName val=".024 Shops @ Columbus Circle"/>
      <sheetName val=".025 Tyson's Corner"/>
      <sheetName val=".026 Garden State Plz."/>
      <sheetName val="027 863 Broadway"/>
      <sheetName val="028 Topanga"/>
      <sheetName val=".029 1604 Walnut St"/>
      <sheetName val=".030 Ross Park"/>
      <sheetName val="31-Northbrook"/>
      <sheetName val="32-Aventura"/>
      <sheetName val="33-Mall of America"/>
      <sheetName val="34-Boca Town Ctr"/>
      <sheetName val="35-Mall at Millenia"/>
      <sheetName val="36-Somerset Collection"/>
      <sheetName val="37-La Cantera"/>
      <sheetName val="38-Pioneer Place"/>
      <sheetName val="39-Century City"/>
      <sheetName val="40-Beverly Center"/>
      <sheetName val="41-Roseville"/>
      <sheetName val="42-Bellevue Square"/>
      <sheetName val="43-The Pier"/>
      <sheetName val="44-Fashion Square"/>
      <sheetName val="45-The Gardens"/>
      <sheetName val="46-Park Meadows"/>
      <sheetName val="47 - Pacific Place"/>
      <sheetName val="48-Valencia"/>
      <sheetName val="49-Scottsdale Fashion Square"/>
      <sheetName val="51-International Plaza"/>
      <sheetName val="53-Santa Monica Place"/>
      <sheetName val="BneWorkBookProperties"/>
      <sheetName val="54-Malibu Village @ Cross Creek"/>
      <sheetName val="55-Permiter Mall"/>
      <sheetName val="56-Dadeland"/>
      <sheetName val="57-Southpark"/>
      <sheetName val="58-Mall @ Green Hills"/>
      <sheetName val="59-Fashion Island"/>
      <sheetName val="61-Westchester"/>
      <sheetName val="62-Los Cerritos"/>
      <sheetName val="63-Mission Viejo"/>
      <sheetName val="64-3225 M St., D.C."/>
      <sheetName val="65-Washington Square"/>
      <sheetName val="66-Broadway Plaza"/>
      <sheetName val="68-State St."/>
      <sheetName val="69-Bridgewater"/>
      <sheetName val="70-Forum Shops"/>
      <sheetName val="301 Desert Hills "/>
      <sheetName val="302 Woodbury Common"/>
      <sheetName val="303 Las Vegas Premium"/>
      <sheetName val="304 Houston Premium"/>
      <sheetName val="305 Rio Grande Prem"/>
      <sheetName val="306 Williamsburg"/>
      <sheetName val="307 - Philadelphia Prem"/>
      <sheetName val="308-Wrentham"/>
      <sheetName val="309 - Riverhead"/>
      <sheetName val="310 - Miromar Outlets"/>
      <sheetName val="311 - San Marcos"/>
      <sheetName val="312-Waikele Village"/>
      <sheetName val="313-Camarillo"/>
      <sheetName val="314-Chicago Prem."/>
      <sheetName val="315-Sawgrass Mills"/>
      <sheetName val="317-Jersey Shores"/>
      <sheetName val="318-Carlsbad"/>
      <sheetName val="319 North Georgia"/>
      <sheetName val="320 Las Americas"/>
      <sheetName val="321 Orlando Premium"/>
      <sheetName val="322 Gilroy Premium"/>
      <sheetName val="323 Prime Outelts Orlando"/>
      <sheetName val="324 Seattle Premium"/>
      <sheetName val=" Oyster Bay"/>
      <sheetName val="Livermore"/>
      <sheetName val="A. Corporate-Vernon"/>
      <sheetName val="B. Expired Rio Vista 1525-1535"/>
      <sheetName val="C. Expired Rio Vista 1557"/>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row r="71">
          <cell r="C71">
            <v>64365.84</v>
          </cell>
        </row>
      </sheetData>
      <sheetData sheetId="101"/>
      <sheetData sheetId="102"/>
      <sheetData sheetId="103"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nks"/>
      <sheetName val="Summary"/>
      <sheetName val="JE Info"/>
      <sheetName val="Fut Min Lease Pay"/>
      <sheetName val=".1 Manhattan Beach"/>
      <sheetName val=".2 Prince St"/>
      <sheetName val=".3 Robertson Blvd"/>
      <sheetName val=".4 Collins Ave"/>
      <sheetName val=".5 2202 N. Halsted"/>
      <sheetName val=".6 Short Hills"/>
      <sheetName val=".7 Corte Madera"/>
      <sheetName val=".8 Miracle @ Aladdin"/>
      <sheetName val=".9 Houston Galleria"/>
      <sheetName val=".10 Valley Fair"/>
      <sheetName val=".11 Lenox Square"/>
      <sheetName val=".12 NorthPark Center"/>
      <sheetName val=".013 Fashion Show"/>
      <sheetName val=".015 Beachwood Place"/>
      <sheetName val=".016 San Fran Center"/>
      <sheetName val=".017 St. Johns"/>
      <sheetName val=".018 Shops at Americana"/>
      <sheetName val=".022 Fashion Valley Mall"/>
      <sheetName val="301 Desert Hills "/>
      <sheetName val="302 Woodbury Common"/>
      <sheetName val="303 Las Vegas Premium"/>
      <sheetName val=" Oyster Bay"/>
      <sheetName val="A. Corporate-Vernon"/>
      <sheetName val="B. Expired Rio Vista 1525-1535"/>
      <sheetName val="C. Expired Rio Vista 1557"/>
      <sheetName val="Store Locations"/>
      <sheetName val="Confirm Delivery D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 Corp"/>
      <sheetName val="BB Data"/>
      <sheetName val="Screen"/>
      <sheetName val="Vertical Data"/>
      <sheetName val="Data"/>
      <sheetName val="DS_Valuation_Measures"/>
      <sheetName val="DS_Industry_Specif"/>
    </sheetNames>
    <sheetDataSet>
      <sheetData sheetId="0"/>
      <sheetData sheetId="1" refreshError="1"/>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1"/>
  <sheetViews>
    <sheetView workbookViewId="0"/>
  </sheetViews>
  <sheetFormatPr defaultRowHeight="12.5" x14ac:dyDescent="0.25"/>
  <sheetData>
    <row r="1" spans="1:4" x14ac:dyDescent="0.25">
      <c r="A1">
        <v>4</v>
      </c>
      <c r="B1" t="s">
        <v>10</v>
      </c>
      <c r="C1" t="s">
        <v>11</v>
      </c>
      <c r="D1" t="s">
        <v>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52B53-34D6-4C72-A01B-DE099331053F}">
  <dimension ref="A1:A7"/>
  <sheetViews>
    <sheetView showGridLines="0" tabSelected="1" workbookViewId="0"/>
  </sheetViews>
  <sheetFormatPr defaultRowHeight="12.5" x14ac:dyDescent="0.25"/>
  <cols>
    <col min="1" max="16384" width="8.7265625" style="27"/>
  </cols>
  <sheetData>
    <row r="1" spans="1:1" ht="13" x14ac:dyDescent="0.25">
      <c r="A1" s="85" t="s">
        <v>80</v>
      </c>
    </row>
    <row r="2" spans="1:1" x14ac:dyDescent="0.25">
      <c r="A2" s="85" t="s">
        <v>81</v>
      </c>
    </row>
    <row r="3" spans="1:1" x14ac:dyDescent="0.25">
      <c r="A3" s="85" t="s">
        <v>82</v>
      </c>
    </row>
    <row r="4" spans="1:1" x14ac:dyDescent="0.25">
      <c r="A4" s="85" t="s">
        <v>83</v>
      </c>
    </row>
    <row r="5" spans="1:1" x14ac:dyDescent="0.25">
      <c r="A5" s="85" t="s">
        <v>84</v>
      </c>
    </row>
    <row r="6" spans="1:1" x14ac:dyDescent="0.25">
      <c r="A6" s="85" t="s">
        <v>85</v>
      </c>
    </row>
    <row r="7" spans="1:1" ht="13" x14ac:dyDescent="0.25">
      <c r="A7" s="86" t="s">
        <v>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314"/>
  <sheetViews>
    <sheetView showGridLines="0" zoomScale="80" workbookViewId="0">
      <selection activeCell="E9" sqref="E9"/>
    </sheetView>
  </sheetViews>
  <sheetFormatPr defaultColWidth="0" defaultRowHeight="13" zeroHeight="1" x14ac:dyDescent="0.3"/>
  <cols>
    <col min="1" max="1" width="3.6328125" style="27" customWidth="1"/>
    <col min="2" max="2" width="29.08984375" style="35" bestFit="1" customWidth="1"/>
    <col min="3" max="3" width="14.6328125" style="36" customWidth="1"/>
    <col min="4" max="4" width="11.453125" style="34" bestFit="1" customWidth="1"/>
    <col min="5" max="5" width="11.453125" style="34" customWidth="1"/>
    <col min="6" max="6" width="17.81640625" style="27" bestFit="1" customWidth="1"/>
    <col min="7" max="7" width="18.81640625" style="27" bestFit="1" customWidth="1"/>
    <col min="8" max="12" width="9.1796875" style="27" customWidth="1"/>
    <col min="13" max="13" width="9.7265625" style="27" bestFit="1" customWidth="1"/>
    <col min="14" max="14" width="10.90625" style="27" bestFit="1" customWidth="1"/>
    <col min="15" max="15" width="9.1796875" style="27" customWidth="1"/>
    <col min="16" max="16" width="11.36328125" style="27" bestFit="1" customWidth="1"/>
    <col min="17" max="17" width="9.1796875" style="27" customWidth="1"/>
    <col min="18" max="18" width="11.54296875" style="27" bestFit="1" customWidth="1"/>
    <col min="19" max="19" width="13" style="27" bestFit="1" customWidth="1"/>
    <col min="20" max="20" width="17.26953125" style="27" bestFit="1" customWidth="1"/>
    <col min="21" max="21" width="1.6328125" style="27" customWidth="1"/>
    <col min="22" max="22" width="17.36328125" style="27" bestFit="1" customWidth="1"/>
    <col min="23" max="23" width="18.26953125" style="27" bestFit="1" customWidth="1"/>
    <col min="24" max="24" width="9.1796875" style="27" customWidth="1"/>
    <col min="25" max="16384" width="0" style="27" hidden="1"/>
  </cols>
  <sheetData>
    <row r="1" spans="1:16" x14ac:dyDescent="0.3"/>
    <row r="2" spans="1:16" x14ac:dyDescent="0.3">
      <c r="B2" s="82" t="s">
        <v>77</v>
      </c>
    </row>
    <row r="3" spans="1:16" x14ac:dyDescent="0.3"/>
    <row r="4" spans="1:16" x14ac:dyDescent="0.3"/>
    <row r="5" spans="1:16" x14ac:dyDescent="0.3"/>
    <row r="6" spans="1:16" x14ac:dyDescent="0.3"/>
    <row r="7" spans="1:16" x14ac:dyDescent="0.3">
      <c r="A7" s="27" t="s">
        <v>51</v>
      </c>
      <c r="B7" s="60" t="s">
        <v>52</v>
      </c>
      <c r="C7" s="59"/>
      <c r="D7" s="59"/>
      <c r="O7" s="60" t="s">
        <v>45</v>
      </c>
    </row>
    <row r="8" spans="1:16" ht="4" customHeight="1" x14ac:dyDescent="0.3"/>
    <row r="9" spans="1:16" x14ac:dyDescent="0.3">
      <c r="B9" s="55" t="s">
        <v>13</v>
      </c>
      <c r="C9" s="56" t="s">
        <v>54</v>
      </c>
      <c r="D9" s="57">
        <f>D22</f>
        <v>20.861950781938845</v>
      </c>
      <c r="O9" s="33" t="s">
        <v>46</v>
      </c>
      <c r="P9" s="32" t="s">
        <v>47</v>
      </c>
    </row>
    <row r="10" spans="1:16" x14ac:dyDescent="0.3">
      <c r="B10" s="55" t="s">
        <v>56</v>
      </c>
      <c r="C10" s="56" t="s">
        <v>44</v>
      </c>
      <c r="D10" s="58">
        <v>1000</v>
      </c>
      <c r="O10" s="43">
        <v>123</v>
      </c>
      <c r="P10" s="35" t="s">
        <v>43</v>
      </c>
    </row>
    <row r="11" spans="1:16" ht="13.5" thickBot="1" x14ac:dyDescent="0.35">
      <c r="B11" s="37" t="s">
        <v>53</v>
      </c>
      <c r="C11" s="38" t="s">
        <v>23</v>
      </c>
      <c r="D11" s="31">
        <f>D9*D10</f>
        <v>20861.950781938845</v>
      </c>
      <c r="O11" s="79">
        <v>123</v>
      </c>
      <c r="P11" s="76" t="s">
        <v>73</v>
      </c>
    </row>
    <row r="12" spans="1:16" x14ac:dyDescent="0.3">
      <c r="B12" s="55"/>
      <c r="C12" s="56"/>
      <c r="D12" s="50"/>
      <c r="O12" s="62"/>
    </row>
    <row r="13" spans="1:16" x14ac:dyDescent="0.3"/>
    <row r="14" spans="1:16" x14ac:dyDescent="0.3">
      <c r="B14" s="60" t="s">
        <v>55</v>
      </c>
    </row>
    <row r="15" spans="1:16" ht="4" customHeight="1" x14ac:dyDescent="0.3"/>
    <row r="16" spans="1:16" x14ac:dyDescent="0.3">
      <c r="B16" s="32" t="s">
        <v>42</v>
      </c>
      <c r="C16" s="32" t="s">
        <v>22</v>
      </c>
      <c r="D16" s="41"/>
      <c r="E16" s="51"/>
    </row>
    <row r="17" spans="2:5" x14ac:dyDescent="0.3">
      <c r="B17" s="35" t="s">
        <v>30</v>
      </c>
      <c r="C17" s="36" t="s">
        <v>23</v>
      </c>
      <c r="D17" s="42">
        <f>'Share Price'!$B$5</f>
        <v>155.87</v>
      </c>
      <c r="E17" s="42"/>
    </row>
    <row r="18" spans="2:5" x14ac:dyDescent="0.3">
      <c r="B18" s="35" t="s">
        <v>29</v>
      </c>
      <c r="C18" s="36" t="s">
        <v>23</v>
      </c>
      <c r="D18" s="42">
        <f>'Share Price'!$B$6</f>
        <v>155.38999999999999</v>
      </c>
      <c r="E18" s="42"/>
    </row>
    <row r="19" spans="2:5" x14ac:dyDescent="0.3">
      <c r="B19" s="35" t="s">
        <v>25</v>
      </c>
      <c r="C19" s="36" t="s">
        <v>24</v>
      </c>
      <c r="D19" s="43">
        <v>3</v>
      </c>
      <c r="E19" s="52"/>
    </row>
    <row r="20" spans="2:5" x14ac:dyDescent="0.3">
      <c r="B20" s="35" t="s">
        <v>27</v>
      </c>
      <c r="C20" s="36" t="s">
        <v>26</v>
      </c>
      <c r="D20" s="44">
        <f>'Risk-Free'!$D$11</f>
        <v>8.6E-3</v>
      </c>
      <c r="E20" s="44"/>
    </row>
    <row r="21" spans="2:5" x14ac:dyDescent="0.3">
      <c r="B21" s="35" t="s">
        <v>15</v>
      </c>
      <c r="C21" s="36" t="s">
        <v>26</v>
      </c>
      <c r="D21" s="44">
        <f>$G$40</f>
        <v>0.17548498839674889</v>
      </c>
      <c r="E21" s="44"/>
    </row>
    <row r="22" spans="2:5" ht="13.5" thickBot="1" x14ac:dyDescent="0.35">
      <c r="B22" s="37" t="s">
        <v>13</v>
      </c>
      <c r="C22" s="38" t="s">
        <v>23</v>
      </c>
      <c r="D22" s="67">
        <f>IFERROR((D17*D25-D18*D26*D27),"N/A")</f>
        <v>20.861950781938845</v>
      </c>
      <c r="E22" s="45"/>
    </row>
    <row r="23" spans="2:5" x14ac:dyDescent="0.3">
      <c r="E23" s="50"/>
    </row>
    <row r="24" spans="2:5" x14ac:dyDescent="0.3">
      <c r="B24" s="32" t="s">
        <v>21</v>
      </c>
      <c r="C24" s="32"/>
      <c r="D24" s="41"/>
    </row>
    <row r="25" spans="2:5" ht="15.5" x14ac:dyDescent="0.4">
      <c r="B25" s="35" t="s">
        <v>18</v>
      </c>
      <c r="C25" s="39"/>
      <c r="D25" s="29">
        <f>IFERROR(_xlfn.NORM.S.DIST(D30,TRUE),"N/A")</f>
        <v>0.59754758145076226</v>
      </c>
      <c r="E25" s="51"/>
    </row>
    <row r="26" spans="2:5" ht="15.5" x14ac:dyDescent="0.4">
      <c r="B26" s="35" t="s">
        <v>19</v>
      </c>
      <c r="C26" s="39"/>
      <c r="D26" s="29">
        <f>IFERROR(_xlfn.NORM.S.DIST(D31,TRUE),"N/A")</f>
        <v>0.47729468725587459</v>
      </c>
      <c r="E26" s="53"/>
    </row>
    <row r="27" spans="2:5" ht="15" thickBot="1" x14ac:dyDescent="0.3">
      <c r="B27" s="69" t="s">
        <v>20</v>
      </c>
      <c r="C27" s="70"/>
      <c r="D27" s="71">
        <f>EXP(-D20*D19)</f>
        <v>0.97452997611467207</v>
      </c>
      <c r="E27" s="53"/>
    </row>
    <row r="28" spans="2:5" x14ac:dyDescent="0.3">
      <c r="E28" s="53"/>
    </row>
    <row r="29" spans="2:5" x14ac:dyDescent="0.3">
      <c r="B29" s="32" t="s">
        <v>28</v>
      </c>
      <c r="C29" s="32"/>
      <c r="D29" s="41"/>
    </row>
    <row r="30" spans="2:5" ht="15.5" x14ac:dyDescent="0.4">
      <c r="B30" s="35" t="s">
        <v>16</v>
      </c>
      <c r="D30" s="29">
        <f>IFERROR((D32+D33*D19)/D34,"N/A")</f>
        <v>0.24700437643157658</v>
      </c>
      <c r="E30" s="51"/>
    </row>
    <row r="31" spans="2:5" ht="15.5" x14ac:dyDescent="0.4">
      <c r="B31" s="35" t="s">
        <v>17</v>
      </c>
      <c r="D31" s="29">
        <f>IFERROR(D30-D34,"N/A")</f>
        <v>-5.6944539437227382E-2</v>
      </c>
      <c r="E31" s="53"/>
    </row>
    <row r="32" spans="2:5" x14ac:dyDescent="0.3">
      <c r="B32" s="40" t="s">
        <v>31</v>
      </c>
      <c r="D32" s="30">
        <f>IFERROR(LN(D17/D18),"N/A")</f>
        <v>3.0842407023170125E-3</v>
      </c>
      <c r="E32" s="53"/>
    </row>
    <row r="33" spans="2:7" ht="15" x14ac:dyDescent="0.3">
      <c r="B33" s="40" t="s">
        <v>67</v>
      </c>
      <c r="D33" s="30">
        <f>(D20+(D21^2)/2)</f>
        <v>2.3997490576303546E-2</v>
      </c>
      <c r="E33" s="54"/>
    </row>
    <row r="34" spans="2:7" ht="13.5" thickBot="1" x14ac:dyDescent="0.35">
      <c r="B34" s="72" t="s">
        <v>14</v>
      </c>
      <c r="C34" s="73"/>
      <c r="D34" s="74">
        <f>D21*SQRT(D19)</f>
        <v>0.30394891586880396</v>
      </c>
      <c r="E34" s="54"/>
    </row>
    <row r="35" spans="2:7" x14ac:dyDescent="0.3">
      <c r="E35" s="46"/>
    </row>
    <row r="36" spans="2:7" x14ac:dyDescent="0.3"/>
    <row r="37" spans="2:7" x14ac:dyDescent="0.3">
      <c r="B37" s="60" t="s">
        <v>78</v>
      </c>
      <c r="C37" s="27"/>
      <c r="D37" s="27"/>
      <c r="E37" s="27"/>
    </row>
    <row r="38" spans="2:7" ht="4" customHeight="1" x14ac:dyDescent="0.25">
      <c r="B38" s="27"/>
      <c r="C38" s="27"/>
      <c r="D38" s="27"/>
      <c r="E38" s="27"/>
    </row>
    <row r="39" spans="2:7" x14ac:dyDescent="0.3">
      <c r="B39" s="32" t="s">
        <v>0</v>
      </c>
      <c r="C39" s="33" t="s">
        <v>8</v>
      </c>
      <c r="D39" s="33" t="s">
        <v>48</v>
      </c>
      <c r="E39" s="27"/>
      <c r="F39" s="33" t="s">
        <v>49</v>
      </c>
      <c r="G39" s="33" t="s">
        <v>50</v>
      </c>
    </row>
    <row r="40" spans="2:7" x14ac:dyDescent="0.3">
      <c r="B40" s="1">
        <f>'Share Price'!A5</f>
        <v>42027</v>
      </c>
      <c r="C40">
        <f>'Share Price'!B5</f>
        <v>155.87</v>
      </c>
      <c r="D40" s="47">
        <f>LN(C40/C41)</f>
        <v>3.0842407023170125E-3</v>
      </c>
      <c r="E40" s="27"/>
      <c r="F40" s="48">
        <f>_xlfn.STDEV.P(D40:D291)</f>
        <v>1.1054515193401258E-2</v>
      </c>
      <c r="G40" s="49">
        <f>F40*SQRT(COUNT(B40:B291))</f>
        <v>0.17548498839674889</v>
      </c>
    </row>
    <row r="41" spans="2:7" ht="12.5" x14ac:dyDescent="0.25">
      <c r="B41" s="1">
        <f>'Share Price'!A6</f>
        <v>42026</v>
      </c>
      <c r="C41">
        <f>'Share Price'!B6</f>
        <v>155.38999999999999</v>
      </c>
      <c r="D41" s="47">
        <f>LN(C41/C42)</f>
        <v>2.1465634914365244E-2</v>
      </c>
      <c r="E41" s="27"/>
    </row>
    <row r="42" spans="2:7" ht="12.5" x14ac:dyDescent="0.25">
      <c r="B42" s="1">
        <f>'Share Price'!A7</f>
        <v>42025</v>
      </c>
      <c r="C42">
        <f>'Share Price'!B7</f>
        <v>152.09</v>
      </c>
      <c r="D42" s="47">
        <f t="shared" ref="D42:D104" si="0">LN(C42/C43)</f>
        <v>-3.1454832403685053E-2</v>
      </c>
      <c r="E42" s="27"/>
    </row>
    <row r="43" spans="2:7" ht="12.5" x14ac:dyDescent="0.25">
      <c r="B43" s="1">
        <f>'Share Price'!A8</f>
        <v>42024</v>
      </c>
      <c r="C43">
        <f>'Share Price'!B8</f>
        <v>156.94999999999999</v>
      </c>
      <c r="D43" s="47">
        <f t="shared" si="0"/>
        <v>-1.209844459712941E-3</v>
      </c>
      <c r="E43" s="27"/>
    </row>
    <row r="44" spans="2:7" ht="12.5" x14ac:dyDescent="0.25">
      <c r="B44" s="1">
        <f>'Share Price'!A9</f>
        <v>42020</v>
      </c>
      <c r="C44">
        <f>'Share Price'!B9</f>
        <v>157.13999999999999</v>
      </c>
      <c r="D44" s="47">
        <f t="shared" si="0"/>
        <v>1.649005958344818E-2</v>
      </c>
      <c r="E44" s="27"/>
    </row>
    <row r="45" spans="2:7" ht="12.5" x14ac:dyDescent="0.25">
      <c r="B45" s="1">
        <f>'Share Price'!A10</f>
        <v>42019</v>
      </c>
      <c r="C45">
        <f>'Share Price'!B10</f>
        <v>154.57</v>
      </c>
      <c r="D45" s="47">
        <f t="shared" si="0"/>
        <v>-7.9260652724208267E-3</v>
      </c>
      <c r="E45" s="27"/>
    </row>
    <row r="46" spans="2:7" ht="12.5" x14ac:dyDescent="0.25">
      <c r="B46" s="1">
        <f>'Share Price'!A11</f>
        <v>42018</v>
      </c>
      <c r="C46">
        <f>'Share Price'!B11</f>
        <v>155.80000000000001</v>
      </c>
      <c r="D46" s="47">
        <f t="shared" si="0"/>
        <v>-6.4617479562921664E-3</v>
      </c>
      <c r="E46" s="27"/>
    </row>
    <row r="47" spans="2:7" ht="12.5" x14ac:dyDescent="0.25">
      <c r="B47" s="1">
        <f>'Share Price'!A12</f>
        <v>42017</v>
      </c>
      <c r="C47">
        <f>'Share Price'!B12</f>
        <v>156.81</v>
      </c>
      <c r="D47" s="47">
        <f t="shared" si="0"/>
        <v>2.362331505626843E-3</v>
      </c>
      <c r="E47" s="27"/>
    </row>
    <row r="48" spans="2:7" ht="12.5" x14ac:dyDescent="0.25">
      <c r="B48" s="1">
        <f>'Share Price'!A13</f>
        <v>42016</v>
      </c>
      <c r="C48">
        <f>'Share Price'!B13</f>
        <v>156.44</v>
      </c>
      <c r="D48" s="47">
        <f t="shared" si="0"/>
        <v>-1.6923237032451837E-2</v>
      </c>
      <c r="E48" s="27"/>
    </row>
    <row r="49" spans="2:5" ht="12.5" x14ac:dyDescent="0.25">
      <c r="B49" s="1">
        <f>'Share Price'!A14</f>
        <v>42013</v>
      </c>
      <c r="C49">
        <f>'Share Price'!B14</f>
        <v>159.11000000000001</v>
      </c>
      <c r="D49" s="47">
        <f t="shared" si="0"/>
        <v>4.3460528836317845E-3</v>
      </c>
      <c r="E49" s="27"/>
    </row>
    <row r="50" spans="2:5" ht="12.5" x14ac:dyDescent="0.25">
      <c r="B50" s="1">
        <f>'Share Price'!A15</f>
        <v>42012</v>
      </c>
      <c r="C50">
        <f>'Share Price'!B15</f>
        <v>158.41999999999999</v>
      </c>
      <c r="D50" s="47">
        <f t="shared" si="0"/>
        <v>2.1502088489675532E-2</v>
      </c>
      <c r="E50" s="27"/>
    </row>
    <row r="51" spans="2:5" ht="12.5" x14ac:dyDescent="0.25">
      <c r="B51" s="1">
        <f>'Share Price'!A16</f>
        <v>42011</v>
      </c>
      <c r="C51">
        <f>'Share Price'!B16</f>
        <v>155.05000000000001</v>
      </c>
      <c r="D51" s="47">
        <f t="shared" si="0"/>
        <v>-6.5569790080042189E-3</v>
      </c>
      <c r="E51" s="27"/>
    </row>
    <row r="52" spans="2:5" ht="12.5" x14ac:dyDescent="0.25">
      <c r="B52" s="1">
        <f>'Share Price'!A17</f>
        <v>42010</v>
      </c>
      <c r="C52">
        <f>'Share Price'!B17</f>
        <v>156.07</v>
      </c>
      <c r="D52" s="47">
        <f t="shared" si="0"/>
        <v>-2.1801991629894515E-2</v>
      </c>
      <c r="E52" s="27"/>
    </row>
    <row r="53" spans="2:5" ht="12.5" x14ac:dyDescent="0.25">
      <c r="B53" s="1">
        <f>'Share Price'!A18</f>
        <v>42009</v>
      </c>
      <c r="C53">
        <f>'Share Price'!B18</f>
        <v>159.51</v>
      </c>
      <c r="D53" s="47">
        <f t="shared" si="0"/>
        <v>-1.5860020848222467E-2</v>
      </c>
      <c r="E53" s="27"/>
    </row>
    <row r="54" spans="2:5" ht="12.5" x14ac:dyDescent="0.25">
      <c r="B54" s="1">
        <f>'Share Price'!A19</f>
        <v>42006</v>
      </c>
      <c r="C54">
        <f>'Share Price'!B19</f>
        <v>162.06</v>
      </c>
      <c r="D54" s="47">
        <f t="shared" si="0"/>
        <v>1.0046596130727163E-2</v>
      </c>
      <c r="E54" s="27"/>
    </row>
    <row r="55" spans="2:5" ht="12.5" x14ac:dyDescent="0.25">
      <c r="B55" s="1">
        <f>'Share Price'!A20</f>
        <v>42004</v>
      </c>
      <c r="C55">
        <f>'Share Price'!B20</f>
        <v>160.44</v>
      </c>
      <c r="D55" s="47">
        <f t="shared" si="0"/>
        <v>2.4337744859798663E-3</v>
      </c>
      <c r="E55" s="27"/>
    </row>
    <row r="56" spans="2:5" ht="12.5" x14ac:dyDescent="0.25">
      <c r="B56" s="1">
        <f>'Share Price'!A21</f>
        <v>42003</v>
      </c>
      <c r="C56">
        <f>'Share Price'!B21</f>
        <v>160.05000000000001</v>
      </c>
      <c r="D56" s="47">
        <f t="shared" si="0"/>
        <v>-2.8699795092542021E-3</v>
      </c>
      <c r="E56" s="27"/>
    </row>
    <row r="57" spans="2:5" ht="12.5" x14ac:dyDescent="0.25">
      <c r="B57" s="1">
        <f>'Share Price'!A22</f>
        <v>42002</v>
      </c>
      <c r="C57">
        <f>'Share Price'!B22</f>
        <v>160.51</v>
      </c>
      <c r="D57" s="47">
        <f t="shared" si="0"/>
        <v>-1.1336655407903304E-2</v>
      </c>
      <c r="E57" s="27"/>
    </row>
    <row r="58" spans="2:5" ht="12.5" x14ac:dyDescent="0.25">
      <c r="B58" s="1">
        <f>'Share Price'!A23</f>
        <v>41999</v>
      </c>
      <c r="C58">
        <f>'Share Price'!B23</f>
        <v>162.34</v>
      </c>
      <c r="D58" s="47">
        <f t="shared" si="0"/>
        <v>3.2082949533361318E-3</v>
      </c>
      <c r="E58" s="27"/>
    </row>
    <row r="59" spans="2:5" ht="12.5" x14ac:dyDescent="0.25">
      <c r="B59" s="1">
        <f>'Share Price'!A24</f>
        <v>41997</v>
      </c>
      <c r="C59">
        <f>'Share Price'!B24</f>
        <v>161.82</v>
      </c>
      <c r="D59" s="47">
        <f t="shared" si="0"/>
        <v>-2.5921140231248557E-3</v>
      </c>
      <c r="E59" s="27"/>
    </row>
    <row r="60" spans="2:5" ht="12.5" x14ac:dyDescent="0.25">
      <c r="B60" s="1">
        <f>'Share Price'!A25</f>
        <v>41996</v>
      </c>
      <c r="C60">
        <f>'Share Price'!B25</f>
        <v>162.24</v>
      </c>
      <c r="D60" s="47">
        <f t="shared" si="0"/>
        <v>4.9431637975195092E-3</v>
      </c>
      <c r="E60" s="27"/>
    </row>
    <row r="61" spans="2:5" ht="12.5" x14ac:dyDescent="0.25">
      <c r="B61" s="1">
        <f>'Share Price'!A26</f>
        <v>41995</v>
      </c>
      <c r="C61">
        <f>'Share Price'!B26</f>
        <v>161.44</v>
      </c>
      <c r="D61" s="47">
        <f t="shared" si="0"/>
        <v>1.8315873795497657E-2</v>
      </c>
      <c r="E61" s="27"/>
    </row>
    <row r="62" spans="2:5" ht="12.5" x14ac:dyDescent="0.25">
      <c r="B62" s="1">
        <f>'Share Price'!A27</f>
        <v>41992</v>
      </c>
      <c r="C62">
        <f>'Share Price'!B27</f>
        <v>158.51</v>
      </c>
      <c r="D62" s="47">
        <f t="shared" si="0"/>
        <v>5.2500199653365076E-3</v>
      </c>
      <c r="E62" s="27"/>
    </row>
    <row r="63" spans="2:5" ht="12.5" x14ac:dyDescent="0.25">
      <c r="B63" s="1">
        <f>'Share Price'!A28</f>
        <v>41991</v>
      </c>
      <c r="C63">
        <f>'Share Price'!B28</f>
        <v>157.68</v>
      </c>
      <c r="D63" s="47">
        <f t="shared" si="0"/>
        <v>3.714777438878962E-2</v>
      </c>
      <c r="E63" s="27"/>
    </row>
    <row r="64" spans="2:5" ht="12.5" x14ac:dyDescent="0.25">
      <c r="B64" s="1">
        <f>'Share Price'!A29</f>
        <v>41990</v>
      </c>
      <c r="C64">
        <f>'Share Price'!B29</f>
        <v>151.93</v>
      </c>
      <c r="D64" s="47">
        <f t="shared" si="0"/>
        <v>3.4284994353945318E-3</v>
      </c>
      <c r="E64" s="27"/>
    </row>
    <row r="65" spans="2:5" ht="12.5" x14ac:dyDescent="0.25">
      <c r="B65" s="1">
        <f>'Share Price'!A30</f>
        <v>41989</v>
      </c>
      <c r="C65">
        <f>'Share Price'!B30</f>
        <v>151.41</v>
      </c>
      <c r="D65" s="47">
        <f t="shared" si="0"/>
        <v>-1.0838612361494332E-2</v>
      </c>
      <c r="E65" s="27"/>
    </row>
    <row r="66" spans="2:5" ht="12.5" x14ac:dyDescent="0.25">
      <c r="B66" s="1">
        <f>'Share Price'!A31</f>
        <v>41988</v>
      </c>
      <c r="C66">
        <f>'Share Price'!B31</f>
        <v>153.06</v>
      </c>
      <c r="D66" s="47">
        <f t="shared" si="0"/>
        <v>-1.5043728140499597E-2</v>
      </c>
      <c r="E66" s="27"/>
    </row>
    <row r="67" spans="2:5" ht="12.5" x14ac:dyDescent="0.25">
      <c r="B67" s="1">
        <f>'Share Price'!A32</f>
        <v>41985</v>
      </c>
      <c r="C67">
        <f>'Share Price'!B32</f>
        <v>155.38</v>
      </c>
      <c r="D67" s="47">
        <f t="shared" si="0"/>
        <v>-3.5965323580313104E-2</v>
      </c>
      <c r="E67" s="27"/>
    </row>
    <row r="68" spans="2:5" ht="12.5" x14ac:dyDescent="0.25">
      <c r="B68" s="1">
        <f>'Share Price'!A33</f>
        <v>41984</v>
      </c>
      <c r="C68">
        <f>'Share Price'!B33</f>
        <v>161.07</v>
      </c>
      <c r="D68" s="47">
        <f t="shared" si="0"/>
        <v>3.4828071774614566E-3</v>
      </c>
      <c r="E68" s="27"/>
    </row>
    <row r="69" spans="2:5" ht="12.5" x14ac:dyDescent="0.25">
      <c r="B69" s="1">
        <f>'Share Price'!A34</f>
        <v>41983</v>
      </c>
      <c r="C69">
        <f>'Share Price'!B34</f>
        <v>160.51</v>
      </c>
      <c r="D69" s="47">
        <f t="shared" si="0"/>
        <v>-1.5332603306415091E-2</v>
      </c>
      <c r="E69" s="27"/>
    </row>
    <row r="70" spans="2:5" ht="12.5" x14ac:dyDescent="0.25">
      <c r="B70" s="1">
        <f>'Share Price'!A35</f>
        <v>41982</v>
      </c>
      <c r="C70">
        <f>'Share Price'!B35</f>
        <v>162.99</v>
      </c>
      <c r="D70" s="47">
        <f t="shared" si="0"/>
        <v>6.9570851639854788E-3</v>
      </c>
      <c r="E70" s="27"/>
    </row>
    <row r="71" spans="2:5" ht="12.5" x14ac:dyDescent="0.25">
      <c r="B71" s="1">
        <f>'Share Price'!A36</f>
        <v>41981</v>
      </c>
      <c r="C71">
        <f>'Share Price'!B36</f>
        <v>161.86000000000001</v>
      </c>
      <c r="D71" s="47">
        <f t="shared" si="0"/>
        <v>-8.6735080705172343E-3</v>
      </c>
      <c r="E71" s="27"/>
    </row>
    <row r="72" spans="2:5" ht="12.5" x14ac:dyDescent="0.25">
      <c r="B72" s="1">
        <f>'Share Price'!A37</f>
        <v>41978</v>
      </c>
      <c r="C72">
        <f>'Share Price'!B37</f>
        <v>163.27000000000001</v>
      </c>
      <c r="D72" s="47">
        <f t="shared" si="0"/>
        <v>-4.7659872690376161E-3</v>
      </c>
      <c r="E72" s="27"/>
    </row>
    <row r="73" spans="2:5" ht="12.5" x14ac:dyDescent="0.25">
      <c r="B73" s="1">
        <f>'Share Price'!A38</f>
        <v>41977</v>
      </c>
      <c r="C73">
        <f>'Share Price'!B38</f>
        <v>164.05</v>
      </c>
      <c r="D73" s="47">
        <f t="shared" si="0"/>
        <v>-2.8608839551126633E-3</v>
      </c>
      <c r="E73" s="27"/>
    </row>
    <row r="74" spans="2:5" ht="12.5" x14ac:dyDescent="0.25">
      <c r="B74" s="1">
        <f>'Share Price'!A39</f>
        <v>41976</v>
      </c>
      <c r="C74">
        <f>'Share Price'!B39</f>
        <v>164.52</v>
      </c>
      <c r="D74" s="47">
        <f t="shared" si="0"/>
        <v>1.1308534583861456E-2</v>
      </c>
      <c r="E74" s="27"/>
    </row>
    <row r="75" spans="2:5" ht="12.5" x14ac:dyDescent="0.25">
      <c r="B75" s="1">
        <f>'Share Price'!A40</f>
        <v>41975</v>
      </c>
      <c r="C75">
        <f>'Share Price'!B40</f>
        <v>162.66999999999999</v>
      </c>
      <c r="D75" s="47">
        <f t="shared" si="0"/>
        <v>6.9708187642117097E-3</v>
      </c>
      <c r="E75" s="27"/>
    </row>
    <row r="76" spans="2:5" ht="12.5" x14ac:dyDescent="0.25">
      <c r="B76" s="1">
        <f>'Share Price'!A41</f>
        <v>41974</v>
      </c>
      <c r="C76">
        <f>'Share Price'!B41</f>
        <v>161.54</v>
      </c>
      <c r="D76" s="47">
        <f t="shared" si="0"/>
        <v>-3.8923777171327471E-3</v>
      </c>
      <c r="E76" s="27"/>
    </row>
    <row r="77" spans="2:5" ht="12.5" x14ac:dyDescent="0.25">
      <c r="B77" s="1">
        <f>'Share Price'!A42</f>
        <v>41971</v>
      </c>
      <c r="C77">
        <f>'Share Price'!B42</f>
        <v>162.16999999999999</v>
      </c>
      <c r="D77" s="47">
        <f t="shared" si="0"/>
        <v>1.3575221139447357E-3</v>
      </c>
      <c r="E77" s="27"/>
    </row>
    <row r="78" spans="2:5" ht="12.5" x14ac:dyDescent="0.25">
      <c r="B78" s="1">
        <f>'Share Price'!A43</f>
        <v>41969</v>
      </c>
      <c r="C78">
        <f>'Share Price'!B43</f>
        <v>161.94999999999999</v>
      </c>
      <c r="D78" s="47">
        <f t="shared" si="0"/>
        <v>1.1738903451769742E-3</v>
      </c>
      <c r="E78" s="27"/>
    </row>
    <row r="79" spans="2:5" ht="12.5" x14ac:dyDescent="0.25">
      <c r="B79" s="1">
        <f>'Share Price'!A44</f>
        <v>41968</v>
      </c>
      <c r="C79">
        <f>'Share Price'!B44</f>
        <v>161.76</v>
      </c>
      <c r="D79" s="47">
        <f t="shared" si="0"/>
        <v>-2.4080774811657663E-3</v>
      </c>
      <c r="E79" s="27"/>
    </row>
    <row r="80" spans="2:5" ht="12.5" x14ac:dyDescent="0.25">
      <c r="B80" s="1">
        <f>'Share Price'!A45</f>
        <v>41967</v>
      </c>
      <c r="C80">
        <f>'Share Price'!B45</f>
        <v>162.15</v>
      </c>
      <c r="D80" s="47">
        <f t="shared" si="0"/>
        <v>7.614485671739551E-3</v>
      </c>
      <c r="E80" s="27"/>
    </row>
    <row r="81" spans="2:5" ht="12.5" x14ac:dyDescent="0.25">
      <c r="B81" s="1">
        <f>'Share Price'!A46</f>
        <v>41964</v>
      </c>
      <c r="C81">
        <f>'Share Price'!B46</f>
        <v>160.91999999999999</v>
      </c>
      <c r="D81" s="47">
        <f t="shared" si="0"/>
        <v>1.7415105782231451E-3</v>
      </c>
      <c r="E81" s="27"/>
    </row>
    <row r="82" spans="2:5" ht="12.5" x14ac:dyDescent="0.25">
      <c r="B82" s="1">
        <f>'Share Price'!A47</f>
        <v>41963</v>
      </c>
      <c r="C82">
        <f>'Share Price'!B47</f>
        <v>160.63999999999999</v>
      </c>
      <c r="D82" s="47">
        <f t="shared" si="0"/>
        <v>-4.9057756660737572E-3</v>
      </c>
      <c r="E82" s="27"/>
    </row>
    <row r="83" spans="2:5" ht="12.5" x14ac:dyDescent="0.25">
      <c r="B83" s="1">
        <f>'Share Price'!A48</f>
        <v>41962</v>
      </c>
      <c r="C83">
        <f>'Share Price'!B48</f>
        <v>161.43</v>
      </c>
      <c r="D83" s="47">
        <f t="shared" si="0"/>
        <v>-2.8454800839763325E-3</v>
      </c>
      <c r="E83" s="27"/>
    </row>
    <row r="84" spans="2:5" ht="12.5" x14ac:dyDescent="0.25">
      <c r="B84" s="1">
        <f>'Share Price'!A49</f>
        <v>41961</v>
      </c>
      <c r="C84">
        <f>'Share Price'!B49</f>
        <v>161.88999999999999</v>
      </c>
      <c r="D84" s="47">
        <f t="shared" si="0"/>
        <v>-1.3924469728990314E-2</v>
      </c>
      <c r="E84" s="27"/>
    </row>
    <row r="85" spans="2:5" ht="12.5" x14ac:dyDescent="0.25">
      <c r="B85" s="1">
        <f>'Share Price'!A50</f>
        <v>41960</v>
      </c>
      <c r="C85">
        <f>'Share Price'!B50</f>
        <v>164.16</v>
      </c>
      <c r="D85" s="47">
        <f t="shared" si="0"/>
        <v>0</v>
      </c>
      <c r="E85" s="27"/>
    </row>
    <row r="86" spans="2:5" ht="12.5" x14ac:dyDescent="0.25">
      <c r="B86" s="1">
        <f>'Share Price'!A51</f>
        <v>41957</v>
      </c>
      <c r="C86">
        <f>'Share Price'!B51</f>
        <v>164.16</v>
      </c>
      <c r="D86" s="47">
        <f t="shared" si="0"/>
        <v>8.3805353619862393E-3</v>
      </c>
      <c r="E86" s="27"/>
    </row>
    <row r="87" spans="2:5" ht="12.5" x14ac:dyDescent="0.25">
      <c r="B87" s="1">
        <f>'Share Price'!A52</f>
        <v>41956</v>
      </c>
      <c r="C87">
        <f>'Share Price'!B52</f>
        <v>162.79</v>
      </c>
      <c r="D87" s="47">
        <f t="shared" si="0"/>
        <v>5.358640521317814E-3</v>
      </c>
      <c r="E87" s="27"/>
    </row>
    <row r="88" spans="2:5" ht="12.5" x14ac:dyDescent="0.25">
      <c r="B88" s="1">
        <f>'Share Price'!A53</f>
        <v>41955</v>
      </c>
      <c r="C88">
        <f>'Share Price'!B53</f>
        <v>161.91999999999999</v>
      </c>
      <c r="D88" s="47">
        <f t="shared" si="0"/>
        <v>-8.4866138773188049E-3</v>
      </c>
      <c r="E88" s="27"/>
    </row>
    <row r="89" spans="2:5" ht="12.5" x14ac:dyDescent="0.25">
      <c r="B89" s="1">
        <f>'Share Price'!A54</f>
        <v>41954</v>
      </c>
      <c r="C89">
        <f>'Share Price'!B54</f>
        <v>163.30000000000001</v>
      </c>
      <c r="D89" s="47">
        <f t="shared" si="0"/>
        <v>-1.162826410901684E-3</v>
      </c>
      <c r="E89" s="27"/>
    </row>
    <row r="90" spans="2:5" ht="12.5" x14ac:dyDescent="0.25">
      <c r="B90" s="1">
        <f>'Share Price'!A55</f>
        <v>41953</v>
      </c>
      <c r="C90">
        <f>'Share Price'!B55</f>
        <v>163.49</v>
      </c>
      <c r="D90" s="47">
        <f t="shared" si="0"/>
        <v>8.7234857172930197E-3</v>
      </c>
      <c r="E90" s="27"/>
    </row>
    <row r="91" spans="2:5" ht="12.5" x14ac:dyDescent="0.25">
      <c r="B91" s="1">
        <f>'Share Price'!A56</f>
        <v>41950</v>
      </c>
      <c r="C91">
        <f>'Share Price'!B56</f>
        <v>162.07</v>
      </c>
      <c r="D91" s="47">
        <f t="shared" si="0"/>
        <v>3.770906703158597E-3</v>
      </c>
      <c r="E91" s="27"/>
    </row>
    <row r="92" spans="2:5" ht="12.5" x14ac:dyDescent="0.25">
      <c r="B92" s="1">
        <f>'Share Price'!A57</f>
        <v>41949</v>
      </c>
      <c r="C92">
        <f>'Share Price'!B57</f>
        <v>161.46</v>
      </c>
      <c r="D92" s="47">
        <f t="shared" si="0"/>
        <v>-2.2271724128240301E-3</v>
      </c>
      <c r="E92" s="27"/>
    </row>
    <row r="93" spans="2:5" ht="12.5" x14ac:dyDescent="0.25">
      <c r="B93" s="1">
        <f>'Share Price'!A58</f>
        <v>41948</v>
      </c>
      <c r="C93">
        <f>'Share Price'!B58</f>
        <v>161.82</v>
      </c>
      <c r="D93" s="47">
        <f t="shared" si="0"/>
        <v>-5.1160465396668936E-3</v>
      </c>
      <c r="E93" s="27"/>
    </row>
    <row r="94" spans="2:5" ht="12.5" x14ac:dyDescent="0.25">
      <c r="B94" s="1">
        <f>'Share Price'!A59</f>
        <v>41947</v>
      </c>
      <c r="C94">
        <f>'Share Price'!B59</f>
        <v>162.65</v>
      </c>
      <c r="D94" s="47">
        <f t="shared" si="0"/>
        <v>-1.0458491095848571E-2</v>
      </c>
      <c r="E94" s="27"/>
    </row>
    <row r="95" spans="2:5" ht="12.5" x14ac:dyDescent="0.25">
      <c r="B95" s="1">
        <f>'Share Price'!A60</f>
        <v>41946</v>
      </c>
      <c r="C95">
        <f>'Share Price'!B60</f>
        <v>164.36</v>
      </c>
      <c r="D95" s="47">
        <f t="shared" si="0"/>
        <v>-2.4333860687052593E-4</v>
      </c>
      <c r="E95" s="27"/>
    </row>
    <row r="96" spans="2:5" ht="12.5" x14ac:dyDescent="0.25">
      <c r="B96" s="1">
        <f>'Share Price'!A61</f>
        <v>41943</v>
      </c>
      <c r="C96">
        <f>'Share Price'!B61</f>
        <v>164.4</v>
      </c>
      <c r="D96" s="47">
        <f t="shared" si="0"/>
        <v>3.0418251185130603E-4</v>
      </c>
      <c r="E96" s="27"/>
    </row>
    <row r="97" spans="2:5" ht="12.5" x14ac:dyDescent="0.25">
      <c r="B97" s="1">
        <f>'Share Price'!A62</f>
        <v>41942</v>
      </c>
      <c r="C97">
        <f>'Share Price'!B62</f>
        <v>164.35</v>
      </c>
      <c r="D97" s="47">
        <f t="shared" si="0"/>
        <v>5.4299880222447488E-3</v>
      </c>
      <c r="E97" s="27"/>
    </row>
    <row r="98" spans="2:5" ht="12.5" x14ac:dyDescent="0.25">
      <c r="B98" s="1">
        <f>'Share Price'!A63</f>
        <v>41941</v>
      </c>
      <c r="C98">
        <f>'Share Price'!B63</f>
        <v>163.46</v>
      </c>
      <c r="D98" s="47">
        <f t="shared" si="0"/>
        <v>-8.5611208066297588E-4</v>
      </c>
      <c r="E98" s="27"/>
    </row>
    <row r="99" spans="2:5" ht="12.5" x14ac:dyDescent="0.25">
      <c r="B99" s="1">
        <f>'Share Price'!A64</f>
        <v>41940</v>
      </c>
      <c r="C99">
        <f>'Share Price'!B64</f>
        <v>163.6</v>
      </c>
      <c r="D99" s="47">
        <f t="shared" si="0"/>
        <v>1.0630880222777486E-2</v>
      </c>
      <c r="E99" s="27"/>
    </row>
    <row r="100" spans="2:5" ht="12.5" x14ac:dyDescent="0.25">
      <c r="B100" s="1">
        <f>'Share Price'!A65</f>
        <v>41939</v>
      </c>
      <c r="C100">
        <f>'Share Price'!B65</f>
        <v>161.87</v>
      </c>
      <c r="D100" s="47">
        <f t="shared" si="0"/>
        <v>-1.2964965545041529E-3</v>
      </c>
      <c r="E100" s="27"/>
    </row>
    <row r="101" spans="2:5" ht="12.5" x14ac:dyDescent="0.25">
      <c r="B101" s="1">
        <f>'Share Price'!A66</f>
        <v>41936</v>
      </c>
      <c r="C101">
        <f>'Share Price'!B66</f>
        <v>162.08000000000001</v>
      </c>
      <c r="D101" s="47">
        <f t="shared" si="0"/>
        <v>-6.1678901603793386E-4</v>
      </c>
      <c r="E101" s="27"/>
    </row>
    <row r="102" spans="2:5" ht="12.5" x14ac:dyDescent="0.25">
      <c r="B102" s="1">
        <f>'Share Price'!A67</f>
        <v>41935</v>
      </c>
      <c r="C102">
        <f>'Share Price'!B67</f>
        <v>162.18</v>
      </c>
      <c r="D102" s="47">
        <f t="shared" si="0"/>
        <v>2.4076314991659372E-3</v>
      </c>
      <c r="E102" s="27"/>
    </row>
    <row r="103" spans="2:5" ht="12.5" x14ac:dyDescent="0.25">
      <c r="B103" s="1">
        <f>'Share Price'!A68</f>
        <v>41934</v>
      </c>
      <c r="C103">
        <f>'Share Price'!B68</f>
        <v>161.79</v>
      </c>
      <c r="D103" s="47">
        <f t="shared" si="0"/>
        <v>-8.8610511486982881E-3</v>
      </c>
      <c r="E103" s="27"/>
    </row>
    <row r="104" spans="2:5" ht="12.5" x14ac:dyDescent="0.25">
      <c r="B104" s="1">
        <f>'Share Price'!A69</f>
        <v>41933</v>
      </c>
      <c r="C104">
        <f>'Share Price'!B69</f>
        <v>163.22999999999999</v>
      </c>
      <c r="D104" s="47">
        <f t="shared" si="0"/>
        <v>-3.533000673859097E-2</v>
      </c>
      <c r="E104" s="27"/>
    </row>
    <row r="105" spans="2:5" ht="12.5" x14ac:dyDescent="0.25">
      <c r="B105" s="1">
        <f>'Share Price'!A70</f>
        <v>41932</v>
      </c>
      <c r="C105">
        <f>'Share Price'!B70</f>
        <v>169.1</v>
      </c>
      <c r="D105" s="47">
        <f t="shared" ref="D105:D168" si="1">LN(C105/C106)</f>
        <v>-7.379111871690798E-2</v>
      </c>
      <c r="E105" s="27"/>
    </row>
    <row r="106" spans="2:5" ht="12.5" x14ac:dyDescent="0.25">
      <c r="B106" s="1">
        <f>'Share Price'!A71</f>
        <v>41929</v>
      </c>
      <c r="C106">
        <f>'Share Price'!B71</f>
        <v>182.05</v>
      </c>
      <c r="D106" s="47">
        <f t="shared" si="1"/>
        <v>1.2213807916116133E-2</v>
      </c>
      <c r="E106" s="27"/>
    </row>
    <row r="107" spans="2:5" ht="12.5" x14ac:dyDescent="0.25">
      <c r="B107" s="1">
        <f>'Share Price'!A72</f>
        <v>41928</v>
      </c>
      <c r="C107">
        <f>'Share Price'!B72</f>
        <v>179.84</v>
      </c>
      <c r="D107" s="47">
        <f t="shared" si="1"/>
        <v>-1.0564549708302524E-2</v>
      </c>
      <c r="E107" s="27"/>
    </row>
    <row r="108" spans="2:5" ht="12.5" x14ac:dyDescent="0.25">
      <c r="B108" s="1">
        <f>'Share Price'!A73</f>
        <v>41927</v>
      </c>
      <c r="C108">
        <f>'Share Price'!B73</f>
        <v>181.75</v>
      </c>
      <c r="D108" s="47">
        <f t="shared" si="1"/>
        <v>-1.1216093507958004E-2</v>
      </c>
      <c r="E108" s="27"/>
    </row>
    <row r="109" spans="2:5" ht="12.5" x14ac:dyDescent="0.25">
      <c r="B109" s="1">
        <f>'Share Price'!A74</f>
        <v>41926</v>
      </c>
      <c r="C109">
        <f>'Share Price'!B74</f>
        <v>183.8</v>
      </c>
      <c r="D109" s="47">
        <f t="shared" si="1"/>
        <v>1.5245565405261317E-3</v>
      </c>
      <c r="E109" s="27"/>
    </row>
    <row r="110" spans="2:5" ht="12.5" x14ac:dyDescent="0.25">
      <c r="B110" s="1">
        <f>'Share Price'!A75</f>
        <v>41925</v>
      </c>
      <c r="C110">
        <f>'Share Price'!B75</f>
        <v>183.52</v>
      </c>
      <c r="D110" s="47">
        <f t="shared" si="1"/>
        <v>-1.3046605410910746E-2</v>
      </c>
      <c r="E110" s="27"/>
    </row>
    <row r="111" spans="2:5" ht="12.5" x14ac:dyDescent="0.25">
      <c r="B111" s="1">
        <f>'Share Price'!A76</f>
        <v>41922</v>
      </c>
      <c r="C111">
        <f>'Share Price'!B76</f>
        <v>185.93</v>
      </c>
      <c r="D111" s="47">
        <f t="shared" si="1"/>
        <v>-2.6319338410395999E-3</v>
      </c>
      <c r="E111" s="27"/>
    </row>
    <row r="112" spans="2:5" ht="12.5" x14ac:dyDescent="0.25">
      <c r="B112" s="1">
        <f>'Share Price'!A77</f>
        <v>41921</v>
      </c>
      <c r="C112">
        <f>'Share Price'!B77</f>
        <v>186.42</v>
      </c>
      <c r="D112" s="47">
        <f t="shared" si="1"/>
        <v>-1.5647772572717603E-2</v>
      </c>
      <c r="E112" s="27"/>
    </row>
    <row r="113" spans="2:5" ht="12.5" x14ac:dyDescent="0.25">
      <c r="B113" s="1">
        <f>'Share Price'!A78</f>
        <v>41920</v>
      </c>
      <c r="C113">
        <f>'Share Price'!B78</f>
        <v>189.36</v>
      </c>
      <c r="D113" s="47">
        <f t="shared" si="1"/>
        <v>1.9463648000766855E-2</v>
      </c>
      <c r="E113" s="27"/>
    </row>
    <row r="114" spans="2:5" ht="12.5" x14ac:dyDescent="0.25">
      <c r="B114" s="1">
        <f>'Share Price'!A79</f>
        <v>41919</v>
      </c>
      <c r="C114">
        <f>'Share Price'!B79</f>
        <v>185.71</v>
      </c>
      <c r="D114" s="47">
        <f t="shared" si="1"/>
        <v>-1.7772315673690763E-2</v>
      </c>
      <c r="E114" s="27"/>
    </row>
    <row r="115" spans="2:5" ht="12.5" x14ac:dyDescent="0.25">
      <c r="B115" s="1">
        <f>'Share Price'!A80</f>
        <v>41918</v>
      </c>
      <c r="C115">
        <f>'Share Price'!B80</f>
        <v>189.04</v>
      </c>
      <c r="D115" s="47">
        <f t="shared" si="1"/>
        <v>1.9591756551307691E-3</v>
      </c>
      <c r="E115" s="27"/>
    </row>
    <row r="116" spans="2:5" ht="12.5" x14ac:dyDescent="0.25">
      <c r="B116" s="1">
        <f>'Share Price'!A81</f>
        <v>41915</v>
      </c>
      <c r="C116">
        <f>'Share Price'!B81</f>
        <v>188.67</v>
      </c>
      <c r="D116" s="47">
        <f t="shared" si="1"/>
        <v>9.3722396454352219E-3</v>
      </c>
      <c r="E116" s="27"/>
    </row>
    <row r="117" spans="2:5" ht="12.5" x14ac:dyDescent="0.25">
      <c r="B117" s="1">
        <f>'Share Price'!A82</f>
        <v>41914</v>
      </c>
      <c r="C117">
        <f>'Share Price'!B82</f>
        <v>186.91</v>
      </c>
      <c r="D117" s="47">
        <f t="shared" si="1"/>
        <v>-1.3900772127181968E-3</v>
      </c>
      <c r="E117" s="27"/>
    </row>
    <row r="118" spans="2:5" ht="12.5" x14ac:dyDescent="0.25">
      <c r="B118" s="1">
        <f>'Share Price'!A83</f>
        <v>41913</v>
      </c>
      <c r="C118">
        <f>'Share Price'!B83</f>
        <v>187.17</v>
      </c>
      <c r="D118" s="47">
        <f t="shared" si="1"/>
        <v>-1.4111640011645938E-2</v>
      </c>
      <c r="E118" s="27"/>
    </row>
    <row r="119" spans="2:5" ht="12.5" x14ac:dyDescent="0.25">
      <c r="B119" s="1">
        <f>'Share Price'!A84</f>
        <v>41912</v>
      </c>
      <c r="C119">
        <f>'Share Price'!B84</f>
        <v>189.83</v>
      </c>
      <c r="D119" s="47">
        <f t="shared" si="1"/>
        <v>1.0013967685330756E-3</v>
      </c>
      <c r="E119" s="27"/>
    </row>
    <row r="120" spans="2:5" ht="12.5" x14ac:dyDescent="0.25">
      <c r="B120" s="1">
        <f>'Share Price'!A85</f>
        <v>41911</v>
      </c>
      <c r="C120">
        <f>'Share Price'!B85</f>
        <v>189.64</v>
      </c>
      <c r="D120" s="47">
        <f t="shared" si="1"/>
        <v>-2.2122737492516918E-3</v>
      </c>
      <c r="E120" s="27"/>
    </row>
    <row r="121" spans="2:5" ht="12.5" x14ac:dyDescent="0.25">
      <c r="B121" s="1">
        <f>'Share Price'!A86</f>
        <v>41908</v>
      </c>
      <c r="C121">
        <f>'Share Price'!B86</f>
        <v>190.06</v>
      </c>
      <c r="D121" s="47">
        <f t="shared" si="1"/>
        <v>5.5398880703042422E-3</v>
      </c>
      <c r="E121" s="27"/>
    </row>
    <row r="122" spans="2:5" ht="12.5" x14ac:dyDescent="0.25">
      <c r="B122" s="1">
        <f>'Share Price'!A87</f>
        <v>41907</v>
      </c>
      <c r="C122">
        <f>'Share Price'!B87</f>
        <v>189.01</v>
      </c>
      <c r="D122" s="47">
        <f t="shared" si="1"/>
        <v>-1.7308729609891028E-2</v>
      </c>
      <c r="E122" s="27"/>
    </row>
    <row r="123" spans="2:5" ht="12.5" x14ac:dyDescent="0.25">
      <c r="B123" s="1">
        <f>'Share Price'!A88</f>
        <v>41906</v>
      </c>
      <c r="C123">
        <f>'Share Price'!B88</f>
        <v>192.31</v>
      </c>
      <c r="D123" s="47">
        <f t="shared" si="1"/>
        <v>3.5944091000287321E-3</v>
      </c>
      <c r="E123" s="27"/>
    </row>
    <row r="124" spans="2:5" ht="12.5" x14ac:dyDescent="0.25">
      <c r="B124" s="1">
        <f>'Share Price'!A89</f>
        <v>41905</v>
      </c>
      <c r="C124">
        <f>'Share Price'!B89</f>
        <v>191.62</v>
      </c>
      <c r="D124" s="47">
        <f t="shared" si="1"/>
        <v>-7.7457305099069371E-3</v>
      </c>
      <c r="E124" s="27"/>
    </row>
    <row r="125" spans="2:5" ht="12.5" x14ac:dyDescent="0.25">
      <c r="B125" s="1">
        <f>'Share Price'!A90</f>
        <v>41904</v>
      </c>
      <c r="C125">
        <f>'Share Price'!B90</f>
        <v>193.11</v>
      </c>
      <c r="D125" s="47">
        <f t="shared" si="1"/>
        <v>-4.5981843306938637E-3</v>
      </c>
      <c r="E125" s="27"/>
    </row>
    <row r="126" spans="2:5" ht="12.5" x14ac:dyDescent="0.25">
      <c r="B126" s="1">
        <f>'Share Price'!A91</f>
        <v>41901</v>
      </c>
      <c r="C126">
        <f>'Share Price'!B91</f>
        <v>194</v>
      </c>
      <c r="D126" s="47">
        <f t="shared" si="1"/>
        <v>1.2894908298716921E-3</v>
      </c>
      <c r="E126" s="27"/>
    </row>
    <row r="127" spans="2:5" ht="12.5" x14ac:dyDescent="0.25">
      <c r="B127" s="1">
        <f>'Share Price'!A92</f>
        <v>41900</v>
      </c>
      <c r="C127">
        <f>'Share Price'!B92</f>
        <v>193.75</v>
      </c>
      <c r="D127" s="47">
        <f t="shared" si="1"/>
        <v>4.9152860570111194E-3</v>
      </c>
      <c r="E127" s="27"/>
    </row>
    <row r="128" spans="2:5" ht="12.5" x14ac:dyDescent="0.25">
      <c r="B128" s="1">
        <f>'Share Price'!A93</f>
        <v>41899</v>
      </c>
      <c r="C128">
        <f>'Share Price'!B93</f>
        <v>192.8</v>
      </c>
      <c r="D128" s="47">
        <f t="shared" si="1"/>
        <v>-8.2953136237532245E-4</v>
      </c>
      <c r="E128" s="27"/>
    </row>
    <row r="129" spans="2:5" ht="12.5" x14ac:dyDescent="0.25">
      <c r="B129" s="1">
        <f>'Share Price'!A94</f>
        <v>41898</v>
      </c>
      <c r="C129">
        <f>'Share Price'!B94</f>
        <v>192.96</v>
      </c>
      <c r="D129" s="47">
        <f t="shared" si="1"/>
        <v>5.9776148052240038E-3</v>
      </c>
      <c r="E129" s="27"/>
    </row>
    <row r="130" spans="2:5" ht="12.5" x14ac:dyDescent="0.25">
      <c r="B130" s="1">
        <f>'Share Price'!A95</f>
        <v>41897</v>
      </c>
      <c r="C130">
        <f>'Share Price'!B95</f>
        <v>191.81</v>
      </c>
      <c r="D130" s="47">
        <f t="shared" si="1"/>
        <v>2.7669755835273138E-3</v>
      </c>
      <c r="E130" s="27"/>
    </row>
    <row r="131" spans="2:5" ht="12.5" x14ac:dyDescent="0.25">
      <c r="B131" s="1">
        <f>'Share Price'!A96</f>
        <v>41894</v>
      </c>
      <c r="C131">
        <f>'Share Price'!B96</f>
        <v>191.28</v>
      </c>
      <c r="D131" s="47">
        <f t="shared" si="1"/>
        <v>-2.2976511413612625E-3</v>
      </c>
      <c r="E131" s="27"/>
    </row>
    <row r="132" spans="2:5" ht="12.5" x14ac:dyDescent="0.25">
      <c r="B132" s="1">
        <f>'Share Price'!A97</f>
        <v>41893</v>
      </c>
      <c r="C132">
        <f>'Share Price'!B97</f>
        <v>191.72</v>
      </c>
      <c r="D132" s="47">
        <f t="shared" si="1"/>
        <v>9.3931019795732843E-4</v>
      </c>
      <c r="E132" s="27"/>
    </row>
    <row r="133" spans="2:5" ht="12.5" x14ac:dyDescent="0.25">
      <c r="B133" s="1">
        <f>'Share Price'!A98</f>
        <v>41892</v>
      </c>
      <c r="C133">
        <f>'Share Price'!B98</f>
        <v>191.54</v>
      </c>
      <c r="D133" s="47">
        <f t="shared" si="1"/>
        <v>8.125224897024599E-3</v>
      </c>
      <c r="E133" s="27"/>
    </row>
    <row r="134" spans="2:5" ht="12.5" x14ac:dyDescent="0.25">
      <c r="B134" s="1">
        <f>'Share Price'!A99</f>
        <v>41891</v>
      </c>
      <c r="C134">
        <f>'Share Price'!B99</f>
        <v>189.99</v>
      </c>
      <c r="D134" s="47">
        <f t="shared" si="1"/>
        <v>-7.8920373443562119E-4</v>
      </c>
      <c r="E134" s="27"/>
    </row>
    <row r="135" spans="2:5" ht="12.5" x14ac:dyDescent="0.25">
      <c r="B135" s="1">
        <f>'Share Price'!A100</f>
        <v>41890</v>
      </c>
      <c r="C135">
        <f>'Share Price'!B100</f>
        <v>190.14</v>
      </c>
      <c r="D135" s="47">
        <f t="shared" si="1"/>
        <v>-5.5593576864164957E-3</v>
      </c>
      <c r="E135" s="27"/>
    </row>
    <row r="136" spans="2:5" ht="12.5" x14ac:dyDescent="0.25">
      <c r="B136" s="1">
        <f>'Share Price'!A101</f>
        <v>41887</v>
      </c>
      <c r="C136">
        <f>'Share Price'!B101</f>
        <v>191.2</v>
      </c>
      <c r="D136" s="47">
        <f t="shared" si="1"/>
        <v>2.7233702806758204E-3</v>
      </c>
      <c r="E136" s="27"/>
    </row>
    <row r="137" spans="2:5" ht="12.5" x14ac:dyDescent="0.25">
      <c r="B137" s="1">
        <f>'Share Price'!A102</f>
        <v>41886</v>
      </c>
      <c r="C137">
        <f>'Share Price'!B102</f>
        <v>190.68</v>
      </c>
      <c r="D137" s="47">
        <f t="shared" si="1"/>
        <v>-6.6382911101816929E-3</v>
      </c>
      <c r="E137" s="27"/>
    </row>
    <row r="138" spans="2:5" ht="12.5" x14ac:dyDescent="0.25">
      <c r="B138" s="1">
        <f>'Share Price'!A103</f>
        <v>41885</v>
      </c>
      <c r="C138">
        <f>'Share Price'!B103</f>
        <v>191.95</v>
      </c>
      <c r="D138" s="47">
        <f t="shared" si="1"/>
        <v>2.0338459723980148E-3</v>
      </c>
      <c r="E138" s="27"/>
    </row>
    <row r="139" spans="2:5" ht="12.5" x14ac:dyDescent="0.25">
      <c r="B139" s="1">
        <f>'Share Price'!A104</f>
        <v>41884</v>
      </c>
      <c r="C139">
        <f>'Share Price'!B104</f>
        <v>191.56</v>
      </c>
      <c r="D139" s="47">
        <f t="shared" si="1"/>
        <v>-3.8555771203255028E-3</v>
      </c>
      <c r="E139" s="27"/>
    </row>
    <row r="140" spans="2:5" ht="12.5" x14ac:dyDescent="0.25">
      <c r="B140" s="1">
        <f>'Share Price'!A105</f>
        <v>41880</v>
      </c>
      <c r="C140">
        <f>'Share Price'!B105</f>
        <v>192.3</v>
      </c>
      <c r="D140" s="47">
        <f t="shared" si="1"/>
        <v>1.5612805669526324E-3</v>
      </c>
      <c r="E140" s="27"/>
    </row>
    <row r="141" spans="2:5" ht="12.5" x14ac:dyDescent="0.25">
      <c r="B141" s="1">
        <f>'Share Price'!A106</f>
        <v>41879</v>
      </c>
      <c r="C141">
        <f>'Share Price'!B106</f>
        <v>192</v>
      </c>
      <c r="D141" s="47">
        <f t="shared" si="1"/>
        <v>-1.3012363579717858E-3</v>
      </c>
      <c r="E141" s="27"/>
    </row>
    <row r="142" spans="2:5" ht="12.5" x14ac:dyDescent="0.25">
      <c r="B142" s="1">
        <f>'Share Price'!A107</f>
        <v>41878</v>
      </c>
      <c r="C142">
        <f>'Share Price'!B107</f>
        <v>192.25</v>
      </c>
      <c r="D142" s="47">
        <f t="shared" si="1"/>
        <v>-3.8417657052653184E-3</v>
      </c>
      <c r="E142" s="27"/>
    </row>
    <row r="143" spans="2:5" ht="12.5" x14ac:dyDescent="0.25">
      <c r="B143" s="1">
        <f>'Share Price'!A108</f>
        <v>41877</v>
      </c>
      <c r="C143">
        <f>'Share Price'!B108</f>
        <v>192.99</v>
      </c>
      <c r="D143" s="47">
        <f t="shared" si="1"/>
        <v>9.5276003810613654E-3</v>
      </c>
      <c r="E143" s="27"/>
    </row>
    <row r="144" spans="2:5" ht="12.5" x14ac:dyDescent="0.25">
      <c r="B144" s="1">
        <f>'Share Price'!A109</f>
        <v>41876</v>
      </c>
      <c r="C144">
        <f>'Share Price'!B109</f>
        <v>191.16</v>
      </c>
      <c r="D144" s="47">
        <f t="shared" si="1"/>
        <v>3.9311317234691058E-3</v>
      </c>
      <c r="E144" s="27"/>
    </row>
    <row r="145" spans="2:5" ht="12.5" x14ac:dyDescent="0.25">
      <c r="B145" s="1">
        <f>'Share Price'!A110</f>
        <v>41873</v>
      </c>
      <c r="C145">
        <f>'Share Price'!B110</f>
        <v>190.41</v>
      </c>
      <c r="D145" s="47">
        <f t="shared" si="1"/>
        <v>-4.2972500883944375E-3</v>
      </c>
      <c r="E145" s="27"/>
    </row>
    <row r="146" spans="2:5" ht="12.5" x14ac:dyDescent="0.25">
      <c r="B146" s="1">
        <f>'Share Price'!A111</f>
        <v>41872</v>
      </c>
      <c r="C146">
        <f>'Share Price'!B111</f>
        <v>191.23</v>
      </c>
      <c r="D146" s="47">
        <f t="shared" si="1"/>
        <v>5.9266425804993415E-3</v>
      </c>
      <c r="E146" s="27"/>
    </row>
    <row r="147" spans="2:5" ht="12.5" x14ac:dyDescent="0.25">
      <c r="B147" s="1">
        <f>'Share Price'!A112</f>
        <v>41871</v>
      </c>
      <c r="C147">
        <f>'Share Price'!B112</f>
        <v>190.1</v>
      </c>
      <c r="D147" s="47">
        <f t="shared" si="1"/>
        <v>1.5782413163720571E-4</v>
      </c>
      <c r="E147" s="27"/>
    </row>
    <row r="148" spans="2:5" ht="12.5" x14ac:dyDescent="0.25">
      <c r="B148" s="1">
        <f>'Share Price'!A113</f>
        <v>41870</v>
      </c>
      <c r="C148">
        <f>'Share Price'!B113</f>
        <v>190.07</v>
      </c>
      <c r="D148" s="47">
        <f t="shared" si="1"/>
        <v>3.7424601570175005E-3</v>
      </c>
      <c r="E148" s="27"/>
    </row>
    <row r="149" spans="2:5" ht="12.5" x14ac:dyDescent="0.25">
      <c r="B149" s="1">
        <f>'Share Price'!A114</f>
        <v>41869</v>
      </c>
      <c r="C149">
        <f>'Share Price'!B114</f>
        <v>189.36</v>
      </c>
      <c r="D149" s="47">
        <f t="shared" si="1"/>
        <v>1.0511324682686323E-2</v>
      </c>
      <c r="E149" s="27"/>
    </row>
    <row r="150" spans="2:5" ht="12.5" x14ac:dyDescent="0.25">
      <c r="B150" s="1">
        <f>'Share Price'!A115</f>
        <v>41866</v>
      </c>
      <c r="C150">
        <f>'Share Price'!B115</f>
        <v>187.38</v>
      </c>
      <c r="D150" s="47">
        <f t="shared" si="1"/>
        <v>-2.6648206357521133E-3</v>
      </c>
      <c r="E150" s="27"/>
    </row>
    <row r="151" spans="2:5" ht="12.5" x14ac:dyDescent="0.25">
      <c r="B151" s="1">
        <f>'Share Price'!A116</f>
        <v>41865</v>
      </c>
      <c r="C151">
        <f>'Share Price'!B116</f>
        <v>187.88</v>
      </c>
      <c r="D151" s="47">
        <f t="shared" si="1"/>
        <v>-3.7250885139259463E-4</v>
      </c>
      <c r="E151" s="27"/>
    </row>
    <row r="152" spans="2:5" ht="12.5" x14ac:dyDescent="0.25">
      <c r="B152" s="1">
        <f>'Share Price'!A117</f>
        <v>41864</v>
      </c>
      <c r="C152">
        <f>'Share Price'!B117</f>
        <v>187.95</v>
      </c>
      <c r="D152" s="47">
        <f t="shared" si="1"/>
        <v>3.2508222292023216E-3</v>
      </c>
      <c r="E152" s="27"/>
    </row>
    <row r="153" spans="2:5" ht="12.5" x14ac:dyDescent="0.25">
      <c r="B153" s="1">
        <f>'Share Price'!A118</f>
        <v>41863</v>
      </c>
      <c r="C153">
        <f>'Share Price'!B118</f>
        <v>187.34</v>
      </c>
      <c r="D153" s="47">
        <f t="shared" si="1"/>
        <v>-6.9368482811552425E-4</v>
      </c>
      <c r="E153" s="27"/>
    </row>
    <row r="154" spans="2:5" ht="12.5" x14ac:dyDescent="0.25">
      <c r="B154" s="1">
        <f>'Share Price'!A119</f>
        <v>41862</v>
      </c>
      <c r="C154">
        <f>'Share Price'!B119</f>
        <v>187.47</v>
      </c>
      <c r="D154" s="47">
        <f t="shared" si="1"/>
        <v>4.4907854140620223E-3</v>
      </c>
      <c r="E154" s="27"/>
    </row>
    <row r="155" spans="2:5" ht="12.5" x14ac:dyDescent="0.25">
      <c r="B155" s="1">
        <f>'Share Price'!A120</f>
        <v>41859</v>
      </c>
      <c r="C155">
        <f>'Share Price'!B120</f>
        <v>186.63</v>
      </c>
      <c r="D155" s="47">
        <f t="shared" si="1"/>
        <v>1.2563182519260434E-2</v>
      </c>
      <c r="E155" s="27"/>
    </row>
    <row r="156" spans="2:5" ht="12.5" x14ac:dyDescent="0.25">
      <c r="B156" s="1">
        <f>'Share Price'!A121</f>
        <v>41858</v>
      </c>
      <c r="C156">
        <f>'Share Price'!B121</f>
        <v>184.3</v>
      </c>
      <c r="D156" s="47">
        <f t="shared" si="1"/>
        <v>-9.0205057061600851E-3</v>
      </c>
      <c r="E156" s="27"/>
    </row>
    <row r="157" spans="2:5" ht="12.5" x14ac:dyDescent="0.25">
      <c r="B157" s="1">
        <f>'Share Price'!A122</f>
        <v>41857</v>
      </c>
      <c r="C157">
        <f>'Share Price'!B122</f>
        <v>185.97</v>
      </c>
      <c r="D157" s="47">
        <f t="shared" si="1"/>
        <v>-6.0578628981062246E-3</v>
      </c>
      <c r="E157" s="27"/>
    </row>
    <row r="158" spans="2:5" ht="12.5" x14ac:dyDescent="0.25">
      <c r="B158" s="1">
        <f>'Share Price'!A123</f>
        <v>41856</v>
      </c>
      <c r="C158">
        <f>'Share Price'!B123</f>
        <v>187.1</v>
      </c>
      <c r="D158" s="47">
        <f t="shared" si="1"/>
        <v>-1.3484304753873631E-2</v>
      </c>
      <c r="E158" s="27"/>
    </row>
    <row r="159" spans="2:5" ht="12.5" x14ac:dyDescent="0.25">
      <c r="B159" s="1">
        <f>'Share Price'!A124</f>
        <v>41855</v>
      </c>
      <c r="C159">
        <f>'Share Price'!B124</f>
        <v>189.64</v>
      </c>
      <c r="D159" s="47">
        <f t="shared" si="1"/>
        <v>2.5871869548793171E-3</v>
      </c>
      <c r="E159" s="27"/>
    </row>
    <row r="160" spans="2:5" ht="12.5" x14ac:dyDescent="0.25">
      <c r="B160" s="1">
        <f>'Share Price'!A125</f>
        <v>41852</v>
      </c>
      <c r="C160">
        <f>'Share Price'!B125</f>
        <v>189.15</v>
      </c>
      <c r="D160" s="47">
        <f t="shared" si="1"/>
        <v>-1.3234792203323237E-2</v>
      </c>
      <c r="E160" s="27"/>
    </row>
    <row r="161" spans="2:5" ht="12.5" x14ac:dyDescent="0.25">
      <c r="B161" s="1">
        <f>'Share Price'!A126</f>
        <v>41851</v>
      </c>
      <c r="C161">
        <f>'Share Price'!B126</f>
        <v>191.67</v>
      </c>
      <c r="D161" s="47">
        <f t="shared" si="1"/>
        <v>-1.2083015780966584E-2</v>
      </c>
      <c r="E161" s="27"/>
    </row>
    <row r="162" spans="2:5" ht="12.5" x14ac:dyDescent="0.25">
      <c r="B162" s="1">
        <f>'Share Price'!A127</f>
        <v>41850</v>
      </c>
      <c r="C162">
        <f>'Share Price'!B127</f>
        <v>194</v>
      </c>
      <c r="D162" s="47">
        <f t="shared" si="1"/>
        <v>-2.9338364199565539E-3</v>
      </c>
      <c r="E162" s="27"/>
    </row>
    <row r="163" spans="2:5" ht="12.5" x14ac:dyDescent="0.25">
      <c r="B163" s="1">
        <f>'Share Price'!A128</f>
        <v>41849</v>
      </c>
      <c r="C163">
        <f>'Share Price'!B128</f>
        <v>194.57</v>
      </c>
      <c r="D163" s="47">
        <f t="shared" si="1"/>
        <v>-6.1995843499996475E-3</v>
      </c>
      <c r="E163" s="27"/>
    </row>
    <row r="164" spans="2:5" ht="12.5" x14ac:dyDescent="0.25">
      <c r="B164" s="1">
        <f>'Share Price'!A129</f>
        <v>41848</v>
      </c>
      <c r="C164">
        <f>'Share Price'!B129</f>
        <v>195.78</v>
      </c>
      <c r="D164" s="47">
        <f t="shared" si="1"/>
        <v>7.073687806945431E-3</v>
      </c>
      <c r="E164" s="27"/>
    </row>
    <row r="165" spans="2:5" ht="12.5" x14ac:dyDescent="0.25">
      <c r="B165" s="1">
        <f>'Share Price'!A130</f>
        <v>41845</v>
      </c>
      <c r="C165">
        <f>'Share Price'!B130</f>
        <v>194.4</v>
      </c>
      <c r="D165" s="47">
        <f t="shared" si="1"/>
        <v>-4.311678992608016E-3</v>
      </c>
      <c r="E165" s="27"/>
    </row>
    <row r="166" spans="2:5" ht="12.5" x14ac:dyDescent="0.25">
      <c r="B166" s="1">
        <f>'Share Price'!A131</f>
        <v>41844</v>
      </c>
      <c r="C166">
        <f>'Share Price'!B131</f>
        <v>195.24</v>
      </c>
      <c r="D166" s="47">
        <f t="shared" si="1"/>
        <v>8.2804495036399983E-3</v>
      </c>
      <c r="E166" s="27"/>
    </row>
    <row r="167" spans="2:5" ht="12.5" x14ac:dyDescent="0.25">
      <c r="B167" s="1">
        <f>'Share Price'!A132</f>
        <v>41843</v>
      </c>
      <c r="C167">
        <f>'Share Price'!B132</f>
        <v>193.63</v>
      </c>
      <c r="D167" s="47">
        <f t="shared" si="1"/>
        <v>-2.3728474973289011E-3</v>
      </c>
      <c r="E167" s="27"/>
    </row>
    <row r="168" spans="2:5" ht="12.5" x14ac:dyDescent="0.25">
      <c r="B168" s="1">
        <f>'Share Price'!A133</f>
        <v>41842</v>
      </c>
      <c r="C168">
        <f>'Share Price'!B133</f>
        <v>194.09</v>
      </c>
      <c r="D168" s="47">
        <f t="shared" si="1"/>
        <v>1.6834189821397064E-2</v>
      </c>
      <c r="E168" s="27"/>
    </row>
    <row r="169" spans="2:5" ht="12.5" x14ac:dyDescent="0.25">
      <c r="B169" s="1">
        <f>'Share Price'!A134</f>
        <v>41841</v>
      </c>
      <c r="C169">
        <f>'Share Price'!B134</f>
        <v>190.85</v>
      </c>
      <c r="D169" s="47">
        <f t="shared" ref="D169:D232" si="2">LN(C169/C170)</f>
        <v>-8.6083745366001638E-3</v>
      </c>
      <c r="E169" s="27"/>
    </row>
    <row r="170" spans="2:5" ht="12.5" x14ac:dyDescent="0.25">
      <c r="B170" s="1">
        <f>'Share Price'!A135</f>
        <v>41838</v>
      </c>
      <c r="C170">
        <f>'Share Price'!B135</f>
        <v>192.5</v>
      </c>
      <c r="D170" s="47">
        <f t="shared" si="2"/>
        <v>5.1949401294687028E-5</v>
      </c>
      <c r="E170" s="27"/>
    </row>
    <row r="171" spans="2:5" ht="12.5" x14ac:dyDescent="0.25">
      <c r="B171" s="1">
        <f>'Share Price'!A136</f>
        <v>41837</v>
      </c>
      <c r="C171">
        <f>'Share Price'!B136</f>
        <v>192.49</v>
      </c>
      <c r="D171" s="47">
        <f t="shared" si="2"/>
        <v>6.7558791708221188E-4</v>
      </c>
      <c r="E171" s="27"/>
    </row>
    <row r="172" spans="2:5" ht="12.5" x14ac:dyDescent="0.25">
      <c r="B172" s="1">
        <f>'Share Price'!A137</f>
        <v>41836</v>
      </c>
      <c r="C172">
        <f>'Share Price'!B137</f>
        <v>192.36</v>
      </c>
      <c r="D172" s="47">
        <f t="shared" si="2"/>
        <v>2.032366132649651E-2</v>
      </c>
      <c r="E172" s="27"/>
    </row>
    <row r="173" spans="2:5" ht="12.5" x14ac:dyDescent="0.25">
      <c r="B173" s="1">
        <f>'Share Price'!A138</f>
        <v>41835</v>
      </c>
      <c r="C173">
        <f>'Share Price'!B138</f>
        <v>188.49</v>
      </c>
      <c r="D173" s="47">
        <f t="shared" si="2"/>
        <v>-7.2420033706871193E-3</v>
      </c>
      <c r="E173" s="27"/>
    </row>
    <row r="174" spans="2:5" ht="12.5" x14ac:dyDescent="0.25">
      <c r="B174" s="1">
        <f>'Share Price'!A139</f>
        <v>41834</v>
      </c>
      <c r="C174">
        <f>'Share Price'!B139</f>
        <v>189.86</v>
      </c>
      <c r="D174" s="47">
        <f t="shared" si="2"/>
        <v>9.8449956237032978E-3</v>
      </c>
      <c r="E174" s="27"/>
    </row>
    <row r="175" spans="2:5" ht="12.5" x14ac:dyDescent="0.25">
      <c r="B175" s="1">
        <f>'Share Price'!A140</f>
        <v>41831</v>
      </c>
      <c r="C175">
        <f>'Share Price'!B140</f>
        <v>188</v>
      </c>
      <c r="D175" s="47">
        <f t="shared" si="2"/>
        <v>1.597019237486101E-3</v>
      </c>
      <c r="E175" s="27"/>
    </row>
    <row r="176" spans="2:5" ht="12.5" x14ac:dyDescent="0.25">
      <c r="B176" s="1">
        <f>'Share Price'!A141</f>
        <v>41830</v>
      </c>
      <c r="C176">
        <f>'Share Price'!B141</f>
        <v>187.7</v>
      </c>
      <c r="D176" s="47">
        <f t="shared" si="2"/>
        <v>-3.8285700280585701E-3</v>
      </c>
      <c r="E176" s="27"/>
    </row>
    <row r="177" spans="2:5" ht="12.5" x14ac:dyDescent="0.25">
      <c r="B177" s="1">
        <f>'Share Price'!A142</f>
        <v>41829</v>
      </c>
      <c r="C177">
        <f>'Share Price'!B142</f>
        <v>188.42</v>
      </c>
      <c r="D177" s="47">
        <f t="shared" si="2"/>
        <v>6.3891176769229055E-3</v>
      </c>
      <c r="E177" s="27"/>
    </row>
    <row r="178" spans="2:5" ht="12.5" x14ac:dyDescent="0.25">
      <c r="B178" s="1">
        <f>'Share Price'!A143</f>
        <v>41828</v>
      </c>
      <c r="C178">
        <f>'Share Price'!B143</f>
        <v>187.22</v>
      </c>
      <c r="D178" s="47">
        <f t="shared" si="2"/>
        <v>-4.3703102123311332E-3</v>
      </c>
      <c r="E178" s="27"/>
    </row>
    <row r="179" spans="2:5" ht="12.5" x14ac:dyDescent="0.25">
      <c r="B179" s="1">
        <f>'Share Price'!A144</f>
        <v>41827</v>
      </c>
      <c r="C179">
        <f>'Share Price'!B144</f>
        <v>188.04</v>
      </c>
      <c r="D179" s="47">
        <f t="shared" si="2"/>
        <v>-2.6024392625619884E-3</v>
      </c>
      <c r="E179" s="27"/>
    </row>
    <row r="180" spans="2:5" ht="12.5" x14ac:dyDescent="0.25">
      <c r="B180" s="1">
        <f>'Share Price'!A145</f>
        <v>41823</v>
      </c>
      <c r="C180">
        <f>'Share Price'!B145</f>
        <v>188.53</v>
      </c>
      <c r="D180" s="47">
        <f t="shared" si="2"/>
        <v>7.4286324120892617E-4</v>
      </c>
      <c r="E180" s="27"/>
    </row>
    <row r="181" spans="2:5" ht="12.5" x14ac:dyDescent="0.25">
      <c r="B181" s="1">
        <f>'Share Price'!A146</f>
        <v>41822</v>
      </c>
      <c r="C181">
        <f>'Share Price'!B146</f>
        <v>188.39</v>
      </c>
      <c r="D181" s="47">
        <f t="shared" si="2"/>
        <v>1.0887656252015463E-2</v>
      </c>
      <c r="E181" s="27"/>
    </row>
    <row r="182" spans="2:5" ht="12.5" x14ac:dyDescent="0.25">
      <c r="B182" s="1">
        <f>'Share Price'!A147</f>
        <v>41821</v>
      </c>
      <c r="C182">
        <f>'Share Price'!B147</f>
        <v>186.35</v>
      </c>
      <c r="D182" s="47">
        <f t="shared" si="2"/>
        <v>2.7638993450439582E-2</v>
      </c>
      <c r="E182" s="27"/>
    </row>
    <row r="183" spans="2:5" ht="12.5" x14ac:dyDescent="0.25">
      <c r="B183" s="1">
        <f>'Share Price'!A148</f>
        <v>41820</v>
      </c>
      <c r="C183">
        <f>'Share Price'!B148</f>
        <v>181.27</v>
      </c>
      <c r="D183" s="47">
        <f t="shared" si="2"/>
        <v>-2.424377186137847E-3</v>
      </c>
      <c r="E183" s="27"/>
    </row>
    <row r="184" spans="2:5" ht="12.5" x14ac:dyDescent="0.25">
      <c r="B184" s="1">
        <f>'Share Price'!A149</f>
        <v>41817</v>
      </c>
      <c r="C184">
        <f>'Share Price'!B149</f>
        <v>181.71</v>
      </c>
      <c r="D184" s="47">
        <f t="shared" si="2"/>
        <v>7.401712978857727E-3</v>
      </c>
      <c r="E184" s="27"/>
    </row>
    <row r="185" spans="2:5" ht="12.5" x14ac:dyDescent="0.25">
      <c r="B185" s="1">
        <f>'Share Price'!A150</f>
        <v>41816</v>
      </c>
      <c r="C185">
        <f>'Share Price'!B150</f>
        <v>180.37</v>
      </c>
      <c r="D185" s="47">
        <f t="shared" si="2"/>
        <v>-1.9385754776399431E-3</v>
      </c>
      <c r="E185" s="27"/>
    </row>
    <row r="186" spans="2:5" ht="12.5" x14ac:dyDescent="0.25">
      <c r="B186" s="1">
        <f>'Share Price'!A151</f>
        <v>41815</v>
      </c>
      <c r="C186">
        <f>'Share Price'!B151</f>
        <v>180.72</v>
      </c>
      <c r="D186" s="47">
        <f t="shared" si="2"/>
        <v>-8.8495580996660246E-4</v>
      </c>
      <c r="E186" s="27"/>
    </row>
    <row r="187" spans="2:5" ht="12.5" x14ac:dyDescent="0.25">
      <c r="B187" s="1">
        <f>'Share Price'!A152</f>
        <v>41814</v>
      </c>
      <c r="C187">
        <f>'Share Price'!B152</f>
        <v>180.88</v>
      </c>
      <c r="D187" s="47">
        <f t="shared" si="2"/>
        <v>-6.9417941699580904E-3</v>
      </c>
      <c r="E187" s="27"/>
    </row>
    <row r="188" spans="2:5" ht="12.5" x14ac:dyDescent="0.25">
      <c r="B188" s="1">
        <f>'Share Price'!A153</f>
        <v>41813</v>
      </c>
      <c r="C188">
        <f>'Share Price'!B153</f>
        <v>182.14</v>
      </c>
      <c r="D188" s="47">
        <f t="shared" si="2"/>
        <v>3.2445242793275823E-3</v>
      </c>
      <c r="E188" s="27"/>
    </row>
    <row r="189" spans="2:5" ht="12.5" x14ac:dyDescent="0.25">
      <c r="B189" s="1">
        <f>'Share Price'!A154</f>
        <v>41810</v>
      </c>
      <c r="C189">
        <f>'Share Price'!B154</f>
        <v>181.55</v>
      </c>
      <c r="D189" s="47">
        <f t="shared" si="2"/>
        <v>-6.9709643653278154E-3</v>
      </c>
      <c r="E189" s="27"/>
    </row>
    <row r="190" spans="2:5" ht="12.5" x14ac:dyDescent="0.25">
      <c r="B190" s="1">
        <f>'Share Price'!A155</f>
        <v>41809</v>
      </c>
      <c r="C190">
        <f>'Share Price'!B155</f>
        <v>182.82</v>
      </c>
      <c r="D190" s="47">
        <f t="shared" si="2"/>
        <v>-4.2574159607173976E-3</v>
      </c>
      <c r="E190" s="27"/>
    </row>
    <row r="191" spans="2:5" ht="12.5" x14ac:dyDescent="0.25">
      <c r="B191" s="1">
        <f>'Share Price'!A156</f>
        <v>41808</v>
      </c>
      <c r="C191">
        <f>'Share Price'!B156</f>
        <v>183.6</v>
      </c>
      <c r="D191" s="47">
        <f t="shared" si="2"/>
        <v>7.3252391184094427E-3</v>
      </c>
      <c r="E191" s="27"/>
    </row>
    <row r="192" spans="2:5" ht="12.5" x14ac:dyDescent="0.25">
      <c r="B192" s="1">
        <f>'Share Price'!A157</f>
        <v>41807</v>
      </c>
      <c r="C192">
        <f>'Share Price'!B157</f>
        <v>182.26</v>
      </c>
      <c r="D192" s="47">
        <f t="shared" si="2"/>
        <v>-4.936781867084343E-4</v>
      </c>
      <c r="E192" s="27"/>
    </row>
    <row r="193" spans="2:5" ht="12.5" x14ac:dyDescent="0.25">
      <c r="B193" s="1">
        <f>'Share Price'!A158</f>
        <v>41806</v>
      </c>
      <c r="C193">
        <f>'Share Price'!B158</f>
        <v>182.35</v>
      </c>
      <c r="D193" s="47">
        <f t="shared" si="2"/>
        <v>-1.1509688590763002E-3</v>
      </c>
      <c r="E193" s="27"/>
    </row>
    <row r="194" spans="2:5" ht="12.5" x14ac:dyDescent="0.25">
      <c r="B194" s="1">
        <f>'Share Price'!A159</f>
        <v>41803</v>
      </c>
      <c r="C194">
        <f>'Share Price'!B159</f>
        <v>182.56</v>
      </c>
      <c r="D194" s="47">
        <f t="shared" si="2"/>
        <v>7.3671233198509857E-3</v>
      </c>
      <c r="E194" s="27"/>
    </row>
    <row r="195" spans="2:5" ht="12.5" x14ac:dyDescent="0.25">
      <c r="B195" s="1">
        <f>'Share Price'!A160</f>
        <v>41802</v>
      </c>
      <c r="C195">
        <f>'Share Price'!B160</f>
        <v>181.22</v>
      </c>
      <c r="D195" s="47">
        <f t="shared" si="2"/>
        <v>-5.667608094852985E-3</v>
      </c>
      <c r="E195" s="27"/>
    </row>
    <row r="196" spans="2:5" ht="12.5" x14ac:dyDescent="0.25">
      <c r="B196" s="1">
        <f>'Share Price'!A161</f>
        <v>41801</v>
      </c>
      <c r="C196">
        <f>'Share Price'!B161</f>
        <v>182.25</v>
      </c>
      <c r="D196" s="47">
        <f t="shared" si="2"/>
        <v>-1.113123295517812E-2</v>
      </c>
      <c r="E196" s="27"/>
    </row>
    <row r="197" spans="2:5" ht="12.5" x14ac:dyDescent="0.25">
      <c r="B197" s="1">
        <f>'Share Price'!A162</f>
        <v>41800</v>
      </c>
      <c r="C197">
        <f>'Share Price'!B162</f>
        <v>184.29</v>
      </c>
      <c r="D197" s="47">
        <f t="shared" si="2"/>
        <v>-1.0418166616438027E-2</v>
      </c>
      <c r="E197" s="27"/>
    </row>
    <row r="198" spans="2:5" ht="12.5" x14ac:dyDescent="0.25">
      <c r="B198" s="1">
        <f>'Share Price'!A163</f>
        <v>41799</v>
      </c>
      <c r="C198">
        <f>'Share Price'!B163</f>
        <v>186.22</v>
      </c>
      <c r="D198" s="47">
        <f t="shared" si="2"/>
        <v>-8.051746321899848E-4</v>
      </c>
      <c r="E198" s="27"/>
    </row>
    <row r="199" spans="2:5" ht="12.5" x14ac:dyDescent="0.25">
      <c r="B199" s="1">
        <f>'Share Price'!A164</f>
        <v>41796</v>
      </c>
      <c r="C199">
        <f>'Share Price'!B164</f>
        <v>186.37</v>
      </c>
      <c r="D199" s="47">
        <f t="shared" si="2"/>
        <v>2.0948040425225415E-3</v>
      </c>
      <c r="E199" s="27"/>
    </row>
    <row r="200" spans="2:5" ht="12.5" x14ac:dyDescent="0.25">
      <c r="B200" s="1">
        <f>'Share Price'!A165</f>
        <v>41795</v>
      </c>
      <c r="C200">
        <f>'Share Price'!B165</f>
        <v>185.98</v>
      </c>
      <c r="D200" s="47">
        <f t="shared" si="2"/>
        <v>7.935478496260322E-3</v>
      </c>
      <c r="E200" s="27"/>
    </row>
    <row r="201" spans="2:5" ht="12.5" x14ac:dyDescent="0.25">
      <c r="B201" s="1">
        <f>'Share Price'!A166</f>
        <v>41794</v>
      </c>
      <c r="C201">
        <f>'Share Price'!B166</f>
        <v>184.51</v>
      </c>
      <c r="D201" s="47">
        <f t="shared" si="2"/>
        <v>7.5905447149154936E-4</v>
      </c>
      <c r="E201" s="27"/>
    </row>
    <row r="202" spans="2:5" ht="12.5" x14ac:dyDescent="0.25">
      <c r="B202" s="1">
        <f>'Share Price'!A167</f>
        <v>41793</v>
      </c>
      <c r="C202">
        <f>'Share Price'!B167</f>
        <v>184.37</v>
      </c>
      <c r="D202" s="47">
        <f t="shared" si="2"/>
        <v>-7.1340085302048356E-3</v>
      </c>
      <c r="E202" s="27"/>
    </row>
    <row r="203" spans="2:5" ht="12.5" x14ac:dyDescent="0.25">
      <c r="B203" s="1">
        <f>'Share Price'!A168</f>
        <v>41792</v>
      </c>
      <c r="C203">
        <f>'Share Price'!B168</f>
        <v>185.69</v>
      </c>
      <c r="D203" s="47">
        <f t="shared" si="2"/>
        <v>7.1882487601966369E-3</v>
      </c>
      <c r="E203" s="27"/>
    </row>
    <row r="204" spans="2:5" ht="12.5" x14ac:dyDescent="0.25">
      <c r="B204" s="1">
        <f>'Share Price'!A169</f>
        <v>41789</v>
      </c>
      <c r="C204">
        <f>'Share Price'!B169</f>
        <v>184.36</v>
      </c>
      <c r="D204" s="47">
        <f t="shared" si="2"/>
        <v>3.2598094714647542E-3</v>
      </c>
      <c r="E204" s="27"/>
    </row>
    <row r="205" spans="2:5" ht="12.5" x14ac:dyDescent="0.25">
      <c r="B205" s="1">
        <f>'Share Price'!A170</f>
        <v>41788</v>
      </c>
      <c r="C205">
        <f>'Share Price'!B170</f>
        <v>183.76</v>
      </c>
      <c r="D205" s="47">
        <f t="shared" si="2"/>
        <v>3.7073425954014662E-3</v>
      </c>
      <c r="E205" s="27"/>
    </row>
    <row r="206" spans="2:5" ht="12.5" x14ac:dyDescent="0.25">
      <c r="B206" s="1">
        <f>'Share Price'!A171</f>
        <v>41787</v>
      </c>
      <c r="C206">
        <f>'Share Price'!B171</f>
        <v>183.08</v>
      </c>
      <c r="D206" s="47">
        <f t="shared" si="2"/>
        <v>-9.242712457157647E-3</v>
      </c>
      <c r="E206" s="27"/>
    </row>
    <row r="207" spans="2:5" ht="12.5" x14ac:dyDescent="0.25">
      <c r="B207" s="1">
        <f>'Share Price'!A172</f>
        <v>41786</v>
      </c>
      <c r="C207">
        <f>'Share Price'!B172</f>
        <v>184.78</v>
      </c>
      <c r="D207" s="47">
        <f t="shared" si="2"/>
        <v>-6.2581127851128069E-3</v>
      </c>
      <c r="E207" s="27"/>
    </row>
    <row r="208" spans="2:5" ht="12.5" x14ac:dyDescent="0.25">
      <c r="B208" s="1">
        <f>'Share Price'!A173</f>
        <v>41782</v>
      </c>
      <c r="C208">
        <f>'Share Price'!B173</f>
        <v>185.94</v>
      </c>
      <c r="D208" s="47">
        <f t="shared" si="2"/>
        <v>1.399279061530197E-3</v>
      </c>
      <c r="E208" s="27"/>
    </row>
    <row r="209" spans="2:5" ht="12.5" x14ac:dyDescent="0.25">
      <c r="B209" s="1">
        <f>'Share Price'!A174</f>
        <v>41781</v>
      </c>
      <c r="C209">
        <f>'Share Price'!B174</f>
        <v>185.68</v>
      </c>
      <c r="D209" s="47">
        <f t="shared" si="2"/>
        <v>-3.8164907775304325E-3</v>
      </c>
      <c r="E209" s="27"/>
    </row>
    <row r="210" spans="2:5" ht="12.5" x14ac:dyDescent="0.25">
      <c r="B210" s="1">
        <f>'Share Price'!A175</f>
        <v>41780</v>
      </c>
      <c r="C210">
        <f>'Share Price'!B175</f>
        <v>186.39</v>
      </c>
      <c r="D210" s="47">
        <f t="shared" si="2"/>
        <v>8.0801991014507069E-3</v>
      </c>
      <c r="E210" s="27"/>
    </row>
    <row r="211" spans="2:5" ht="12.5" x14ac:dyDescent="0.25">
      <c r="B211" s="1">
        <f>'Share Price'!A176</f>
        <v>41779</v>
      </c>
      <c r="C211">
        <f>'Share Price'!B176</f>
        <v>184.89</v>
      </c>
      <c r="D211" s="47">
        <f t="shared" si="2"/>
        <v>-1.134756321232522E-2</v>
      </c>
      <c r="E211" s="27"/>
    </row>
    <row r="212" spans="2:5" ht="12.5" x14ac:dyDescent="0.25">
      <c r="B212" s="1">
        <f>'Share Price'!A177</f>
        <v>41778</v>
      </c>
      <c r="C212">
        <f>'Share Price'!B177</f>
        <v>187</v>
      </c>
      <c r="D212" s="47">
        <f t="shared" si="2"/>
        <v>-3.208041518183243E-4</v>
      </c>
      <c r="E212" s="27"/>
    </row>
    <row r="213" spans="2:5" ht="12.5" x14ac:dyDescent="0.25">
      <c r="B213" s="1">
        <f>'Share Price'!A178</f>
        <v>41775</v>
      </c>
      <c r="C213">
        <f>'Share Price'!B178</f>
        <v>187.06</v>
      </c>
      <c r="D213" s="47">
        <f t="shared" si="2"/>
        <v>3.2126821378573346E-3</v>
      </c>
      <c r="E213" s="27"/>
    </row>
    <row r="214" spans="2:5" ht="12.5" x14ac:dyDescent="0.25">
      <c r="B214" s="1">
        <f>'Share Price'!A179</f>
        <v>41774</v>
      </c>
      <c r="C214">
        <f>'Share Price'!B179</f>
        <v>186.46</v>
      </c>
      <c r="D214" s="47">
        <f t="shared" si="2"/>
        <v>-1.2047696230871948E-2</v>
      </c>
      <c r="E214" s="27"/>
    </row>
    <row r="215" spans="2:5" ht="12.5" x14ac:dyDescent="0.25">
      <c r="B215" s="1">
        <f>'Share Price'!A180</f>
        <v>41773</v>
      </c>
      <c r="C215">
        <f>'Share Price'!B180</f>
        <v>188.72</v>
      </c>
      <c r="D215" s="47">
        <f t="shared" si="2"/>
        <v>-1.822003094689369E-2</v>
      </c>
      <c r="E215" s="27"/>
    </row>
    <row r="216" spans="2:5" ht="12.5" x14ac:dyDescent="0.25">
      <c r="B216" s="1">
        <f>'Share Price'!A181</f>
        <v>41772</v>
      </c>
      <c r="C216">
        <f>'Share Price'!B181</f>
        <v>192.19</v>
      </c>
      <c r="D216" s="47">
        <f t="shared" si="2"/>
        <v>-1.9752579454831031E-3</v>
      </c>
      <c r="E216" s="27"/>
    </row>
    <row r="217" spans="2:5" ht="12.5" x14ac:dyDescent="0.25">
      <c r="B217" s="1">
        <f>'Share Price'!A182</f>
        <v>41771</v>
      </c>
      <c r="C217">
        <f>'Share Price'!B182</f>
        <v>192.57</v>
      </c>
      <c r="D217" s="47">
        <f t="shared" si="2"/>
        <v>1.30146878175163E-2</v>
      </c>
      <c r="E217" s="27"/>
    </row>
    <row r="218" spans="2:5" ht="12.5" x14ac:dyDescent="0.25">
      <c r="B218" s="1">
        <f>'Share Price'!A183</f>
        <v>41768</v>
      </c>
      <c r="C218">
        <f>'Share Price'!B183</f>
        <v>190.08</v>
      </c>
      <c r="D218" s="47">
        <f t="shared" si="2"/>
        <v>6.1743250055191915E-3</v>
      </c>
      <c r="E218" s="27"/>
    </row>
    <row r="219" spans="2:5" ht="12.5" x14ac:dyDescent="0.25">
      <c r="B219" s="1">
        <f>'Share Price'!A184</f>
        <v>41767</v>
      </c>
      <c r="C219">
        <f>'Share Price'!B184</f>
        <v>188.91</v>
      </c>
      <c r="D219" s="47">
        <f t="shared" si="2"/>
        <v>-2.0623470465162366E-3</v>
      </c>
      <c r="E219" s="27"/>
    </row>
    <row r="220" spans="2:5" ht="12.5" x14ac:dyDescent="0.25">
      <c r="B220" s="1">
        <f>'Share Price'!A185</f>
        <v>41766</v>
      </c>
      <c r="C220">
        <f>'Share Price'!B185</f>
        <v>189.3</v>
      </c>
      <c r="D220" s="47">
        <f t="shared" si="2"/>
        <v>-3.8488962179890349E-3</v>
      </c>
      <c r="E220" s="27"/>
    </row>
    <row r="221" spans="2:5" ht="12.5" x14ac:dyDescent="0.25">
      <c r="B221" s="1">
        <f>'Share Price'!A186</f>
        <v>41765</v>
      </c>
      <c r="C221">
        <f>'Share Price'!B186</f>
        <v>190.03</v>
      </c>
      <c r="D221" s="47">
        <f t="shared" si="2"/>
        <v>-6.4518044881302387E-3</v>
      </c>
      <c r="E221" s="27"/>
    </row>
    <row r="222" spans="2:5" ht="12.5" x14ac:dyDescent="0.25">
      <c r="B222" s="1">
        <f>'Share Price'!A187</f>
        <v>41764</v>
      </c>
      <c r="C222">
        <f>'Share Price'!B187</f>
        <v>191.26</v>
      </c>
      <c r="D222" s="47">
        <f t="shared" si="2"/>
        <v>-9.4068467872132709E-4</v>
      </c>
      <c r="E222" s="27"/>
    </row>
    <row r="223" spans="2:5" ht="12.5" x14ac:dyDescent="0.25">
      <c r="B223" s="1">
        <f>'Share Price'!A188</f>
        <v>41761</v>
      </c>
      <c r="C223">
        <f>'Share Price'!B188</f>
        <v>191.44</v>
      </c>
      <c r="D223" s="47">
        <f t="shared" si="2"/>
        <v>-1.085809561214212E-2</v>
      </c>
      <c r="E223" s="27"/>
    </row>
    <row r="224" spans="2:5" ht="12.5" x14ac:dyDescent="0.25">
      <c r="B224" s="1">
        <f>'Share Price'!A189</f>
        <v>41760</v>
      </c>
      <c r="C224">
        <f>'Share Price'!B189</f>
        <v>193.53</v>
      </c>
      <c r="D224" s="47">
        <f t="shared" si="2"/>
        <v>-1.5077208685811857E-2</v>
      </c>
      <c r="E224" s="27"/>
    </row>
    <row r="225" spans="2:5" ht="12.5" x14ac:dyDescent="0.25">
      <c r="B225" s="1">
        <f>'Share Price'!A190</f>
        <v>41759</v>
      </c>
      <c r="C225">
        <f>'Share Price'!B190</f>
        <v>196.47</v>
      </c>
      <c r="D225" s="47">
        <f t="shared" si="2"/>
        <v>6.9462458162644989E-3</v>
      </c>
      <c r="E225" s="27"/>
    </row>
    <row r="226" spans="2:5" ht="12.5" x14ac:dyDescent="0.25">
      <c r="B226" s="1">
        <f>'Share Price'!A191</f>
        <v>41758</v>
      </c>
      <c r="C226">
        <f>'Share Price'!B191</f>
        <v>195.11</v>
      </c>
      <c r="D226" s="47">
        <f t="shared" si="2"/>
        <v>1.0148187543035659E-2</v>
      </c>
      <c r="E226" s="27"/>
    </row>
    <row r="227" spans="2:5" ht="12.5" x14ac:dyDescent="0.25">
      <c r="B227" s="1">
        <f>'Share Price'!A192</f>
        <v>41757</v>
      </c>
      <c r="C227">
        <f>'Share Price'!B192</f>
        <v>193.14</v>
      </c>
      <c r="D227" s="47">
        <f t="shared" si="2"/>
        <v>1.8340509386454758E-2</v>
      </c>
      <c r="E227" s="27"/>
    </row>
    <row r="228" spans="2:5" ht="12.5" x14ac:dyDescent="0.25">
      <c r="B228" s="1">
        <f>'Share Price'!A193</f>
        <v>41754</v>
      </c>
      <c r="C228">
        <f>'Share Price'!B193</f>
        <v>189.63</v>
      </c>
      <c r="D228" s="47">
        <f t="shared" si="2"/>
        <v>-3.1064919019223917E-3</v>
      </c>
      <c r="E228" s="27"/>
    </row>
    <row r="229" spans="2:5" ht="12.5" x14ac:dyDescent="0.25">
      <c r="B229" s="1">
        <f>'Share Price'!A194</f>
        <v>41753</v>
      </c>
      <c r="C229">
        <f>'Share Price'!B194</f>
        <v>190.22</v>
      </c>
      <c r="D229" s="47">
        <f t="shared" si="2"/>
        <v>-7.9068352760605747E-3</v>
      </c>
      <c r="E229" s="27"/>
    </row>
    <row r="230" spans="2:5" ht="12.5" x14ac:dyDescent="0.25">
      <c r="B230" s="1">
        <f>'Share Price'!A195</f>
        <v>41752</v>
      </c>
      <c r="C230">
        <f>'Share Price'!B195</f>
        <v>191.73</v>
      </c>
      <c r="D230" s="47">
        <f t="shared" si="2"/>
        <v>-2.1881846805528941E-3</v>
      </c>
      <c r="E230" s="27"/>
    </row>
    <row r="231" spans="2:5" ht="12.5" x14ac:dyDescent="0.25">
      <c r="B231" s="1">
        <f>'Share Price'!A196</f>
        <v>41751</v>
      </c>
      <c r="C231">
        <f>'Share Price'!B196</f>
        <v>192.15</v>
      </c>
      <c r="D231" s="47">
        <f t="shared" si="2"/>
        <v>-6.2431717339220228E-4</v>
      </c>
      <c r="E231" s="27"/>
    </row>
    <row r="232" spans="2:5" ht="12.5" x14ac:dyDescent="0.25">
      <c r="B232" s="1">
        <f>'Share Price'!A197</f>
        <v>41750</v>
      </c>
      <c r="C232">
        <f>'Share Price'!B197</f>
        <v>192.27</v>
      </c>
      <c r="D232" s="47">
        <f t="shared" si="2"/>
        <v>1.1823931829804622E-2</v>
      </c>
      <c r="E232" s="27"/>
    </row>
    <row r="233" spans="2:5" ht="12.5" x14ac:dyDescent="0.25">
      <c r="B233" s="1">
        <f>'Share Price'!A198</f>
        <v>41746</v>
      </c>
      <c r="C233">
        <f>'Share Price'!B198</f>
        <v>190.01</v>
      </c>
      <c r="D233" s="47">
        <f t="shared" ref="D233:D291" si="3">LN(C233/C234)</f>
        <v>-3.3076693565925047E-2</v>
      </c>
      <c r="E233" s="27"/>
    </row>
    <row r="234" spans="2:5" ht="12.5" x14ac:dyDescent="0.25">
      <c r="B234" s="1">
        <f>'Share Price'!A199</f>
        <v>41745</v>
      </c>
      <c r="C234">
        <f>'Share Price'!B199</f>
        <v>196.4</v>
      </c>
      <c r="D234" s="47">
        <f t="shared" si="3"/>
        <v>-3.1518505071676263E-3</v>
      </c>
      <c r="E234" s="27"/>
    </row>
    <row r="235" spans="2:5" ht="12.5" x14ac:dyDescent="0.25">
      <c r="B235" s="1">
        <f>'Share Price'!A200</f>
        <v>41744</v>
      </c>
      <c r="C235">
        <f>'Share Price'!B200</f>
        <v>197.02</v>
      </c>
      <c r="D235" s="47">
        <f t="shared" si="3"/>
        <v>-3.7994929064005655E-3</v>
      </c>
      <c r="E235" s="27"/>
    </row>
    <row r="236" spans="2:5" ht="12.5" x14ac:dyDescent="0.25">
      <c r="B236" s="1">
        <f>'Share Price'!A201</f>
        <v>41743</v>
      </c>
      <c r="C236">
        <f>'Share Price'!B201</f>
        <v>197.77</v>
      </c>
      <c r="D236" s="47">
        <f t="shared" si="3"/>
        <v>1.3131296175414302E-2</v>
      </c>
      <c r="E236" s="27"/>
    </row>
    <row r="237" spans="2:5" ht="12.5" x14ac:dyDescent="0.25">
      <c r="B237" s="1">
        <f>'Share Price'!A202</f>
        <v>41740</v>
      </c>
      <c r="C237">
        <f>'Share Price'!B202</f>
        <v>195.19</v>
      </c>
      <c r="D237" s="47">
        <f t="shared" si="3"/>
        <v>-2.5072287803429433E-3</v>
      </c>
      <c r="E237" s="27"/>
    </row>
    <row r="238" spans="2:5" ht="12.5" x14ac:dyDescent="0.25">
      <c r="B238" s="1">
        <f>'Share Price'!A203</f>
        <v>41739</v>
      </c>
      <c r="C238">
        <f>'Share Price'!B203</f>
        <v>195.68</v>
      </c>
      <c r="D238" s="47">
        <f t="shared" si="3"/>
        <v>-4.8939738788623338E-3</v>
      </c>
      <c r="E238" s="27"/>
    </row>
    <row r="239" spans="2:5" ht="12.5" x14ac:dyDescent="0.25">
      <c r="B239" s="1">
        <f>'Share Price'!A204</f>
        <v>41738</v>
      </c>
      <c r="C239">
        <f>'Share Price'!B204</f>
        <v>196.64</v>
      </c>
      <c r="D239" s="47">
        <f t="shared" si="3"/>
        <v>1.7182993999063863E-2</v>
      </c>
      <c r="E239" s="27"/>
    </row>
    <row r="240" spans="2:5" ht="12.5" x14ac:dyDescent="0.25">
      <c r="B240" s="1">
        <f>'Share Price'!A205</f>
        <v>41737</v>
      </c>
      <c r="C240">
        <f>'Share Price'!B205</f>
        <v>193.29</v>
      </c>
      <c r="D240" s="47">
        <f t="shared" si="3"/>
        <v>-6.3433337169243719E-3</v>
      </c>
      <c r="E240" s="27"/>
    </row>
    <row r="241" spans="2:5" ht="12.5" x14ac:dyDescent="0.25">
      <c r="B241" s="1">
        <f>'Share Price'!A206</f>
        <v>41736</v>
      </c>
      <c r="C241">
        <f>'Share Price'!B206</f>
        <v>194.52</v>
      </c>
      <c r="D241" s="47">
        <f t="shared" si="3"/>
        <v>1.4238248250160809E-2</v>
      </c>
      <c r="E241" s="27"/>
    </row>
    <row r="242" spans="2:5" ht="12.5" x14ac:dyDescent="0.25">
      <c r="B242" s="1">
        <f>'Share Price'!A207</f>
        <v>41733</v>
      </c>
      <c r="C242">
        <f>'Share Price'!B207</f>
        <v>191.77</v>
      </c>
      <c r="D242" s="47">
        <f t="shared" si="3"/>
        <v>-4.7859426523865559E-3</v>
      </c>
      <c r="E242" s="27"/>
    </row>
    <row r="243" spans="2:5" ht="12.5" x14ac:dyDescent="0.25">
      <c r="B243" s="1">
        <f>'Share Price'!A208</f>
        <v>41732</v>
      </c>
      <c r="C243">
        <f>'Share Price'!B208</f>
        <v>192.69</v>
      </c>
      <c r="D243" s="47">
        <f t="shared" si="3"/>
        <v>-4.4531970858463351E-3</v>
      </c>
      <c r="E243" s="27"/>
    </row>
    <row r="244" spans="2:5" ht="12.5" x14ac:dyDescent="0.25">
      <c r="B244" s="1">
        <f>'Share Price'!A209</f>
        <v>41731</v>
      </c>
      <c r="C244">
        <f>'Share Price'!B209</f>
        <v>193.55</v>
      </c>
      <c r="D244" s="47">
        <f t="shared" si="3"/>
        <v>-4.8962860348437985E-3</v>
      </c>
      <c r="E244" s="27"/>
    </row>
    <row r="245" spans="2:5" ht="12.5" x14ac:dyDescent="0.25">
      <c r="B245" s="1">
        <f>'Share Price'!A210</f>
        <v>41730</v>
      </c>
      <c r="C245">
        <f>'Share Price'!B210</f>
        <v>194.5</v>
      </c>
      <c r="D245" s="47">
        <f t="shared" si="3"/>
        <v>1.0387958731956796E-2</v>
      </c>
      <c r="E245" s="27"/>
    </row>
    <row r="246" spans="2:5" ht="12.5" x14ac:dyDescent="0.25">
      <c r="B246" s="1">
        <f>'Share Price'!A211</f>
        <v>41729</v>
      </c>
      <c r="C246">
        <f>'Share Price'!B211</f>
        <v>192.49</v>
      </c>
      <c r="D246" s="47">
        <f t="shared" si="3"/>
        <v>1.0654511401931193E-2</v>
      </c>
      <c r="E246" s="27"/>
    </row>
    <row r="247" spans="2:5" ht="12.5" x14ac:dyDescent="0.25">
      <c r="B247" s="1">
        <f>'Share Price'!A212</f>
        <v>41726</v>
      </c>
      <c r="C247">
        <f>'Share Price'!B212</f>
        <v>190.45</v>
      </c>
      <c r="D247" s="47">
        <f t="shared" si="3"/>
        <v>3.2607581221624281E-3</v>
      </c>
      <c r="E247" s="27"/>
    </row>
    <row r="248" spans="2:5" ht="12.5" x14ac:dyDescent="0.25">
      <c r="B248" s="1">
        <f>'Share Price'!A213</f>
        <v>41725</v>
      </c>
      <c r="C248">
        <f>'Share Price'!B213</f>
        <v>189.83</v>
      </c>
      <c r="D248" s="47">
        <f t="shared" si="3"/>
        <v>-1.4590401330267636E-2</v>
      </c>
      <c r="E248" s="27"/>
    </row>
    <row r="249" spans="2:5" ht="12.5" x14ac:dyDescent="0.25">
      <c r="B249" s="1">
        <f>'Share Price'!A214</f>
        <v>41724</v>
      </c>
      <c r="C249">
        <f>'Share Price'!B214</f>
        <v>192.62</v>
      </c>
      <c r="D249" s="47">
        <f t="shared" si="3"/>
        <v>-1.2485329600243089E-2</v>
      </c>
      <c r="E249" s="27"/>
    </row>
    <row r="250" spans="2:5" ht="12.5" x14ac:dyDescent="0.25">
      <c r="B250" s="1">
        <f>'Share Price'!A215</f>
        <v>41723</v>
      </c>
      <c r="C250">
        <f>'Share Price'!B215</f>
        <v>195.04</v>
      </c>
      <c r="D250" s="47">
        <f t="shared" si="3"/>
        <v>3.5433799052958355E-2</v>
      </c>
      <c r="E250" s="27"/>
    </row>
    <row r="251" spans="2:5" ht="12.5" x14ac:dyDescent="0.25">
      <c r="B251" s="1">
        <f>'Share Price'!A216</f>
        <v>41722</v>
      </c>
      <c r="C251">
        <f>'Share Price'!B216</f>
        <v>188.25</v>
      </c>
      <c r="D251" s="47">
        <f t="shared" si="3"/>
        <v>8.4285146354976404E-3</v>
      </c>
      <c r="E251" s="27"/>
    </row>
    <row r="252" spans="2:5" ht="12.5" x14ac:dyDescent="0.25">
      <c r="B252" s="1">
        <f>'Share Price'!A217</f>
        <v>41719</v>
      </c>
      <c r="C252">
        <f>'Share Price'!B217</f>
        <v>186.67</v>
      </c>
      <c r="D252" s="47">
        <f t="shared" si="3"/>
        <v>-6.5675543749141889E-3</v>
      </c>
      <c r="E252" s="27"/>
    </row>
    <row r="253" spans="2:5" ht="12.5" x14ac:dyDescent="0.25">
      <c r="B253" s="1">
        <f>'Share Price'!A218</f>
        <v>41718</v>
      </c>
      <c r="C253">
        <f>'Share Price'!B218</f>
        <v>187.9</v>
      </c>
      <c r="D253" s="47">
        <f t="shared" si="3"/>
        <v>1.7122878828191166E-2</v>
      </c>
      <c r="E253" s="27"/>
    </row>
    <row r="254" spans="2:5" ht="12.5" x14ac:dyDescent="0.25">
      <c r="B254" s="1">
        <f>'Share Price'!A219</f>
        <v>41717</v>
      </c>
      <c r="C254">
        <f>'Share Price'!B219</f>
        <v>184.71</v>
      </c>
      <c r="D254" s="47">
        <f t="shared" si="3"/>
        <v>-1.1305029961241784E-2</v>
      </c>
      <c r="E254" s="27"/>
    </row>
    <row r="255" spans="2:5" ht="12.5" x14ac:dyDescent="0.25">
      <c r="B255" s="1">
        <f>'Share Price'!A220</f>
        <v>41716</v>
      </c>
      <c r="C255">
        <f>'Share Price'!B220</f>
        <v>186.81</v>
      </c>
      <c r="D255" s="47">
        <f t="shared" si="3"/>
        <v>5.3674113078069768E-3</v>
      </c>
      <c r="E255" s="27"/>
    </row>
    <row r="256" spans="2:5" ht="12.5" hidden="1" x14ac:dyDescent="0.25">
      <c r="B256" s="1">
        <f>'Share Price'!A221</f>
        <v>41715</v>
      </c>
      <c r="C256">
        <f>'Share Price'!B221</f>
        <v>185.81</v>
      </c>
      <c r="D256" s="47">
        <f t="shared" si="3"/>
        <v>1.9564778182875948E-2</v>
      </c>
      <c r="E256" s="27"/>
    </row>
    <row r="257" spans="2:5" ht="12.5" hidden="1" x14ac:dyDescent="0.25">
      <c r="B257" s="1">
        <f>'Share Price'!A222</f>
        <v>41712</v>
      </c>
      <c r="C257">
        <f>'Share Price'!B222</f>
        <v>182.21</v>
      </c>
      <c r="D257" s="47">
        <f t="shared" si="3"/>
        <v>-9.2322635484880771E-3</v>
      </c>
      <c r="E257" s="27"/>
    </row>
    <row r="258" spans="2:5" ht="12.5" hidden="1" x14ac:dyDescent="0.25">
      <c r="B258" s="1">
        <f>'Share Price'!A223</f>
        <v>41711</v>
      </c>
      <c r="C258">
        <f>'Share Price'!B223</f>
        <v>183.9</v>
      </c>
      <c r="D258" s="47">
        <f t="shared" si="3"/>
        <v>-1.2536638850108276E-2</v>
      </c>
      <c r="E258" s="27"/>
    </row>
    <row r="259" spans="2:5" ht="12.5" hidden="1" x14ac:dyDescent="0.25">
      <c r="B259" s="1">
        <f>'Share Price'!A224</f>
        <v>41710</v>
      </c>
      <c r="C259">
        <f>'Share Price'!B224</f>
        <v>186.22</v>
      </c>
      <c r="D259" s="47">
        <f t="shared" si="3"/>
        <v>-2.8955996423525249E-3</v>
      </c>
      <c r="E259" s="27"/>
    </row>
    <row r="260" spans="2:5" ht="12.5" hidden="1" x14ac:dyDescent="0.25">
      <c r="B260" s="1">
        <f>'Share Price'!A225</f>
        <v>41709</v>
      </c>
      <c r="C260">
        <f>'Share Price'!B225</f>
        <v>186.76</v>
      </c>
      <c r="D260" s="47">
        <f t="shared" si="3"/>
        <v>1.9831173590240778E-3</v>
      </c>
      <c r="E260" s="27"/>
    </row>
    <row r="261" spans="2:5" ht="12.5" hidden="1" x14ac:dyDescent="0.25">
      <c r="B261" s="1">
        <f>'Share Price'!A226</f>
        <v>41708</v>
      </c>
      <c r="C261">
        <f>'Share Price'!B226</f>
        <v>186.39</v>
      </c>
      <c r="D261" s="47">
        <f t="shared" si="3"/>
        <v>-6.8971321614532833E-3</v>
      </c>
      <c r="E261" s="27"/>
    </row>
    <row r="262" spans="2:5" ht="12.5" hidden="1" x14ac:dyDescent="0.25">
      <c r="B262" s="1">
        <f>'Share Price'!A227</f>
        <v>41705</v>
      </c>
      <c r="C262">
        <f>'Share Price'!B227</f>
        <v>187.68</v>
      </c>
      <c r="D262" s="47">
        <f t="shared" si="3"/>
        <v>2.1315144490822847E-4</v>
      </c>
      <c r="E262" s="27"/>
    </row>
    <row r="263" spans="2:5" ht="12.5" hidden="1" x14ac:dyDescent="0.25">
      <c r="B263" s="1">
        <f>'Share Price'!A228</f>
        <v>41704</v>
      </c>
      <c r="C263">
        <f>'Share Price'!B228</f>
        <v>187.64</v>
      </c>
      <c r="D263" s="47">
        <f t="shared" si="3"/>
        <v>2.6682336124903088E-3</v>
      </c>
      <c r="E263" s="27"/>
    </row>
    <row r="264" spans="2:5" ht="12.5" hidden="1" x14ac:dyDescent="0.25">
      <c r="B264" s="1">
        <f>'Share Price'!A229</f>
        <v>41703</v>
      </c>
      <c r="C264">
        <f>'Share Price'!B229</f>
        <v>187.14</v>
      </c>
      <c r="D264" s="47">
        <f t="shared" si="3"/>
        <v>3.7475283432267096E-3</v>
      </c>
      <c r="E264" s="27"/>
    </row>
    <row r="265" spans="2:5" ht="12.5" hidden="1" x14ac:dyDescent="0.25">
      <c r="B265" s="1">
        <f>'Share Price'!A230</f>
        <v>41702</v>
      </c>
      <c r="C265">
        <f>'Share Price'!B230</f>
        <v>186.44</v>
      </c>
      <c r="D265" s="47">
        <f t="shared" si="3"/>
        <v>1.1761667823754263E-2</v>
      </c>
      <c r="E265" s="27"/>
    </row>
    <row r="266" spans="2:5" ht="12.5" hidden="1" x14ac:dyDescent="0.25">
      <c r="B266" s="1">
        <f>'Share Price'!A231</f>
        <v>41701</v>
      </c>
      <c r="C266">
        <f>'Share Price'!B231</f>
        <v>184.26</v>
      </c>
      <c r="D266" s="47">
        <f t="shared" si="3"/>
        <v>-4.9265183689385017E-3</v>
      </c>
      <c r="E266" s="27"/>
    </row>
    <row r="267" spans="2:5" ht="12.5" hidden="1" x14ac:dyDescent="0.25">
      <c r="B267" s="1">
        <f>'Share Price'!A232</f>
        <v>41698</v>
      </c>
      <c r="C267">
        <f>'Share Price'!B232</f>
        <v>185.17</v>
      </c>
      <c r="D267" s="47">
        <f t="shared" si="3"/>
        <v>-5.3989851219689701E-4</v>
      </c>
      <c r="E267" s="27"/>
    </row>
    <row r="268" spans="2:5" ht="12.5" hidden="1" x14ac:dyDescent="0.25">
      <c r="B268" s="1">
        <f>'Share Price'!A233</f>
        <v>41697</v>
      </c>
      <c r="C268">
        <f>'Share Price'!B233</f>
        <v>185.27</v>
      </c>
      <c r="D268" s="47">
        <f t="shared" si="3"/>
        <v>6.5524291512105209E-3</v>
      </c>
      <c r="E268" s="27"/>
    </row>
    <row r="269" spans="2:5" ht="12.5" hidden="1" x14ac:dyDescent="0.25">
      <c r="B269" s="1">
        <f>'Share Price'!A234</f>
        <v>41696</v>
      </c>
      <c r="C269">
        <f>'Share Price'!B234</f>
        <v>184.06</v>
      </c>
      <c r="D269" s="47">
        <f t="shared" si="3"/>
        <v>4.5195971186272254E-3</v>
      </c>
      <c r="E269" s="27"/>
    </row>
    <row r="270" spans="2:5" ht="12.5" hidden="1" x14ac:dyDescent="0.25">
      <c r="B270" s="1">
        <f>'Share Price'!A235</f>
        <v>41695</v>
      </c>
      <c r="C270">
        <f>'Share Price'!B235</f>
        <v>183.23</v>
      </c>
      <c r="D270" s="47">
        <f t="shared" si="3"/>
        <v>-1.1999565092073697E-3</v>
      </c>
      <c r="E270" s="27"/>
    </row>
    <row r="271" spans="2:5" ht="12.5" hidden="1" x14ac:dyDescent="0.25">
      <c r="B271" s="1">
        <f>'Share Price'!A236</f>
        <v>41694</v>
      </c>
      <c r="C271">
        <f>'Share Price'!B236</f>
        <v>183.45</v>
      </c>
      <c r="D271" s="47">
        <f t="shared" si="3"/>
        <v>3.6041978727782615E-3</v>
      </c>
      <c r="E271" s="27"/>
    </row>
    <row r="272" spans="2:5" ht="12.5" hidden="1" x14ac:dyDescent="0.25">
      <c r="B272" s="1">
        <f>'Share Price'!A237</f>
        <v>41691</v>
      </c>
      <c r="C272">
        <f>'Share Price'!B237</f>
        <v>182.79</v>
      </c>
      <c r="D272" s="47">
        <f t="shared" si="3"/>
        <v>-8.0098507522733259E-3</v>
      </c>
      <c r="E272" s="27"/>
    </row>
    <row r="273" spans="2:5" ht="12.5" hidden="1" x14ac:dyDescent="0.25">
      <c r="B273" s="1">
        <f>'Share Price'!A238</f>
        <v>41690</v>
      </c>
      <c r="C273">
        <f>'Share Price'!B238</f>
        <v>184.26</v>
      </c>
      <c r="D273" s="47">
        <f t="shared" si="3"/>
        <v>7.1349122155701288E-3</v>
      </c>
      <c r="E273" s="27"/>
    </row>
    <row r="274" spans="2:5" ht="12.5" hidden="1" x14ac:dyDescent="0.25">
      <c r="B274" s="1">
        <f>'Share Price'!A239</f>
        <v>41689</v>
      </c>
      <c r="C274">
        <f>'Share Price'!B239</f>
        <v>182.95</v>
      </c>
      <c r="D274" s="47">
        <f t="shared" si="3"/>
        <v>-1.3109741321520104E-3</v>
      </c>
      <c r="E274" s="27"/>
    </row>
    <row r="275" spans="2:5" ht="12.5" hidden="1" x14ac:dyDescent="0.25">
      <c r="B275" s="1">
        <f>'Share Price'!A240</f>
        <v>41688</v>
      </c>
      <c r="C275">
        <f>'Share Price'!B240</f>
        <v>183.19</v>
      </c>
      <c r="D275" s="47">
        <f t="shared" si="3"/>
        <v>-2.7256885606050333E-3</v>
      </c>
      <c r="E275" s="27"/>
    </row>
    <row r="276" spans="2:5" ht="12.5" hidden="1" x14ac:dyDescent="0.25">
      <c r="B276" s="1">
        <f>'Share Price'!A241</f>
        <v>41684</v>
      </c>
      <c r="C276">
        <f>'Share Price'!B241</f>
        <v>183.69</v>
      </c>
      <c r="D276" s="47">
        <f t="shared" si="3"/>
        <v>1.0122374613685039E-2</v>
      </c>
      <c r="E276" s="27"/>
    </row>
    <row r="277" spans="2:5" ht="12.5" hidden="1" x14ac:dyDescent="0.25">
      <c r="B277" s="1">
        <f>'Share Price'!A242</f>
        <v>41683</v>
      </c>
      <c r="C277">
        <f>'Share Price'!B242</f>
        <v>181.84</v>
      </c>
      <c r="D277" s="47">
        <f t="shared" si="3"/>
        <v>8.8378834202987918E-3</v>
      </c>
      <c r="E277" s="27"/>
    </row>
    <row r="278" spans="2:5" ht="12.5" hidden="1" x14ac:dyDescent="0.25">
      <c r="B278" s="1">
        <f>'Share Price'!A243</f>
        <v>41682</v>
      </c>
      <c r="C278">
        <f>'Share Price'!B243</f>
        <v>180.24</v>
      </c>
      <c r="D278" s="47">
        <f t="shared" si="3"/>
        <v>3.0005023344757162E-3</v>
      </c>
      <c r="E278" s="27"/>
    </row>
    <row r="279" spans="2:5" ht="12.5" hidden="1" x14ac:dyDescent="0.25">
      <c r="B279" s="1">
        <f>'Share Price'!A244</f>
        <v>41681</v>
      </c>
      <c r="C279">
        <f>'Share Price'!B244</f>
        <v>179.7</v>
      </c>
      <c r="D279" s="47">
        <f t="shared" si="3"/>
        <v>1.4348413408076362E-2</v>
      </c>
      <c r="E279" s="27"/>
    </row>
    <row r="280" spans="2:5" ht="12.5" hidden="1" x14ac:dyDescent="0.25">
      <c r="B280" s="1">
        <f>'Share Price'!A245</f>
        <v>41680</v>
      </c>
      <c r="C280">
        <f>'Share Price'!B245</f>
        <v>177.14</v>
      </c>
      <c r="D280" s="47">
        <f t="shared" si="3"/>
        <v>-6.2078503079999743E-4</v>
      </c>
      <c r="E280" s="27"/>
    </row>
    <row r="281" spans="2:5" ht="12.5" hidden="1" x14ac:dyDescent="0.25">
      <c r="B281" s="1">
        <f>'Share Price'!A246</f>
        <v>41677</v>
      </c>
      <c r="C281">
        <f>'Share Price'!B246</f>
        <v>177.25</v>
      </c>
      <c r="D281" s="47">
        <f t="shared" si="3"/>
        <v>1.4662685971935471E-2</v>
      </c>
      <c r="E281" s="27"/>
    </row>
    <row r="282" spans="2:5" ht="12.5" hidden="1" x14ac:dyDescent="0.25">
      <c r="B282" s="1">
        <f>'Share Price'!A247</f>
        <v>41676</v>
      </c>
      <c r="C282">
        <f>'Share Price'!B247</f>
        <v>174.67</v>
      </c>
      <c r="D282" s="47">
        <f t="shared" si="3"/>
        <v>2.4648202556510402E-3</v>
      </c>
      <c r="E282" s="27"/>
    </row>
    <row r="283" spans="2:5" ht="12.5" hidden="1" x14ac:dyDescent="0.25">
      <c r="B283" s="1">
        <f>'Share Price'!A248</f>
        <v>41675</v>
      </c>
      <c r="C283">
        <f>'Share Price'!B248</f>
        <v>174.24</v>
      </c>
      <c r="D283" s="47">
        <f t="shared" si="3"/>
        <v>8.0673481209179217E-3</v>
      </c>
      <c r="E283" s="27"/>
    </row>
    <row r="284" spans="2:5" ht="12.5" hidden="1" x14ac:dyDescent="0.25">
      <c r="B284" s="1">
        <f>'Share Price'!A249</f>
        <v>41674</v>
      </c>
      <c r="C284">
        <f>'Share Price'!B249</f>
        <v>172.84</v>
      </c>
      <c r="D284" s="47">
        <f t="shared" si="3"/>
        <v>-3.4708162551245537E-4</v>
      </c>
      <c r="E284" s="27"/>
    </row>
    <row r="285" spans="2:5" ht="12.5" hidden="1" x14ac:dyDescent="0.25">
      <c r="B285" s="1">
        <f>'Share Price'!A250</f>
        <v>41673</v>
      </c>
      <c r="C285">
        <f>'Share Price'!B250</f>
        <v>172.9</v>
      </c>
      <c r="D285" s="47">
        <f t="shared" si="3"/>
        <v>-2.1626794039080955E-2</v>
      </c>
      <c r="E285" s="27"/>
    </row>
    <row r="286" spans="2:5" ht="12.5" hidden="1" x14ac:dyDescent="0.25">
      <c r="B286" s="1">
        <f>'Share Price'!A251</f>
        <v>41670</v>
      </c>
      <c r="C286">
        <f>'Share Price'!B251</f>
        <v>176.68</v>
      </c>
      <c r="D286" s="47">
        <f t="shared" si="3"/>
        <v>-3.8413785797303478E-3</v>
      </c>
      <c r="E286" s="27"/>
    </row>
    <row r="287" spans="2:5" ht="12.5" hidden="1" x14ac:dyDescent="0.25">
      <c r="B287" s="1">
        <f>'Share Price'!A252</f>
        <v>41669</v>
      </c>
      <c r="C287">
        <f>'Share Price'!B252</f>
        <v>177.36</v>
      </c>
      <c r="D287" s="47">
        <f t="shared" si="3"/>
        <v>5.4274217353652366E-3</v>
      </c>
      <c r="E287" s="27"/>
    </row>
    <row r="288" spans="2:5" ht="12.5" hidden="1" x14ac:dyDescent="0.25">
      <c r="B288" s="1">
        <f>'Share Price'!A253</f>
        <v>41668</v>
      </c>
      <c r="C288">
        <f>'Share Price'!B253</f>
        <v>176.4</v>
      </c>
      <c r="D288" s="47">
        <f t="shared" si="3"/>
        <v>-2.5477720787986644E-3</v>
      </c>
      <c r="E288" s="27"/>
    </row>
    <row r="289" spans="2:5" ht="12.5" hidden="1" x14ac:dyDescent="0.25">
      <c r="B289" s="1">
        <f>'Share Price'!A254</f>
        <v>41667</v>
      </c>
      <c r="C289">
        <f>'Share Price'!B254</f>
        <v>176.85</v>
      </c>
      <c r="D289" s="47">
        <f t="shared" si="3"/>
        <v>-5.9196790202999542E-3</v>
      </c>
      <c r="E289" s="27"/>
    </row>
    <row r="290" spans="2:5" ht="12.5" hidden="1" x14ac:dyDescent="0.25">
      <c r="B290" s="1">
        <f>'Share Price'!A255</f>
        <v>41666</v>
      </c>
      <c r="C290">
        <f>'Share Price'!B255</f>
        <v>177.9</v>
      </c>
      <c r="D290" s="47">
        <f t="shared" si="3"/>
        <v>-9.7332535477477177E-3</v>
      </c>
      <c r="E290" s="27"/>
    </row>
    <row r="291" spans="2:5" ht="12.5" hidden="1" x14ac:dyDescent="0.25">
      <c r="B291" s="1">
        <f>'Share Price'!A256</f>
        <v>41663</v>
      </c>
      <c r="C291">
        <f>'Share Price'!B256</f>
        <v>179.64</v>
      </c>
      <c r="D291" s="47">
        <f t="shared" si="3"/>
        <v>-1.7054805296965722E-2</v>
      </c>
      <c r="E291" s="27"/>
    </row>
    <row r="292" spans="2:5" ht="12.5" hidden="1" x14ac:dyDescent="0.25">
      <c r="B292" s="1">
        <f>'Share Price'!A257</f>
        <v>41662</v>
      </c>
      <c r="C292">
        <f>'Share Price'!B257</f>
        <v>182.73</v>
      </c>
      <c r="D292" s="27"/>
      <c r="E292" s="27"/>
    </row>
    <row r="293" spans="2:5" x14ac:dyDescent="0.3"/>
    <row r="294" spans="2:5" x14ac:dyDescent="0.3"/>
    <row r="295" spans="2:5" x14ac:dyDescent="0.3">
      <c r="B295" s="60" t="s">
        <v>76</v>
      </c>
      <c r="C295" s="27"/>
    </row>
    <row r="296" spans="2:5" ht="6" customHeight="1" x14ac:dyDescent="0.25">
      <c r="B296" s="27"/>
      <c r="C296" s="27"/>
    </row>
    <row r="297" spans="2:5" ht="12.5" x14ac:dyDescent="0.25">
      <c r="B297" s="27"/>
      <c r="C297" s="27"/>
    </row>
    <row r="298" spans="2:5" ht="12.5" x14ac:dyDescent="0.25">
      <c r="B298" s="27"/>
      <c r="C298" s="27"/>
    </row>
    <row r="299" spans="2:5" ht="12.5" x14ac:dyDescent="0.25">
      <c r="B299" s="27"/>
      <c r="C299" s="27"/>
    </row>
    <row r="300" spans="2:5" ht="12.5" x14ac:dyDescent="0.25">
      <c r="B300" s="27"/>
      <c r="C300" s="27"/>
    </row>
    <row r="301" spans="2:5" ht="12.5" x14ac:dyDescent="0.25">
      <c r="B301" s="27"/>
      <c r="C301" s="27"/>
    </row>
    <row r="302" spans="2:5" ht="12.5" x14ac:dyDescent="0.25">
      <c r="B302" s="27"/>
      <c r="C302" s="27"/>
    </row>
    <row r="303" spans="2:5" ht="12.5" x14ac:dyDescent="0.25">
      <c r="B303" s="27"/>
      <c r="C303" s="27"/>
    </row>
    <row r="304" spans="2:5" ht="12.5" x14ac:dyDescent="0.25">
      <c r="B304" s="27"/>
      <c r="C304" s="27"/>
    </row>
    <row r="305" spans="2:3" ht="12.5" x14ac:dyDescent="0.25">
      <c r="B305" s="27"/>
      <c r="C305" s="27"/>
    </row>
    <row r="306" spans="2:3" ht="12.5" x14ac:dyDescent="0.25">
      <c r="B306" s="27"/>
      <c r="C306" s="27"/>
    </row>
    <row r="307" spans="2:3" x14ac:dyDescent="0.3">
      <c r="B307" s="28" t="s">
        <v>32</v>
      </c>
      <c r="C307" s="27" t="s">
        <v>69</v>
      </c>
    </row>
    <row r="308" spans="2:3" x14ac:dyDescent="0.3">
      <c r="B308" s="28" t="s">
        <v>33</v>
      </c>
      <c r="C308" s="27" t="s">
        <v>70</v>
      </c>
    </row>
    <row r="309" spans="2:3" x14ac:dyDescent="0.3">
      <c r="B309" s="28" t="s">
        <v>34</v>
      </c>
      <c r="C309" s="27" t="s">
        <v>38</v>
      </c>
    </row>
    <row r="310" spans="2:3" x14ac:dyDescent="0.3">
      <c r="B310" s="28" t="s">
        <v>35</v>
      </c>
      <c r="C310" s="27" t="s">
        <v>39</v>
      </c>
    </row>
    <row r="311" spans="2:3" x14ac:dyDescent="0.3">
      <c r="B311" s="28" t="s">
        <v>36</v>
      </c>
      <c r="C311" s="27" t="s">
        <v>40</v>
      </c>
    </row>
    <row r="312" spans="2:3" x14ac:dyDescent="0.3">
      <c r="B312" s="28" t="s">
        <v>37</v>
      </c>
      <c r="C312" s="27" t="s">
        <v>71</v>
      </c>
    </row>
    <row r="313" spans="2:3" x14ac:dyDescent="0.3">
      <c r="B313" s="28" t="s">
        <v>41</v>
      </c>
      <c r="C313" s="27" t="s">
        <v>49</v>
      </c>
    </row>
    <row r="314" spans="2:3" x14ac:dyDescent="0.3"/>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C1F7B-D48F-49AC-8F1F-93D2450A21D4}">
  <dimension ref="A1:A7"/>
  <sheetViews>
    <sheetView showGridLines="0" workbookViewId="0"/>
  </sheetViews>
  <sheetFormatPr defaultRowHeight="12.5" x14ac:dyDescent="0.25"/>
  <cols>
    <col min="1" max="16384" width="8.7265625" style="27"/>
  </cols>
  <sheetData>
    <row r="1" spans="1:1" x14ac:dyDescent="0.25">
      <c r="A1" s="83" t="s">
        <v>87</v>
      </c>
    </row>
    <row r="2" spans="1:1" x14ac:dyDescent="0.25">
      <c r="A2" s="83" t="s">
        <v>88</v>
      </c>
    </row>
    <row r="3" spans="1:1" x14ac:dyDescent="0.25">
      <c r="A3" s="83" t="s">
        <v>89</v>
      </c>
    </row>
    <row r="4" spans="1:1" ht="13" x14ac:dyDescent="0.25">
      <c r="A4" s="84" t="s">
        <v>79</v>
      </c>
    </row>
    <row r="5" spans="1:1" x14ac:dyDescent="0.25">
      <c r="A5" s="85"/>
    </row>
    <row r="6" spans="1:1" x14ac:dyDescent="0.25">
      <c r="A6" s="85"/>
    </row>
    <row r="7" spans="1:1" x14ac:dyDescent="0.25">
      <c r="A7" s="8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90"/>
  <sheetViews>
    <sheetView showGridLines="0" zoomScale="80" workbookViewId="0"/>
  </sheetViews>
  <sheetFormatPr defaultColWidth="0" defaultRowHeight="12.5" zeroHeight="1" x14ac:dyDescent="0.25"/>
  <cols>
    <col min="1" max="1" width="3.6328125" style="27" customWidth="1"/>
    <col min="2" max="2" width="22.453125" style="27" bestFit="1" customWidth="1"/>
    <col min="3" max="3" width="11" style="27" bestFit="1" customWidth="1"/>
    <col min="4" max="13" width="9.1796875" style="27" customWidth="1"/>
    <col min="14" max="14" width="8.26953125" style="27" bestFit="1" customWidth="1"/>
    <col min="15" max="15" width="13.6328125" style="27" bestFit="1" customWidth="1"/>
    <col min="16" max="16" width="13.81640625" style="27" bestFit="1" customWidth="1"/>
    <col min="17" max="24" width="9.1796875" style="27" customWidth="1"/>
    <col min="25" max="16384" width="9.1796875" style="27" hidden="1"/>
  </cols>
  <sheetData>
    <row r="1" spans="1:16" x14ac:dyDescent="0.25"/>
    <row r="2" spans="1:16" ht="13" x14ac:dyDescent="0.3">
      <c r="B2" s="82" t="s">
        <v>77</v>
      </c>
    </row>
    <row r="3" spans="1:16" x14ac:dyDescent="0.25"/>
    <row r="4" spans="1:16" x14ac:dyDescent="0.25"/>
    <row r="5" spans="1:16" x14ac:dyDescent="0.25"/>
    <row r="6" spans="1:16" x14ac:dyDescent="0.25"/>
    <row r="7" spans="1:16" ht="13" x14ac:dyDescent="0.3">
      <c r="B7" s="60" t="s">
        <v>52</v>
      </c>
      <c r="C7" s="59"/>
      <c r="D7" s="59"/>
      <c r="O7" s="60" t="s">
        <v>45</v>
      </c>
    </row>
    <row r="8" spans="1:16" ht="4" customHeight="1" x14ac:dyDescent="0.3">
      <c r="B8" s="35"/>
      <c r="C8" s="36"/>
      <c r="D8" s="34"/>
    </row>
    <row r="9" spans="1:16" ht="13" x14ac:dyDescent="0.3">
      <c r="B9" s="55" t="s">
        <v>13</v>
      </c>
      <c r="C9" s="56" t="s">
        <v>54</v>
      </c>
      <c r="D9" s="57">
        <f>$C$67</f>
        <v>13.543067233734075</v>
      </c>
      <c r="O9" s="33" t="s">
        <v>46</v>
      </c>
      <c r="P9" s="32" t="s">
        <v>47</v>
      </c>
    </row>
    <row r="10" spans="1:16" ht="13" x14ac:dyDescent="0.3">
      <c r="B10" s="55" t="s">
        <v>56</v>
      </c>
      <c r="C10" s="56" t="s">
        <v>44</v>
      </c>
      <c r="D10" s="58">
        <v>1000</v>
      </c>
      <c r="O10" s="43">
        <v>123</v>
      </c>
      <c r="P10" s="35" t="s">
        <v>43</v>
      </c>
    </row>
    <row r="11" spans="1:16" ht="13.5" thickBot="1" x14ac:dyDescent="0.35">
      <c r="B11" s="37" t="s">
        <v>53</v>
      </c>
      <c r="C11" s="38" t="s">
        <v>23</v>
      </c>
      <c r="D11" s="31">
        <f>D9*D10</f>
        <v>13543.067233734075</v>
      </c>
      <c r="O11" s="66">
        <v>123</v>
      </c>
      <c r="P11" s="27" t="s">
        <v>73</v>
      </c>
    </row>
    <row r="12" spans="1:16" ht="13" thickBot="1" x14ac:dyDescent="0.3">
      <c r="O12" s="78">
        <v>123</v>
      </c>
      <c r="P12" s="76" t="s">
        <v>64</v>
      </c>
    </row>
    <row r="13" spans="1:16" x14ac:dyDescent="0.25"/>
    <row r="14" spans="1:16" ht="13" x14ac:dyDescent="0.3">
      <c r="B14" s="60" t="s">
        <v>55</v>
      </c>
    </row>
    <row r="15" spans="1:16" ht="4" customHeight="1" x14ac:dyDescent="0.25"/>
    <row r="16" spans="1:16" ht="13" x14ac:dyDescent="0.3">
      <c r="A16" s="27" t="s">
        <v>51</v>
      </c>
      <c r="B16" s="32" t="s">
        <v>42</v>
      </c>
      <c r="C16" s="32" t="s">
        <v>22</v>
      </c>
      <c r="D16" s="41"/>
    </row>
    <row r="17" spans="1:4" ht="13" x14ac:dyDescent="0.3">
      <c r="B17" s="35" t="s">
        <v>30</v>
      </c>
      <c r="C17" s="36" t="s">
        <v>23</v>
      </c>
      <c r="D17" s="27">
        <f>'Share Price'!$B$5</f>
        <v>155.87</v>
      </c>
    </row>
    <row r="18" spans="1:4" ht="13" x14ac:dyDescent="0.3">
      <c r="B18" s="35" t="s">
        <v>29</v>
      </c>
      <c r="C18" s="36" t="s">
        <v>23</v>
      </c>
      <c r="D18" s="27">
        <f>'Share Price'!$B$6</f>
        <v>155.38999999999999</v>
      </c>
    </row>
    <row r="19" spans="1:4" ht="13" x14ac:dyDescent="0.3">
      <c r="B19" s="35" t="s">
        <v>72</v>
      </c>
      <c r="C19" s="36" t="s">
        <v>26</v>
      </c>
      <c r="D19" s="61">
        <f>'Risk-Free'!$D$11</f>
        <v>8.6E-3</v>
      </c>
    </row>
    <row r="20" spans="1:4" ht="13" x14ac:dyDescent="0.3">
      <c r="B20" s="27" t="s">
        <v>57</v>
      </c>
      <c r="C20" s="36" t="s">
        <v>26</v>
      </c>
      <c r="D20" s="64">
        <v>0.03</v>
      </c>
    </row>
    <row r="21" spans="1:4" ht="13" x14ac:dyDescent="0.3">
      <c r="B21" s="35" t="s">
        <v>25</v>
      </c>
      <c r="C21" s="36" t="s">
        <v>24</v>
      </c>
      <c r="D21" s="43">
        <v>3</v>
      </c>
    </row>
    <row r="22" spans="1:4" ht="13.5" thickBot="1" x14ac:dyDescent="0.35">
      <c r="B22" s="69" t="s">
        <v>15</v>
      </c>
      <c r="C22" s="73" t="s">
        <v>26</v>
      </c>
      <c r="D22" s="75">
        <f>'Black Scholes Model '!$D$21</f>
        <v>0.17548498839674889</v>
      </c>
    </row>
    <row r="23" spans="1:4" ht="13" x14ac:dyDescent="0.3">
      <c r="C23" s="36"/>
    </row>
    <row r="24" spans="1:4" ht="13" x14ac:dyDescent="0.3">
      <c r="B24" s="32" t="s">
        <v>21</v>
      </c>
      <c r="C24" s="32"/>
      <c r="D24" s="41"/>
    </row>
    <row r="25" spans="1:4" ht="13" x14ac:dyDescent="0.3">
      <c r="B25" s="35" t="s">
        <v>65</v>
      </c>
      <c r="C25" s="36"/>
      <c r="D25" s="65">
        <f>(D32-D28)/(D27-D28)</f>
        <v>0.44771188684612429</v>
      </c>
    </row>
    <row r="26" spans="1:4" ht="13" x14ac:dyDescent="0.3">
      <c r="B26" s="35" t="s">
        <v>66</v>
      </c>
      <c r="C26" s="36"/>
      <c r="D26" s="65">
        <f>1-D25</f>
        <v>0.55228811315387571</v>
      </c>
    </row>
    <row r="27" spans="1:4" x14ac:dyDescent="0.25">
      <c r="A27" s="35"/>
      <c r="B27" s="27" t="s">
        <v>60</v>
      </c>
      <c r="D27" s="65">
        <f>EXP(D22*SQRT(D30))</f>
        <v>1.0917069649528117</v>
      </c>
    </row>
    <row r="28" spans="1:4" x14ac:dyDescent="0.25">
      <c r="B28" s="27" t="s">
        <v>61</v>
      </c>
      <c r="D28" s="65">
        <f>1/D27</f>
        <v>0.91599672082629269</v>
      </c>
    </row>
    <row r="29" spans="1:4" x14ac:dyDescent="0.25">
      <c r="B29" s="27" t="s">
        <v>58</v>
      </c>
      <c r="D29" s="58">
        <v>12</v>
      </c>
    </row>
    <row r="30" spans="1:4" x14ac:dyDescent="0.25">
      <c r="B30" s="27" t="s">
        <v>59</v>
      </c>
      <c r="D30" s="65">
        <f>D21/D29</f>
        <v>0.25</v>
      </c>
    </row>
    <row r="31" spans="1:4" ht="14.5" x14ac:dyDescent="0.25">
      <c r="B31" s="27" t="s">
        <v>74</v>
      </c>
      <c r="D31" s="65">
        <f>EXP(-D19*D30)</f>
        <v>0.99785230959449411</v>
      </c>
    </row>
    <row r="32" spans="1:4" ht="15" thickBot="1" x14ac:dyDescent="0.3">
      <c r="B32" s="76" t="s">
        <v>75</v>
      </c>
      <c r="C32" s="76"/>
      <c r="D32" s="77">
        <f>EXP((D19-D20)*D30)</f>
        <v>0.99466428576236965</v>
      </c>
    </row>
    <row r="33" spans="2:15" x14ac:dyDescent="0.25"/>
    <row r="34" spans="2:15" x14ac:dyDescent="0.25"/>
    <row r="35" spans="2:15" ht="13" x14ac:dyDescent="0.3">
      <c r="B35" s="60" t="s">
        <v>68</v>
      </c>
    </row>
    <row r="36" spans="2:15" ht="4" customHeight="1" x14ac:dyDescent="0.25"/>
    <row r="37" spans="2:15" ht="13" x14ac:dyDescent="0.3">
      <c r="B37" s="33" t="s">
        <v>62</v>
      </c>
      <c r="C37" s="32"/>
      <c r="D37" s="32"/>
      <c r="E37" s="32"/>
      <c r="F37" s="32"/>
      <c r="G37" s="32"/>
      <c r="H37" s="32"/>
      <c r="I37" s="32"/>
      <c r="J37" s="32"/>
      <c r="K37" s="32"/>
      <c r="L37" s="32"/>
      <c r="M37" s="32"/>
      <c r="N37" s="32"/>
      <c r="O37" s="32"/>
    </row>
    <row r="38" spans="2:15" ht="13" x14ac:dyDescent="0.3">
      <c r="C38" s="63">
        <v>0</v>
      </c>
      <c r="D38" s="63">
        <f>C38+1</f>
        <v>1</v>
      </c>
      <c r="E38" s="63">
        <f t="shared" ref="E38:O38" si="0">D38+1</f>
        <v>2</v>
      </c>
      <c r="F38" s="63">
        <f t="shared" si="0"/>
        <v>3</v>
      </c>
      <c r="G38" s="63">
        <f t="shared" si="0"/>
        <v>4</v>
      </c>
      <c r="H38" s="63">
        <f t="shared" si="0"/>
        <v>5</v>
      </c>
      <c r="I38" s="63">
        <f t="shared" si="0"/>
        <v>6</v>
      </c>
      <c r="J38" s="63">
        <f t="shared" si="0"/>
        <v>7</v>
      </c>
      <c r="K38" s="63">
        <f t="shared" si="0"/>
        <v>8</v>
      </c>
      <c r="L38" s="63">
        <f t="shared" si="0"/>
        <v>9</v>
      </c>
      <c r="M38" s="63">
        <f t="shared" si="0"/>
        <v>10</v>
      </c>
      <c r="N38" s="63">
        <f t="shared" si="0"/>
        <v>11</v>
      </c>
      <c r="O38" s="63">
        <f t="shared" si="0"/>
        <v>12</v>
      </c>
    </row>
    <row r="39" spans="2:15" ht="13" x14ac:dyDescent="0.3">
      <c r="B39" s="28">
        <v>12</v>
      </c>
      <c r="C39" s="62"/>
      <c r="D39" s="62"/>
      <c r="E39" s="62"/>
      <c r="F39" s="62"/>
      <c r="G39" s="62"/>
      <c r="H39" s="62"/>
      <c r="I39" s="62"/>
      <c r="J39" s="62"/>
      <c r="K39" s="62"/>
      <c r="L39" s="62"/>
      <c r="M39" s="62"/>
      <c r="N39" s="62"/>
      <c r="O39" s="62">
        <f t="shared" ref="O39:O51" si="1">IF(N39="",IF(N40="","",N40*$D$27),N39*$D$28)</f>
        <v>446.7201146942582</v>
      </c>
    </row>
    <row r="40" spans="2:15" ht="13" x14ac:dyDescent="0.3">
      <c r="B40" s="28">
        <f>B39-1</f>
        <v>11</v>
      </c>
      <c r="C40" s="62"/>
      <c r="D40" s="62"/>
      <c r="E40" s="62"/>
      <c r="F40" s="62"/>
      <c r="G40" s="62"/>
      <c r="H40" s="62"/>
      <c r="I40" s="62"/>
      <c r="J40" s="62"/>
      <c r="K40" s="62"/>
      <c r="L40" s="62"/>
      <c r="M40" s="62"/>
      <c r="N40" s="62">
        <f t="shared" ref="N40:N51" si="2">IF(M40="",IF(M41="","",M41*$D$27),M40*$D$28)</f>
        <v>409.19416018708591</v>
      </c>
      <c r="O40" s="62">
        <f t="shared" si="1"/>
        <v>374.82050891263941</v>
      </c>
    </row>
    <row r="41" spans="2:15" ht="13" x14ac:dyDescent="0.3">
      <c r="B41" s="28">
        <f t="shared" ref="B41:B51" si="3">B40-1</f>
        <v>10</v>
      </c>
      <c r="C41" s="62"/>
      <c r="D41" s="62"/>
      <c r="E41" s="62"/>
      <c r="F41" s="62"/>
      <c r="G41" s="62"/>
      <c r="H41" s="62"/>
      <c r="I41" s="62"/>
      <c r="J41" s="62"/>
      <c r="K41" s="62"/>
      <c r="L41" s="62"/>
      <c r="M41" s="62">
        <f t="shared" ref="M41:M51" si="4">IF(L41="",IF(L42="","",L42*$D$27),L41*$D$28)</f>
        <v>374.82050891263941</v>
      </c>
      <c r="N41" s="62">
        <f t="shared" si="2"/>
        <v>343.33435706241994</v>
      </c>
      <c r="O41" s="62">
        <f t="shared" si="1"/>
        <v>314.49314521618015</v>
      </c>
    </row>
    <row r="42" spans="2:15" ht="13" x14ac:dyDescent="0.3">
      <c r="B42" s="28">
        <f t="shared" si="3"/>
        <v>9</v>
      </c>
      <c r="C42" s="62"/>
      <c r="D42" s="62"/>
      <c r="E42" s="62"/>
      <c r="F42" s="62"/>
      <c r="G42" s="62"/>
      <c r="H42" s="62"/>
      <c r="I42" s="62"/>
      <c r="J42" s="62"/>
      <c r="K42" s="62"/>
      <c r="L42" s="62">
        <f t="shared" ref="L42:L51" si="5">IF(K42="",IF(K43="","",K43*$D$27),K42*$D$28)</f>
        <v>343.33435706241994</v>
      </c>
      <c r="M42" s="62">
        <f t="shared" si="4"/>
        <v>314.49314521618015</v>
      </c>
      <c r="N42" s="62">
        <f t="shared" si="2"/>
        <v>288.07468974036811</v>
      </c>
      <c r="O42" s="62">
        <f t="shared" si="1"/>
        <v>263.87547115522887</v>
      </c>
    </row>
    <row r="43" spans="2:15" ht="13" x14ac:dyDescent="0.3">
      <c r="B43" s="28">
        <f t="shared" si="3"/>
        <v>8</v>
      </c>
      <c r="C43" s="62"/>
      <c r="D43" s="62"/>
      <c r="E43" s="62"/>
      <c r="F43" s="62"/>
      <c r="G43" s="62"/>
      <c r="H43" s="62"/>
      <c r="I43" s="62"/>
      <c r="J43" s="62"/>
      <c r="K43" s="62">
        <f t="shared" ref="K43:K51" si="6">IF(J43="",IF(J44="","",J44*$D$27),J43*$D$28)</f>
        <v>314.49314521618015</v>
      </c>
      <c r="L43" s="62">
        <f t="shared" si="5"/>
        <v>288.07468974036811</v>
      </c>
      <c r="M43" s="62">
        <f t="shared" si="4"/>
        <v>263.87547115522887</v>
      </c>
      <c r="N43" s="62">
        <f t="shared" si="2"/>
        <v>241.70906628468262</v>
      </c>
      <c r="O43" s="62">
        <f t="shared" si="1"/>
        <v>221.4047121107543</v>
      </c>
    </row>
    <row r="44" spans="2:15" ht="13" x14ac:dyDescent="0.3">
      <c r="B44" s="28">
        <f t="shared" si="3"/>
        <v>7</v>
      </c>
      <c r="C44" s="62"/>
      <c r="D44" s="62"/>
      <c r="E44" s="62"/>
      <c r="F44" s="62"/>
      <c r="G44" s="62"/>
      <c r="H44" s="62"/>
      <c r="I44" s="62"/>
      <c r="J44" s="62">
        <f t="shared" ref="J44:J51" si="7">IF(I44="",IF(I45="","",I45*$D$27),I44*$D$28)</f>
        <v>288.07468974036811</v>
      </c>
      <c r="K44" s="62">
        <f t="shared" si="6"/>
        <v>263.87547115522887</v>
      </c>
      <c r="L44" s="62">
        <f t="shared" si="5"/>
        <v>241.70906628468262</v>
      </c>
      <c r="M44" s="62">
        <f t="shared" si="4"/>
        <v>221.4047121107543</v>
      </c>
      <c r="N44" s="62">
        <f t="shared" si="2"/>
        <v>202.80599026894032</v>
      </c>
      <c r="O44" s="62">
        <f t="shared" si="1"/>
        <v>185.76962205027837</v>
      </c>
    </row>
    <row r="45" spans="2:15" ht="13" x14ac:dyDescent="0.3">
      <c r="B45" s="28">
        <f t="shared" si="3"/>
        <v>6</v>
      </c>
      <c r="C45" s="62"/>
      <c r="D45" s="62"/>
      <c r="E45" s="62"/>
      <c r="F45" s="62"/>
      <c r="G45" s="62"/>
      <c r="H45" s="62"/>
      <c r="I45" s="62">
        <f t="shared" ref="I45:I51" si="8">IF(H45="",IF(H46="","",H46*$D$27),H45*$D$28)</f>
        <v>263.87547115522887</v>
      </c>
      <c r="J45" s="62">
        <f t="shared" si="7"/>
        <v>241.70906628468262</v>
      </c>
      <c r="K45" s="62">
        <f t="shared" si="6"/>
        <v>221.4047121107543</v>
      </c>
      <c r="L45" s="62">
        <f t="shared" si="5"/>
        <v>202.80599026894032</v>
      </c>
      <c r="M45" s="62">
        <f t="shared" si="4"/>
        <v>185.76962205027837</v>
      </c>
      <c r="N45" s="62">
        <f t="shared" si="2"/>
        <v>170.16436462719474</v>
      </c>
      <c r="O45" s="62">
        <f t="shared" si="1"/>
        <v>155.86999999999998</v>
      </c>
    </row>
    <row r="46" spans="2:15" ht="13" x14ac:dyDescent="0.3">
      <c r="B46" s="28">
        <f t="shared" si="3"/>
        <v>5</v>
      </c>
      <c r="C46" s="62"/>
      <c r="D46" s="62"/>
      <c r="E46" s="62"/>
      <c r="F46" s="62"/>
      <c r="G46" s="62"/>
      <c r="H46" s="62">
        <f t="shared" ref="H46:H51" si="9">IF(G46="",IF(G47="","",G47*$D$27),G46*$D$28)</f>
        <v>241.70906628468265</v>
      </c>
      <c r="I46" s="62">
        <f t="shared" si="8"/>
        <v>221.40471211075433</v>
      </c>
      <c r="J46" s="62">
        <f t="shared" si="7"/>
        <v>202.80599026894035</v>
      </c>
      <c r="K46" s="62">
        <f t="shared" si="6"/>
        <v>185.76962205027837</v>
      </c>
      <c r="L46" s="62">
        <f t="shared" si="5"/>
        <v>170.16436462719474</v>
      </c>
      <c r="M46" s="62">
        <f t="shared" si="4"/>
        <v>155.86999999999998</v>
      </c>
      <c r="N46" s="62">
        <f t="shared" si="2"/>
        <v>142.77640887519422</v>
      </c>
      <c r="O46" s="62">
        <f t="shared" si="1"/>
        <v>130.7827223410319</v>
      </c>
    </row>
    <row r="47" spans="2:15" ht="13" x14ac:dyDescent="0.3">
      <c r="B47" s="28">
        <f t="shared" si="3"/>
        <v>4</v>
      </c>
      <c r="C47" s="62"/>
      <c r="D47" s="62"/>
      <c r="E47" s="62"/>
      <c r="F47" s="62"/>
      <c r="G47" s="62">
        <f>IF(F47="",IF(F48="","",F48*$D$27),F47*$D$28)</f>
        <v>221.40471211075433</v>
      </c>
      <c r="H47" s="62">
        <f t="shared" si="9"/>
        <v>202.80599026894035</v>
      </c>
      <c r="I47" s="62">
        <f t="shared" si="8"/>
        <v>185.76962205027837</v>
      </c>
      <c r="J47" s="62">
        <f t="shared" si="7"/>
        <v>170.16436462719474</v>
      </c>
      <c r="K47" s="62">
        <f t="shared" si="6"/>
        <v>155.86999999999998</v>
      </c>
      <c r="L47" s="62">
        <f t="shared" si="5"/>
        <v>142.77640887519422</v>
      </c>
      <c r="M47" s="62">
        <f t="shared" si="4"/>
        <v>130.7827223410319</v>
      </c>
      <c r="N47" s="62">
        <f t="shared" si="2"/>
        <v>119.79654480512075</v>
      </c>
      <c r="O47" s="62">
        <f t="shared" si="1"/>
        <v>109.73324220781065</v>
      </c>
    </row>
    <row r="48" spans="2:15" ht="13" x14ac:dyDescent="0.3">
      <c r="B48" s="28">
        <f t="shared" si="3"/>
        <v>3</v>
      </c>
      <c r="C48" s="62"/>
      <c r="D48" s="62"/>
      <c r="E48" s="62"/>
      <c r="F48" s="62">
        <f>IF(E48="",IF(E49="","",E49*$D$27),E48*$D$28)</f>
        <v>202.80599026894035</v>
      </c>
      <c r="G48" s="62">
        <f>IF(F48="",IF(F49="","",F49*$D$27),F48*$D$28)</f>
        <v>185.76962205027837</v>
      </c>
      <c r="H48" s="62">
        <f t="shared" si="9"/>
        <v>170.16436462719474</v>
      </c>
      <c r="I48" s="62">
        <f t="shared" si="8"/>
        <v>155.86999999999998</v>
      </c>
      <c r="J48" s="62">
        <f t="shared" si="7"/>
        <v>142.77640887519422</v>
      </c>
      <c r="K48" s="62">
        <f t="shared" si="6"/>
        <v>130.7827223410319</v>
      </c>
      <c r="L48" s="62">
        <f t="shared" si="5"/>
        <v>119.79654480512075</v>
      </c>
      <c r="M48" s="62">
        <f t="shared" si="4"/>
        <v>109.73324220781065</v>
      </c>
      <c r="N48" s="62">
        <f t="shared" si="2"/>
        <v>100.51529002799188</v>
      </c>
      <c r="O48" s="62">
        <f t="shared" si="1"/>
        <v>92.071676058544327</v>
      </c>
    </row>
    <row r="49" spans="2:15" ht="13" x14ac:dyDescent="0.3">
      <c r="B49" s="28">
        <f t="shared" si="3"/>
        <v>2</v>
      </c>
      <c r="C49" s="62"/>
      <c r="D49" s="62"/>
      <c r="E49" s="62">
        <f>IF(D49="",IF(D50="","",D50*$D$27),D49*$D$28)</f>
        <v>185.7696220502784</v>
      </c>
      <c r="F49" s="62">
        <f>IF(E49="",IF(E50="","",E50*$D$27),E49*$D$28)</f>
        <v>170.16436462719477</v>
      </c>
      <c r="G49" s="62">
        <f>IF(F49="",IF(F50="","",F50*$D$27),F49*$D$28)</f>
        <v>155.87</v>
      </c>
      <c r="H49" s="62">
        <f t="shared" si="9"/>
        <v>142.77640887519425</v>
      </c>
      <c r="I49" s="62">
        <f t="shared" si="8"/>
        <v>130.78272234103193</v>
      </c>
      <c r="J49" s="62">
        <f t="shared" si="7"/>
        <v>119.79654480512077</v>
      </c>
      <c r="K49" s="62">
        <f t="shared" si="6"/>
        <v>109.73324220781068</v>
      </c>
      <c r="L49" s="62">
        <f t="shared" si="5"/>
        <v>100.51529002799191</v>
      </c>
      <c r="M49" s="62">
        <f t="shared" si="4"/>
        <v>92.071676058544341</v>
      </c>
      <c r="N49" s="62">
        <f t="shared" si="2"/>
        <v>84.337353350607302</v>
      </c>
      <c r="O49" s="62">
        <f t="shared" si="1"/>
        <v>77.252739112324633</v>
      </c>
    </row>
    <row r="50" spans="2:15" ht="13" x14ac:dyDescent="0.3">
      <c r="B50" s="28">
        <f t="shared" si="3"/>
        <v>1</v>
      </c>
      <c r="C50" s="62"/>
      <c r="D50" s="68">
        <f>IF(C50="",IF(C51="","",C51*$D$27),C50*$D$28)</f>
        <v>170.16436462719477</v>
      </c>
      <c r="E50" s="62">
        <f>IF(D50="",IF(D51="","",D51*$D$27),D50*$D$28)</f>
        <v>155.87</v>
      </c>
      <c r="F50" s="62">
        <f>IF(E50="",IF(E51="","",E51*$D$27),E50*$D$28)</f>
        <v>142.77640887519425</v>
      </c>
      <c r="G50" s="62">
        <f>IF(F50="",IF(F51="","",F51*$D$27),F50*$D$28)</f>
        <v>130.78272234103193</v>
      </c>
      <c r="H50" s="62">
        <f t="shared" si="9"/>
        <v>119.79654480512077</v>
      </c>
      <c r="I50" s="62">
        <f t="shared" si="8"/>
        <v>109.73324220781068</v>
      </c>
      <c r="J50" s="62">
        <f t="shared" si="7"/>
        <v>100.51529002799191</v>
      </c>
      <c r="K50" s="62">
        <f t="shared" si="6"/>
        <v>92.071676058544341</v>
      </c>
      <c r="L50" s="62">
        <f t="shared" si="5"/>
        <v>84.337353350607302</v>
      </c>
      <c r="M50" s="62">
        <f t="shared" si="4"/>
        <v>77.252739112324633</v>
      </c>
      <c r="N50" s="62">
        <f t="shared" si="2"/>
        <v>70.763255701738444</v>
      </c>
      <c r="O50" s="62">
        <f t="shared" si="1"/>
        <v>64.818910177784872</v>
      </c>
    </row>
    <row r="51" spans="2:15" ht="13.5" thickBot="1" x14ac:dyDescent="0.35">
      <c r="B51" s="80">
        <f t="shared" si="3"/>
        <v>0</v>
      </c>
      <c r="C51" s="81">
        <f>$D$17</f>
        <v>155.87</v>
      </c>
      <c r="D51" s="78">
        <f>IF(C51="",IF(C52="","",C52*$D$27),C51*$D$28)</f>
        <v>142.77640887519425</v>
      </c>
      <c r="E51" s="81">
        <f>IF(D51="",IF(D52="","",D52*$D$27),D51*$D$28)</f>
        <v>130.78272234103193</v>
      </c>
      <c r="F51" s="81">
        <f>IF(E51="",IF(E52="","",E52*$D$27),E51*$D$28)</f>
        <v>119.79654480512077</v>
      </c>
      <c r="G51" s="81">
        <f>IF(F51="",IF(F52="","",F52*$D$27),F51*$D$28)</f>
        <v>109.73324220781068</v>
      </c>
      <c r="H51" s="81">
        <f t="shared" si="9"/>
        <v>100.51529002799191</v>
      </c>
      <c r="I51" s="81">
        <f t="shared" si="8"/>
        <v>92.071676058544341</v>
      </c>
      <c r="J51" s="81">
        <f t="shared" si="7"/>
        <v>84.337353350607302</v>
      </c>
      <c r="K51" s="81">
        <f t="shared" si="6"/>
        <v>77.252739112324633</v>
      </c>
      <c r="L51" s="81">
        <f t="shared" si="5"/>
        <v>70.763255701738444</v>
      </c>
      <c r="M51" s="81">
        <f t="shared" si="4"/>
        <v>64.818910177784872</v>
      </c>
      <c r="N51" s="81">
        <f t="shared" si="2"/>
        <v>59.373909170384948</v>
      </c>
      <c r="O51" s="81">
        <f t="shared" si="1"/>
        <v>54.386306102710762</v>
      </c>
    </row>
    <row r="52" spans="2:15" x14ac:dyDescent="0.25"/>
    <row r="53" spans="2:15" ht="13" x14ac:dyDescent="0.3">
      <c r="B53" s="33" t="s">
        <v>63</v>
      </c>
      <c r="C53" s="32"/>
      <c r="D53" s="32"/>
      <c r="E53" s="32"/>
      <c r="F53" s="32"/>
      <c r="G53" s="32"/>
      <c r="H53" s="32"/>
      <c r="I53" s="32"/>
      <c r="J53" s="32"/>
      <c r="K53" s="32"/>
      <c r="L53" s="32"/>
      <c r="M53" s="32"/>
      <c r="N53" s="32"/>
      <c r="O53" s="32"/>
    </row>
    <row r="54" spans="2:15" ht="13" x14ac:dyDescent="0.3">
      <c r="C54" s="63">
        <v>0</v>
      </c>
      <c r="D54" s="63">
        <f>C54+1</f>
        <v>1</v>
      </c>
      <c r="E54" s="63">
        <f t="shared" ref="E54:O54" si="10">D54+1</f>
        <v>2</v>
      </c>
      <c r="F54" s="63">
        <f t="shared" si="10"/>
        <v>3</v>
      </c>
      <c r="G54" s="63">
        <f t="shared" si="10"/>
        <v>4</v>
      </c>
      <c r="H54" s="63">
        <f t="shared" si="10"/>
        <v>5</v>
      </c>
      <c r="I54" s="63">
        <f t="shared" si="10"/>
        <v>6</v>
      </c>
      <c r="J54" s="63">
        <f t="shared" si="10"/>
        <v>7</v>
      </c>
      <c r="K54" s="63">
        <f t="shared" si="10"/>
        <v>8</v>
      </c>
      <c r="L54" s="63">
        <f t="shared" si="10"/>
        <v>9</v>
      </c>
      <c r="M54" s="63">
        <f t="shared" si="10"/>
        <v>10</v>
      </c>
      <c r="N54" s="63">
        <f t="shared" si="10"/>
        <v>11</v>
      </c>
      <c r="O54" s="63">
        <f t="shared" si="10"/>
        <v>12</v>
      </c>
    </row>
    <row r="55" spans="2:15" ht="13" x14ac:dyDescent="0.3">
      <c r="B55" s="28">
        <v>12</v>
      </c>
      <c r="C55" s="62"/>
      <c r="D55" s="62"/>
      <c r="E55" s="62"/>
      <c r="F55" s="62"/>
      <c r="G55" s="62"/>
      <c r="H55" s="62"/>
      <c r="I55" s="62"/>
      <c r="J55" s="62"/>
      <c r="K55" s="62"/>
      <c r="L55" s="62"/>
      <c r="M55" s="62"/>
      <c r="N55" s="62"/>
      <c r="O55" s="68">
        <f>IF($O39-$D$18&gt;0,$O39-$D$18,0)</f>
        <v>291.33011469425821</v>
      </c>
    </row>
    <row r="56" spans="2:15" ht="13" x14ac:dyDescent="0.3">
      <c r="B56" s="28">
        <f>B55-1</f>
        <v>11</v>
      </c>
      <c r="C56" s="62"/>
      <c r="D56" s="62"/>
      <c r="E56" s="62"/>
      <c r="F56" s="62"/>
      <c r="G56" s="62"/>
      <c r="H56" s="62"/>
      <c r="I56" s="62"/>
      <c r="J56" s="62"/>
      <c r="K56" s="62"/>
      <c r="L56" s="62"/>
      <c r="M56" s="62"/>
      <c r="N56" s="62">
        <f>MAX($D$17-$D$18,($D$25*O55+$D$26*O56)*$D$31)</f>
        <v>251.0804134659509</v>
      </c>
      <c r="O56" s="68">
        <f t="shared" ref="O56:O67" si="11">IF($O40-$D$18&gt;0,$O40-$D$18,0)</f>
        <v>219.43050891263943</v>
      </c>
    </row>
    <row r="57" spans="2:15" ht="13" x14ac:dyDescent="0.3">
      <c r="B57" s="28">
        <f t="shared" ref="B57:B67" si="12">B56-1</f>
        <v>10</v>
      </c>
      <c r="C57" s="62"/>
      <c r="D57" s="62"/>
      <c r="E57" s="62"/>
      <c r="F57" s="62"/>
      <c r="G57" s="62"/>
      <c r="H57" s="62"/>
      <c r="I57" s="62"/>
      <c r="J57" s="62"/>
      <c r="K57" s="62"/>
      <c r="L57" s="62"/>
      <c r="M57" s="62">
        <f t="shared" ref="M57:N67" si="13">MAX($D$17-$D$18,($D$25*N56+$D$26*N57)*$D$31)</f>
        <v>214.51690101427442</v>
      </c>
      <c r="N57" s="62">
        <f t="shared" si="13"/>
        <v>185.71271117985475</v>
      </c>
      <c r="O57" s="68">
        <f t="shared" si="11"/>
        <v>159.10314521618017</v>
      </c>
    </row>
    <row r="58" spans="2:15" ht="13" x14ac:dyDescent="0.3">
      <c r="B58" s="28">
        <f t="shared" si="12"/>
        <v>9</v>
      </c>
      <c r="C58" s="62"/>
      <c r="D58" s="62"/>
      <c r="E58" s="62"/>
      <c r="F58" s="62"/>
      <c r="G58" s="62"/>
      <c r="H58" s="62"/>
      <c r="I58" s="62"/>
      <c r="J58" s="62"/>
      <c r="K58" s="62"/>
      <c r="L58" s="62">
        <f t="shared" ref="L58" si="14">MAX($D$17-$D$18,($D$25*M57+$D$26*M58)*$D$31)</f>
        <v>181.3046325207892</v>
      </c>
      <c r="M58" s="62">
        <f t="shared" si="13"/>
        <v>155.08769475211608</v>
      </c>
      <c r="N58" s="62">
        <f t="shared" si="13"/>
        <v>130.86594106274597</v>
      </c>
      <c r="O58" s="68">
        <f t="shared" si="11"/>
        <v>108.48547115522888</v>
      </c>
    </row>
    <row r="59" spans="2:15" ht="13" x14ac:dyDescent="0.3">
      <c r="B59" s="28">
        <f t="shared" si="12"/>
        <v>8</v>
      </c>
      <c r="C59" s="62"/>
      <c r="D59" s="62"/>
      <c r="E59" s="62"/>
      <c r="F59" s="62"/>
      <c r="G59" s="62"/>
      <c r="H59" s="62"/>
      <c r="I59" s="62"/>
      <c r="J59" s="62"/>
      <c r="K59" s="62">
        <f t="shared" ref="K59:L59" si="15">MAX($D$17-$D$18,($D$25*L58+$D$26*L59)*$D$31)</f>
        <v>151.13909222189912</v>
      </c>
      <c r="L59" s="62">
        <f t="shared" si="15"/>
        <v>127.27442442976083</v>
      </c>
      <c r="M59" s="62">
        <f t="shared" si="13"/>
        <v>105.2236196797367</v>
      </c>
      <c r="N59" s="62">
        <f t="shared" si="13"/>
        <v>84.8467590037978</v>
      </c>
      <c r="O59" s="68">
        <f t="shared" si="11"/>
        <v>66.014712110754317</v>
      </c>
    </row>
    <row r="60" spans="2:15" ht="13" x14ac:dyDescent="0.3">
      <c r="B60" s="28">
        <f t="shared" si="12"/>
        <v>7</v>
      </c>
      <c r="C60" s="62"/>
      <c r="D60" s="62"/>
      <c r="E60" s="62"/>
      <c r="F60" s="62"/>
      <c r="G60" s="62"/>
      <c r="H60" s="62"/>
      <c r="I60" s="62"/>
      <c r="J60" s="62">
        <f t="shared" ref="J60" si="16">MAX($D$17-$D$18,($D$25*K59+$D$26*K60)*$D$31)</f>
        <v>123.74342900328089</v>
      </c>
      <c r="K60" s="62">
        <f t="shared" ref="K60:L60" si="17">MAX($D$17-$D$18,($D$25*L59+$D$26*L60)*$D$31)</f>
        <v>102.01739651083471</v>
      </c>
      <c r="L60" s="62">
        <f t="shared" si="17"/>
        <v>81.940378732723957</v>
      </c>
      <c r="M60" s="62">
        <f t="shared" si="13"/>
        <v>63.385167861020051</v>
      </c>
      <c r="N60" s="62">
        <f t="shared" si="13"/>
        <v>46.234364639412036</v>
      </c>
      <c r="O60" s="68">
        <f t="shared" si="11"/>
        <v>30.379622050278385</v>
      </c>
    </row>
    <row r="61" spans="2:15" ht="13" x14ac:dyDescent="0.3">
      <c r="B61" s="28">
        <f t="shared" si="12"/>
        <v>6</v>
      </c>
      <c r="C61" s="62"/>
      <c r="D61" s="62"/>
      <c r="E61" s="62"/>
      <c r="F61" s="62"/>
      <c r="G61" s="62"/>
      <c r="H61" s="62"/>
      <c r="I61" s="62">
        <f t="shared" ref="I61:J61" si="18">MAX($D$17-$D$18,($D$25*J60+$D$26*J61)*$D$31)</f>
        <v>98.865943133804478</v>
      </c>
      <c r="J61" s="62">
        <f t="shared" si="18"/>
        <v>79.084319316619002</v>
      </c>
      <c r="K61" s="62">
        <f t="shared" ref="K61:L61" si="19">MAX($D$17-$D$18,($D$25*L60+$D$26*L61)*$D$31)</f>
        <v>60.801838089709477</v>
      </c>
      <c r="L61" s="62">
        <f t="shared" si="19"/>
        <v>43.90284802770551</v>
      </c>
      <c r="M61" s="62">
        <f t="shared" si="13"/>
        <v>28.28061517361478</v>
      </c>
      <c r="N61" s="62">
        <f t="shared" si="13"/>
        <v>13.836635435075783</v>
      </c>
      <c r="O61" s="68">
        <f t="shared" si="11"/>
        <v>0.47999999999998977</v>
      </c>
    </row>
    <row r="62" spans="2:15" ht="13" x14ac:dyDescent="0.3">
      <c r="B62" s="28">
        <f t="shared" si="12"/>
        <v>5</v>
      </c>
      <c r="C62" s="62"/>
      <c r="D62" s="62"/>
      <c r="E62" s="62"/>
      <c r="F62" s="62"/>
      <c r="G62" s="62"/>
      <c r="H62" s="62">
        <f t="shared" ref="H62" si="20">MAX($D$17-$D$18,($D$25*I61+$D$26*I62)*$D$31)</f>
        <v>76.665156762364433</v>
      </c>
      <c r="I62" s="62">
        <f t="shared" ref="I62:J62" si="21">MAX($D$17-$D$18,($D$25*J61+$D$26*J62)*$D$31)</f>
        <v>58.966878786457599</v>
      </c>
      <c r="J62" s="62">
        <f t="shared" si="21"/>
        <v>42.888491668455849</v>
      </c>
      <c r="K62" s="62">
        <f t="shared" ref="K62:L62" si="22">MAX($D$17-$D$18,($D$25*L61+$D$26*L62)*$D$31)</f>
        <v>28.534192738276118</v>
      </c>
      <c r="L62" s="62">
        <f t="shared" si="22"/>
        <v>16.186805597085655</v>
      </c>
      <c r="M62" s="62">
        <f t="shared" si="13"/>
        <v>6.4460505347865507</v>
      </c>
      <c r="N62" s="62">
        <f t="shared" si="13"/>
        <v>0.48000000000001819</v>
      </c>
      <c r="O62" s="68">
        <f t="shared" si="11"/>
        <v>0</v>
      </c>
    </row>
    <row r="63" spans="2:15" ht="13" x14ac:dyDescent="0.3">
      <c r="B63" s="28">
        <f t="shared" si="12"/>
        <v>4</v>
      </c>
      <c r="C63" s="62"/>
      <c r="D63" s="62"/>
      <c r="E63" s="62"/>
      <c r="F63" s="62"/>
      <c r="G63" s="62">
        <f t="shared" ref="G63:H63" si="23">MAX($D$17-$D$18,($D$25*H62+$D$26*H63)*$D$31)</f>
        <v>57.547957694594693</v>
      </c>
      <c r="H63" s="62">
        <f t="shared" si="23"/>
        <v>42.274885809087806</v>
      </c>
      <c r="I63" s="62">
        <f t="shared" ref="I63:J63" si="24">MAX($D$17-$D$18,($D$25*J62+$D$26*J63)*$D$31)</f>
        <v>28.908284730924226</v>
      </c>
      <c r="J63" s="62">
        <f t="shared" si="24"/>
        <v>17.687899927130459</v>
      </c>
      <c r="K63" s="62">
        <f t="shared" ref="K63:L63" si="25">MAX($D$17-$D$18,($D$25*L62+$D$26*L63)*$D$31)</f>
        <v>8.964293154327672</v>
      </c>
      <c r="L63" s="62">
        <f t="shared" si="25"/>
        <v>3.1443042154013812</v>
      </c>
      <c r="M63" s="62">
        <f t="shared" si="13"/>
        <v>0.48000000000001819</v>
      </c>
      <c r="N63" s="62">
        <f t="shared" si="13"/>
        <v>0.48000000000001819</v>
      </c>
      <c r="O63" s="68">
        <f t="shared" si="11"/>
        <v>0</v>
      </c>
    </row>
    <row r="64" spans="2:15" ht="13" x14ac:dyDescent="0.3">
      <c r="B64" s="28">
        <f t="shared" si="12"/>
        <v>3</v>
      </c>
      <c r="C64" s="62"/>
      <c r="D64" s="62"/>
      <c r="E64" s="62"/>
      <c r="F64" s="62">
        <f t="shared" ref="F64" si="26">MAX($D$17-$D$18,($D$25*G63+$D$26*G64)*$D$31)</f>
        <v>41.817142694978685</v>
      </c>
      <c r="G64" s="62">
        <f t="shared" ref="G64:H64" si="27">MAX($D$17-$D$18,($D$25*H63+$D$26*H64)*$D$31)</f>
        <v>29.227935859741269</v>
      </c>
      <c r="H64" s="62">
        <f t="shared" si="27"/>
        <v>18.765340742843144</v>
      </c>
      <c r="I64" s="62">
        <f t="shared" ref="I64:J64" si="28">MAX($D$17-$D$18,($D$25*J63+$D$26*J64)*$D$31)</f>
        <v>10.616101969105655</v>
      </c>
      <c r="J64" s="62">
        <f t="shared" si="28"/>
        <v>4.9247268353212483</v>
      </c>
      <c r="K64" s="62">
        <f t="shared" ref="K64:L64" si="29">MAX($D$17-$D$18,($D$25*L63+$D$26*L64)*$D$31)</f>
        <v>1.6692479235581099</v>
      </c>
      <c r="L64" s="62">
        <f t="shared" si="29"/>
        <v>0.48000000000001819</v>
      </c>
      <c r="M64" s="62">
        <f t="shared" si="13"/>
        <v>0.48000000000001819</v>
      </c>
      <c r="N64" s="62">
        <f t="shared" si="13"/>
        <v>0.48000000000001819</v>
      </c>
      <c r="O64" s="68">
        <f t="shared" si="11"/>
        <v>0</v>
      </c>
    </row>
    <row r="65" spans="2:15" ht="13" x14ac:dyDescent="0.3">
      <c r="B65" s="28">
        <f t="shared" si="12"/>
        <v>2</v>
      </c>
      <c r="C65" s="62"/>
      <c r="D65" s="62"/>
      <c r="E65" s="62">
        <f t="shared" ref="E65:F65" si="30">MAX($D$17-$D$18,($D$25*F64+$D$26*F65)*$D$31)</f>
        <v>29.472170890215363</v>
      </c>
      <c r="F65" s="62">
        <f t="shared" si="30"/>
        <v>19.579585560503947</v>
      </c>
      <c r="G65" s="62">
        <f t="shared" ref="G65:H65" si="31">MAX($D$17-$D$18,($D$25*H64+$D$26*H65)*$D$31)</f>
        <v>11.834461917926237</v>
      </c>
      <c r="H65" s="62">
        <f t="shared" si="31"/>
        <v>6.2620708094266817</v>
      </c>
      <c r="I65" s="62">
        <f t="shared" ref="I65:J65" si="32">MAX($D$17-$D$18,($D$25*J64+$D$26*J65)*$D$31)</f>
        <v>2.7568829845388816</v>
      </c>
      <c r="J65" s="62">
        <f t="shared" si="32"/>
        <v>1.010266023182558</v>
      </c>
      <c r="K65" s="62">
        <f t="shared" ref="K65:L65" si="33">MAX($D$17-$D$18,($D$25*L64+$D$26*L65)*$D$31)</f>
        <v>0.48000000000001819</v>
      </c>
      <c r="L65" s="62">
        <f t="shared" si="33"/>
        <v>0.48000000000001819</v>
      </c>
      <c r="M65" s="62">
        <f t="shared" si="13"/>
        <v>0.48000000000001819</v>
      </c>
      <c r="N65" s="62">
        <f t="shared" si="13"/>
        <v>0.48000000000001819</v>
      </c>
      <c r="O65" s="68">
        <f t="shared" si="11"/>
        <v>0</v>
      </c>
    </row>
    <row r="66" spans="2:15" ht="13" x14ac:dyDescent="0.3">
      <c r="B66" s="28">
        <f t="shared" si="12"/>
        <v>1</v>
      </c>
      <c r="C66" s="62"/>
      <c r="D66" s="62">
        <f t="shared" ref="D66" si="34">MAX($D$17-$D$18,($D$25*E65+$D$26*E66)*$D$31)</f>
        <v>20.211292270111205</v>
      </c>
      <c r="E66" s="62">
        <f t="shared" ref="E66:F66" si="35">MAX($D$17-$D$18,($D$25*F65+$D$26*F66)*$D$31)</f>
        <v>12.782734026832864</v>
      </c>
      <c r="F66" s="62">
        <f t="shared" si="35"/>
        <v>7.3226875230321893</v>
      </c>
      <c r="G66" s="62">
        <f t="shared" ref="G66:H66" si="36">MAX($D$17-$D$18,($D$25*H65+$D$26*H66)*$D$31)</f>
        <v>3.6937585912740789</v>
      </c>
      <c r="H66" s="62">
        <f t="shared" si="36"/>
        <v>1.6261533727121815</v>
      </c>
      <c r="I66" s="62">
        <f t="shared" ref="I66:J66" si="37">MAX($D$17-$D$18,($D$25*J65+$D$26*J66)*$D$31)</f>
        <v>0.71586563492353494</v>
      </c>
      <c r="J66" s="62">
        <f t="shared" si="37"/>
        <v>0.48000000000001819</v>
      </c>
      <c r="K66" s="62">
        <f t="shared" ref="K66:L66" si="38">MAX($D$17-$D$18,($D$25*L65+$D$26*L66)*$D$31)</f>
        <v>0.48000000000001819</v>
      </c>
      <c r="L66" s="62">
        <f t="shared" si="38"/>
        <v>0.48000000000001819</v>
      </c>
      <c r="M66" s="62">
        <f t="shared" si="13"/>
        <v>0.48000000000001819</v>
      </c>
      <c r="N66" s="62">
        <f t="shared" si="13"/>
        <v>0.48000000000001819</v>
      </c>
      <c r="O66" s="68">
        <f t="shared" si="11"/>
        <v>0</v>
      </c>
    </row>
    <row r="67" spans="2:15" ht="13.5" thickBot="1" x14ac:dyDescent="0.35">
      <c r="B67" s="80">
        <f t="shared" si="12"/>
        <v>0</v>
      </c>
      <c r="C67" s="79">
        <f t="shared" ref="C67:D67" si="39">MAX($D$17-$D$18,($D$25*D66+$D$26*D67)*$D$31)</f>
        <v>13.543067233734075</v>
      </c>
      <c r="D67" s="81">
        <f t="shared" si="39"/>
        <v>8.1902547720327874</v>
      </c>
      <c r="E67" s="81">
        <f t="shared" ref="E67:F67" si="40">MAX($D$17-$D$18,($D$25*F66+$D$26*F67)*$D$31)</f>
        <v>4.4992834966099835</v>
      </c>
      <c r="F67" s="81">
        <f t="shared" si="40"/>
        <v>2.2280275195586636</v>
      </c>
      <c r="G67" s="81">
        <f t="shared" ref="G67:H67" si="41">MAX($D$17-$D$18,($D$25*H66+$D$26*H67)*$D$31)</f>
        <v>1.0485166884844004</v>
      </c>
      <c r="H67" s="81">
        <f t="shared" si="41"/>
        <v>0.58434216127779515</v>
      </c>
      <c r="I67" s="81">
        <f t="shared" ref="I67:J67" si="42">MAX($D$17-$D$18,($D$25*J66+$D$26*J67)*$D$31)</f>
        <v>0.48000000000001819</v>
      </c>
      <c r="J67" s="81">
        <f t="shared" si="42"/>
        <v>0.48000000000001819</v>
      </c>
      <c r="K67" s="81">
        <f t="shared" ref="K67:L67" si="43">MAX($D$17-$D$18,($D$25*L66+$D$26*L67)*$D$31)</f>
        <v>0.48000000000001819</v>
      </c>
      <c r="L67" s="81">
        <f t="shared" si="43"/>
        <v>0.48000000000001819</v>
      </c>
      <c r="M67" s="81">
        <f t="shared" si="13"/>
        <v>0.48000000000001819</v>
      </c>
      <c r="N67" s="81">
        <f t="shared" si="13"/>
        <v>0.48000000000001819</v>
      </c>
      <c r="O67" s="78">
        <f t="shared" si="11"/>
        <v>0</v>
      </c>
    </row>
    <row r="68" spans="2:15" x14ac:dyDescent="0.25"/>
    <row r="69" spans="2:15" x14ac:dyDescent="0.25"/>
    <row r="70" spans="2:15" ht="13" x14ac:dyDescent="0.3">
      <c r="B70" s="60" t="s">
        <v>76</v>
      </c>
    </row>
    <row r="71" spans="2:15" ht="4" customHeight="1" x14ac:dyDescent="0.25"/>
    <row r="72" spans="2:15" x14ac:dyDescent="0.25"/>
    <row r="73" spans="2:15" x14ac:dyDescent="0.25"/>
    <row r="74" spans="2:15" x14ac:dyDescent="0.25"/>
    <row r="75" spans="2:15" x14ac:dyDescent="0.25"/>
    <row r="76" spans="2:15" x14ac:dyDescent="0.25"/>
    <row r="77" spans="2:15" x14ac:dyDescent="0.25"/>
    <row r="78" spans="2:15" x14ac:dyDescent="0.25"/>
    <row r="79" spans="2:15" x14ac:dyDescent="0.25"/>
    <row r="80" spans="2:15" x14ac:dyDescent="0.25"/>
    <row r="81" x14ac:dyDescent="0.25"/>
    <row r="82" x14ac:dyDescent="0.25"/>
    <row r="83" x14ac:dyDescent="0.25"/>
    <row r="84" x14ac:dyDescent="0.25"/>
    <row r="85" x14ac:dyDescent="0.25"/>
    <row r="86" x14ac:dyDescent="0.25"/>
    <row r="87" x14ac:dyDescent="0.25"/>
    <row r="88" x14ac:dyDescent="0.25"/>
    <row r="89" x14ac:dyDescent="0.25"/>
    <row r="90" x14ac:dyDescent="0.25"/>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
  <sheetViews>
    <sheetView showGridLines="0" workbookViewId="0"/>
  </sheetViews>
  <sheetFormatPr defaultRowHeight="12.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ummaryRight="0"/>
    <pageSetUpPr autoPageBreaks="0"/>
  </sheetPr>
  <dimension ref="A1:C1259"/>
  <sheetViews>
    <sheetView showGridLines="0" workbookViewId="0"/>
  </sheetViews>
  <sheetFormatPr defaultRowHeight="12.5" x14ac:dyDescent="0.25"/>
  <cols>
    <col min="1" max="1" width="12.1796875" bestFit="1" customWidth="1"/>
    <col min="2" max="3" width="16.453125" customWidth="1"/>
  </cols>
  <sheetData>
    <row r="1" spans="1:3" ht="13" x14ac:dyDescent="0.3">
      <c r="A1" s="20" t="s">
        <v>0</v>
      </c>
      <c r="B1" s="20" t="s">
        <v>8</v>
      </c>
      <c r="C1" s="20" t="s">
        <v>9</v>
      </c>
    </row>
    <row r="2" spans="1:3" x14ac:dyDescent="0.25">
      <c r="A2" s="1">
        <v>42032</v>
      </c>
      <c r="B2">
        <v>151.55000000000001</v>
      </c>
      <c r="C2" s="19">
        <v>4495933</v>
      </c>
    </row>
    <row r="3" spans="1:3" x14ac:dyDescent="0.25">
      <c r="A3" s="1">
        <v>42031</v>
      </c>
      <c r="B3">
        <v>153.66999999999999</v>
      </c>
      <c r="C3" s="19">
        <v>5659568</v>
      </c>
    </row>
    <row r="4" spans="1:3" x14ac:dyDescent="0.25">
      <c r="A4" s="1">
        <v>42030</v>
      </c>
      <c r="B4">
        <v>156.36000000000001</v>
      </c>
      <c r="C4" s="19">
        <v>7888143</v>
      </c>
    </row>
    <row r="5" spans="1:3" x14ac:dyDescent="0.25">
      <c r="A5" s="1">
        <v>42027</v>
      </c>
      <c r="B5">
        <v>155.87</v>
      </c>
      <c r="C5" s="19">
        <v>4834847</v>
      </c>
    </row>
    <row r="6" spans="1:3" x14ac:dyDescent="0.25">
      <c r="A6" s="1">
        <v>42026</v>
      </c>
      <c r="B6">
        <v>155.38999999999999</v>
      </c>
      <c r="C6" s="19">
        <v>6120113</v>
      </c>
    </row>
    <row r="7" spans="1:3" x14ac:dyDescent="0.25">
      <c r="A7" s="1">
        <v>42025</v>
      </c>
      <c r="B7">
        <v>152.09</v>
      </c>
      <c r="C7" s="19">
        <v>11897120</v>
      </c>
    </row>
    <row r="8" spans="1:3" x14ac:dyDescent="0.25">
      <c r="A8" s="1">
        <v>42024</v>
      </c>
      <c r="B8">
        <v>156.94999999999999</v>
      </c>
      <c r="C8" s="19">
        <v>8392773</v>
      </c>
    </row>
    <row r="9" spans="1:3" x14ac:dyDescent="0.25">
      <c r="A9" s="1">
        <v>42020</v>
      </c>
      <c r="B9">
        <v>157.13999999999999</v>
      </c>
      <c r="C9" s="19">
        <v>5756041</v>
      </c>
    </row>
    <row r="10" spans="1:3" x14ac:dyDescent="0.25">
      <c r="A10" s="1">
        <v>42019</v>
      </c>
      <c r="B10">
        <v>154.57</v>
      </c>
      <c r="C10" s="19">
        <v>4251723</v>
      </c>
    </row>
    <row r="11" spans="1:3" x14ac:dyDescent="0.25">
      <c r="A11" s="1">
        <v>42018</v>
      </c>
      <c r="B11">
        <v>155.80000000000001</v>
      </c>
      <c r="C11" s="19">
        <v>4690294</v>
      </c>
    </row>
    <row r="12" spans="1:3" x14ac:dyDescent="0.25">
      <c r="A12" s="1">
        <v>42017</v>
      </c>
      <c r="B12">
        <v>156.81</v>
      </c>
      <c r="C12" s="19">
        <v>4377510</v>
      </c>
    </row>
    <row r="13" spans="1:3" x14ac:dyDescent="0.25">
      <c r="A13" s="1">
        <v>42016</v>
      </c>
      <c r="B13">
        <v>156.44</v>
      </c>
      <c r="C13" s="19">
        <v>4187638</v>
      </c>
    </row>
    <row r="14" spans="1:3" x14ac:dyDescent="0.25">
      <c r="A14" s="1">
        <v>42013</v>
      </c>
      <c r="B14">
        <v>159.11000000000001</v>
      </c>
      <c r="C14" s="19">
        <v>4488347</v>
      </c>
    </row>
    <row r="15" spans="1:3" x14ac:dyDescent="0.25">
      <c r="A15" s="1">
        <v>42012</v>
      </c>
      <c r="B15">
        <v>158.41999999999999</v>
      </c>
      <c r="C15" s="19">
        <v>4241113</v>
      </c>
    </row>
    <row r="16" spans="1:3" x14ac:dyDescent="0.25">
      <c r="A16" s="1">
        <v>42011</v>
      </c>
      <c r="B16">
        <v>155.05000000000001</v>
      </c>
      <c r="C16" s="19">
        <v>4701839</v>
      </c>
    </row>
    <row r="17" spans="1:3" x14ac:dyDescent="0.25">
      <c r="A17" s="1">
        <v>42010</v>
      </c>
      <c r="B17">
        <v>156.07</v>
      </c>
      <c r="C17" s="19">
        <v>6146712</v>
      </c>
    </row>
    <row r="18" spans="1:3" x14ac:dyDescent="0.25">
      <c r="A18" s="1">
        <v>42009</v>
      </c>
      <c r="B18">
        <v>159.51</v>
      </c>
      <c r="C18" s="19">
        <v>4880389</v>
      </c>
    </row>
    <row r="19" spans="1:3" x14ac:dyDescent="0.25">
      <c r="A19" s="1">
        <v>42006</v>
      </c>
      <c r="B19">
        <v>162.06</v>
      </c>
      <c r="C19" s="19">
        <v>5525466</v>
      </c>
    </row>
    <row r="20" spans="1:3" x14ac:dyDescent="0.25">
      <c r="A20" s="1">
        <v>42004</v>
      </c>
      <c r="B20">
        <v>160.44</v>
      </c>
      <c r="C20" s="19">
        <v>4011909</v>
      </c>
    </row>
    <row r="21" spans="1:3" x14ac:dyDescent="0.25">
      <c r="A21" s="1">
        <v>42003</v>
      </c>
      <c r="B21">
        <v>160.05000000000001</v>
      </c>
      <c r="C21" s="19">
        <v>2829904</v>
      </c>
    </row>
    <row r="22" spans="1:3" x14ac:dyDescent="0.25">
      <c r="A22" s="1">
        <v>42002</v>
      </c>
      <c r="B22">
        <v>160.51</v>
      </c>
      <c r="C22" s="19">
        <v>3331833</v>
      </c>
    </row>
    <row r="23" spans="1:3" x14ac:dyDescent="0.25">
      <c r="A23" s="1">
        <v>41999</v>
      </c>
      <c r="B23">
        <v>162.34</v>
      </c>
      <c r="C23" s="19">
        <v>1912310</v>
      </c>
    </row>
    <row r="24" spans="1:3" x14ac:dyDescent="0.25">
      <c r="A24" s="1">
        <v>41997</v>
      </c>
      <c r="B24">
        <v>161.82</v>
      </c>
      <c r="C24" s="19">
        <v>1869977</v>
      </c>
    </row>
    <row r="25" spans="1:3" x14ac:dyDescent="0.25">
      <c r="A25" s="1">
        <v>41996</v>
      </c>
      <c r="B25">
        <v>162.24</v>
      </c>
      <c r="C25" s="19">
        <v>4044220</v>
      </c>
    </row>
    <row r="26" spans="1:3" x14ac:dyDescent="0.25">
      <c r="A26" s="1">
        <v>41995</v>
      </c>
      <c r="B26">
        <v>161.44</v>
      </c>
      <c r="C26" s="19">
        <v>4682509</v>
      </c>
    </row>
    <row r="27" spans="1:3" x14ac:dyDescent="0.25">
      <c r="A27" s="1">
        <v>41992</v>
      </c>
      <c r="B27">
        <v>158.51</v>
      </c>
      <c r="C27" s="19">
        <v>8864850</v>
      </c>
    </row>
    <row r="28" spans="1:3" x14ac:dyDescent="0.25">
      <c r="A28" s="1">
        <v>41991</v>
      </c>
      <c r="B28">
        <v>157.68</v>
      </c>
      <c r="C28" s="19">
        <v>7302356</v>
      </c>
    </row>
    <row r="29" spans="1:3" x14ac:dyDescent="0.25">
      <c r="A29" s="1">
        <v>41990</v>
      </c>
      <c r="B29">
        <v>151.93</v>
      </c>
      <c r="C29" s="19">
        <v>5139465</v>
      </c>
    </row>
    <row r="30" spans="1:3" x14ac:dyDescent="0.25">
      <c r="A30" s="1">
        <v>41989</v>
      </c>
      <c r="B30">
        <v>151.41</v>
      </c>
      <c r="C30" s="19">
        <v>6782593</v>
      </c>
    </row>
    <row r="31" spans="1:3" x14ac:dyDescent="0.25">
      <c r="A31" s="1">
        <v>41988</v>
      </c>
      <c r="B31">
        <v>153.06</v>
      </c>
      <c r="C31" s="19">
        <v>6500311</v>
      </c>
    </row>
    <row r="32" spans="1:3" x14ac:dyDescent="0.25">
      <c r="A32" s="1">
        <v>41985</v>
      </c>
      <c r="B32">
        <v>155.38</v>
      </c>
      <c r="C32" s="19">
        <v>8611748</v>
      </c>
    </row>
    <row r="33" spans="1:3" x14ac:dyDescent="0.25">
      <c r="A33" s="1">
        <v>41984</v>
      </c>
      <c r="B33">
        <v>161.07</v>
      </c>
      <c r="C33" s="19">
        <v>3989571</v>
      </c>
    </row>
    <row r="34" spans="1:3" x14ac:dyDescent="0.25">
      <c r="A34" s="1">
        <v>41983</v>
      </c>
      <c r="B34">
        <v>160.51</v>
      </c>
      <c r="C34" s="19">
        <v>4082384</v>
      </c>
    </row>
    <row r="35" spans="1:3" x14ac:dyDescent="0.25">
      <c r="A35" s="1">
        <v>41982</v>
      </c>
      <c r="B35">
        <v>162.99</v>
      </c>
      <c r="C35" s="19">
        <v>3865905</v>
      </c>
    </row>
    <row r="36" spans="1:3" x14ac:dyDescent="0.25">
      <c r="A36" s="1">
        <v>41981</v>
      </c>
      <c r="B36">
        <v>161.86000000000001</v>
      </c>
      <c r="C36" s="19">
        <v>2851383</v>
      </c>
    </row>
    <row r="37" spans="1:3" x14ac:dyDescent="0.25">
      <c r="A37" s="1">
        <v>41978</v>
      </c>
      <c r="B37">
        <v>163.27000000000001</v>
      </c>
      <c r="C37" s="19">
        <v>3013500</v>
      </c>
    </row>
    <row r="38" spans="1:3" x14ac:dyDescent="0.25">
      <c r="A38" s="1">
        <v>41977</v>
      </c>
      <c r="B38">
        <v>164.05</v>
      </c>
      <c r="C38" s="19">
        <v>3862916</v>
      </c>
    </row>
    <row r="39" spans="1:3" x14ac:dyDescent="0.25">
      <c r="A39" s="1">
        <v>41976</v>
      </c>
      <c r="B39">
        <v>164.52</v>
      </c>
      <c r="C39" s="19">
        <v>6434994</v>
      </c>
    </row>
    <row r="40" spans="1:3" x14ac:dyDescent="0.25">
      <c r="A40" s="1">
        <v>41975</v>
      </c>
      <c r="B40">
        <v>162.66999999999999</v>
      </c>
      <c r="C40" s="19">
        <v>3465747</v>
      </c>
    </row>
    <row r="41" spans="1:3" x14ac:dyDescent="0.25">
      <c r="A41" s="1">
        <v>41974</v>
      </c>
      <c r="B41">
        <v>161.54</v>
      </c>
      <c r="C41" s="19">
        <v>4168384</v>
      </c>
    </row>
    <row r="42" spans="1:3" x14ac:dyDescent="0.25">
      <c r="A42" s="1">
        <v>41971</v>
      </c>
      <c r="B42">
        <v>162.16999999999999</v>
      </c>
      <c r="C42" s="19">
        <v>2405512</v>
      </c>
    </row>
    <row r="43" spans="1:3" x14ac:dyDescent="0.25">
      <c r="A43" s="1">
        <v>41969</v>
      </c>
      <c r="B43">
        <v>161.94999999999999</v>
      </c>
      <c r="C43" s="19">
        <v>3967223</v>
      </c>
    </row>
    <row r="44" spans="1:3" x14ac:dyDescent="0.25">
      <c r="A44" s="1">
        <v>41968</v>
      </c>
      <c r="B44">
        <v>161.76</v>
      </c>
      <c r="C44" s="19">
        <v>4062378</v>
      </c>
    </row>
    <row r="45" spans="1:3" x14ac:dyDescent="0.25">
      <c r="A45" s="1">
        <v>41967</v>
      </c>
      <c r="B45">
        <v>162.15</v>
      </c>
      <c r="C45" s="19">
        <v>6619032</v>
      </c>
    </row>
    <row r="46" spans="1:3" x14ac:dyDescent="0.25">
      <c r="A46" s="1">
        <v>41964</v>
      </c>
      <c r="B46">
        <v>160.91999999999999</v>
      </c>
      <c r="C46" s="19">
        <v>4076875</v>
      </c>
    </row>
    <row r="47" spans="1:3" x14ac:dyDescent="0.25">
      <c r="A47" s="1">
        <v>41963</v>
      </c>
      <c r="B47">
        <v>160.63999999999999</v>
      </c>
      <c r="C47" s="19">
        <v>4183102</v>
      </c>
    </row>
    <row r="48" spans="1:3" x14ac:dyDescent="0.25">
      <c r="A48" s="1">
        <v>41962</v>
      </c>
      <c r="B48">
        <v>161.43</v>
      </c>
      <c r="C48" s="19">
        <v>3802631</v>
      </c>
    </row>
    <row r="49" spans="1:3" x14ac:dyDescent="0.25">
      <c r="A49" s="1">
        <v>41961</v>
      </c>
      <c r="B49">
        <v>161.88999999999999</v>
      </c>
      <c r="C49" s="19">
        <v>5412495</v>
      </c>
    </row>
    <row r="50" spans="1:3" x14ac:dyDescent="0.25">
      <c r="A50" s="1">
        <v>41960</v>
      </c>
      <c r="B50">
        <v>164.16</v>
      </c>
      <c r="C50" s="19">
        <v>4798933</v>
      </c>
    </row>
    <row r="51" spans="1:3" x14ac:dyDescent="0.25">
      <c r="A51" s="1">
        <v>41957</v>
      </c>
      <c r="B51">
        <v>164.16</v>
      </c>
      <c r="C51" s="19">
        <v>4978415</v>
      </c>
    </row>
    <row r="52" spans="1:3" x14ac:dyDescent="0.25">
      <c r="A52" s="1">
        <v>41956</v>
      </c>
      <c r="B52">
        <v>162.79</v>
      </c>
      <c r="C52" s="19">
        <v>3239726</v>
      </c>
    </row>
    <row r="53" spans="1:3" x14ac:dyDescent="0.25">
      <c r="A53" s="1">
        <v>41955</v>
      </c>
      <c r="B53">
        <v>161.91999999999999</v>
      </c>
      <c r="C53" s="19">
        <v>3378229</v>
      </c>
    </row>
    <row r="54" spans="1:3" x14ac:dyDescent="0.25">
      <c r="A54" s="1">
        <v>41954</v>
      </c>
      <c r="B54">
        <v>163.30000000000001</v>
      </c>
      <c r="C54" s="19">
        <v>3535694</v>
      </c>
    </row>
    <row r="55" spans="1:3" x14ac:dyDescent="0.25">
      <c r="A55" s="1">
        <v>41953</v>
      </c>
      <c r="B55">
        <v>163.49</v>
      </c>
      <c r="C55" s="19">
        <v>4958236</v>
      </c>
    </row>
    <row r="56" spans="1:3" x14ac:dyDescent="0.25">
      <c r="A56" s="1">
        <v>41950</v>
      </c>
      <c r="B56">
        <v>162.07</v>
      </c>
      <c r="C56" s="19">
        <v>3494803</v>
      </c>
    </row>
    <row r="57" spans="1:3" x14ac:dyDescent="0.25">
      <c r="A57" s="1">
        <v>41949</v>
      </c>
      <c r="B57">
        <v>161.46</v>
      </c>
      <c r="C57" s="19">
        <v>4067641</v>
      </c>
    </row>
    <row r="58" spans="1:3" x14ac:dyDescent="0.25">
      <c r="A58" s="1">
        <v>41948</v>
      </c>
      <c r="B58">
        <v>161.82</v>
      </c>
      <c r="C58" s="19">
        <v>4104747</v>
      </c>
    </row>
    <row r="59" spans="1:3" x14ac:dyDescent="0.25">
      <c r="A59" s="1">
        <v>41947</v>
      </c>
      <c r="B59">
        <v>162.65</v>
      </c>
      <c r="C59" s="19">
        <v>4247079</v>
      </c>
    </row>
    <row r="60" spans="1:3" x14ac:dyDescent="0.25">
      <c r="A60" s="1">
        <v>41946</v>
      </c>
      <c r="B60">
        <v>164.36</v>
      </c>
      <c r="C60" s="19">
        <v>4690274</v>
      </c>
    </row>
    <row r="61" spans="1:3" x14ac:dyDescent="0.25">
      <c r="A61" s="1">
        <v>41943</v>
      </c>
      <c r="B61">
        <v>164.4</v>
      </c>
      <c r="C61" s="19">
        <v>5818375</v>
      </c>
    </row>
    <row r="62" spans="1:3" x14ac:dyDescent="0.25">
      <c r="A62" s="1">
        <v>41942</v>
      </c>
      <c r="B62">
        <v>164.35</v>
      </c>
      <c r="C62" s="19">
        <v>3895979</v>
      </c>
    </row>
    <row r="63" spans="1:3" x14ac:dyDescent="0.25">
      <c r="A63" s="1">
        <v>41941</v>
      </c>
      <c r="B63">
        <v>163.46</v>
      </c>
      <c r="C63" s="19">
        <v>4741689</v>
      </c>
    </row>
    <row r="64" spans="1:3" x14ac:dyDescent="0.25">
      <c r="A64" s="1">
        <v>41940</v>
      </c>
      <c r="B64">
        <v>163.6</v>
      </c>
      <c r="C64" s="19">
        <v>7896863</v>
      </c>
    </row>
    <row r="65" spans="1:3" x14ac:dyDescent="0.25">
      <c r="A65" s="1">
        <v>41939</v>
      </c>
      <c r="B65">
        <v>161.87</v>
      </c>
      <c r="C65" s="19">
        <v>4989437</v>
      </c>
    </row>
    <row r="66" spans="1:3" x14ac:dyDescent="0.25">
      <c r="A66" s="1">
        <v>41936</v>
      </c>
      <c r="B66">
        <v>162.08000000000001</v>
      </c>
      <c r="C66" s="19">
        <v>6652379</v>
      </c>
    </row>
    <row r="67" spans="1:3" x14ac:dyDescent="0.25">
      <c r="A67" s="1">
        <v>41935</v>
      </c>
      <c r="B67">
        <v>162.18</v>
      </c>
      <c r="C67" s="19">
        <v>7600270</v>
      </c>
    </row>
    <row r="68" spans="1:3" x14ac:dyDescent="0.25">
      <c r="A68" s="1">
        <v>41934</v>
      </c>
      <c r="B68">
        <v>161.79</v>
      </c>
      <c r="C68" s="19">
        <v>11091420</v>
      </c>
    </row>
    <row r="69" spans="1:3" x14ac:dyDescent="0.25">
      <c r="A69" s="1">
        <v>41933</v>
      </c>
      <c r="B69">
        <v>163.22999999999999</v>
      </c>
      <c r="C69" s="19">
        <v>20953610</v>
      </c>
    </row>
    <row r="70" spans="1:3" x14ac:dyDescent="0.25">
      <c r="A70" s="1">
        <v>41932</v>
      </c>
      <c r="B70">
        <v>169.1</v>
      </c>
      <c r="C70" s="19">
        <v>23416510</v>
      </c>
    </row>
    <row r="71" spans="1:3" x14ac:dyDescent="0.25">
      <c r="A71" s="1">
        <v>41929</v>
      </c>
      <c r="B71">
        <v>182.05</v>
      </c>
      <c r="C71" s="19">
        <v>4354442</v>
      </c>
    </row>
    <row r="72" spans="1:3" x14ac:dyDescent="0.25">
      <c r="A72" s="1">
        <v>41928</v>
      </c>
      <c r="B72">
        <v>179.84</v>
      </c>
      <c r="C72" s="19">
        <v>5578683</v>
      </c>
    </row>
    <row r="73" spans="1:3" x14ac:dyDescent="0.25">
      <c r="A73" s="1">
        <v>41927</v>
      </c>
      <c r="B73">
        <v>181.75</v>
      </c>
      <c r="C73" s="19">
        <v>6897656</v>
      </c>
    </row>
    <row r="74" spans="1:3" x14ac:dyDescent="0.25">
      <c r="A74" s="1">
        <v>41926</v>
      </c>
      <c r="B74">
        <v>183.8</v>
      </c>
      <c r="C74" s="19">
        <v>3924974</v>
      </c>
    </row>
    <row r="75" spans="1:3" x14ac:dyDescent="0.25">
      <c r="A75" s="1">
        <v>41925</v>
      </c>
      <c r="B75">
        <v>183.52</v>
      </c>
      <c r="C75" s="19">
        <v>3599924</v>
      </c>
    </row>
    <row r="76" spans="1:3" x14ac:dyDescent="0.25">
      <c r="A76" s="1">
        <v>41922</v>
      </c>
      <c r="B76">
        <v>185.93</v>
      </c>
      <c r="C76" s="19">
        <v>5090345</v>
      </c>
    </row>
    <row r="77" spans="1:3" x14ac:dyDescent="0.25">
      <c r="A77" s="1">
        <v>41921</v>
      </c>
      <c r="B77">
        <v>186.42</v>
      </c>
      <c r="C77" s="19">
        <v>2625609</v>
      </c>
    </row>
    <row r="78" spans="1:3" x14ac:dyDescent="0.25">
      <c r="A78" s="1">
        <v>41920</v>
      </c>
      <c r="B78">
        <v>189.36</v>
      </c>
      <c r="C78" s="19">
        <v>2985329</v>
      </c>
    </row>
    <row r="79" spans="1:3" x14ac:dyDescent="0.25">
      <c r="A79" s="1">
        <v>41919</v>
      </c>
      <c r="B79">
        <v>185.71</v>
      </c>
      <c r="C79" s="19">
        <v>2994065</v>
      </c>
    </row>
    <row r="80" spans="1:3" x14ac:dyDescent="0.25">
      <c r="A80" s="1">
        <v>41918</v>
      </c>
      <c r="B80">
        <v>189.04</v>
      </c>
      <c r="C80" s="19">
        <v>2100191</v>
      </c>
    </row>
    <row r="81" spans="1:3" x14ac:dyDescent="0.25">
      <c r="A81" s="1">
        <v>41915</v>
      </c>
      <c r="B81">
        <v>188.67</v>
      </c>
      <c r="C81" s="19">
        <v>3071521</v>
      </c>
    </row>
    <row r="82" spans="1:3" x14ac:dyDescent="0.25">
      <c r="A82" s="1">
        <v>41914</v>
      </c>
      <c r="B82">
        <v>186.91</v>
      </c>
      <c r="C82" s="19">
        <v>2283619</v>
      </c>
    </row>
    <row r="83" spans="1:3" x14ac:dyDescent="0.25">
      <c r="A83" s="1">
        <v>41913</v>
      </c>
      <c r="B83">
        <v>187.17</v>
      </c>
      <c r="C83" s="19">
        <v>3723192</v>
      </c>
    </row>
    <row r="84" spans="1:3" x14ac:dyDescent="0.25">
      <c r="A84" s="1">
        <v>41912</v>
      </c>
      <c r="B84">
        <v>189.83</v>
      </c>
      <c r="C84" s="19">
        <v>2932556</v>
      </c>
    </row>
    <row r="85" spans="1:3" x14ac:dyDescent="0.25">
      <c r="A85" s="1">
        <v>41911</v>
      </c>
      <c r="B85">
        <v>189.64</v>
      </c>
      <c r="C85" s="19">
        <v>2344723</v>
      </c>
    </row>
    <row r="86" spans="1:3" x14ac:dyDescent="0.25">
      <c r="A86" s="1">
        <v>41908</v>
      </c>
      <c r="B86">
        <v>190.06</v>
      </c>
      <c r="C86" s="19">
        <v>2494024</v>
      </c>
    </row>
    <row r="87" spans="1:3" x14ac:dyDescent="0.25">
      <c r="A87" s="1">
        <v>41907</v>
      </c>
      <c r="B87">
        <v>189.01</v>
      </c>
      <c r="C87" s="19">
        <v>4158816</v>
      </c>
    </row>
    <row r="88" spans="1:3" x14ac:dyDescent="0.25">
      <c r="A88" s="1">
        <v>41906</v>
      </c>
      <c r="B88">
        <v>192.31</v>
      </c>
      <c r="C88" s="19">
        <v>3082594</v>
      </c>
    </row>
    <row r="89" spans="1:3" x14ac:dyDescent="0.25">
      <c r="A89" s="1">
        <v>41905</v>
      </c>
      <c r="B89">
        <v>191.62</v>
      </c>
      <c r="C89" s="19">
        <v>3301797</v>
      </c>
    </row>
    <row r="90" spans="1:3" x14ac:dyDescent="0.25">
      <c r="A90" s="1">
        <v>41904</v>
      </c>
      <c r="B90">
        <v>193.11</v>
      </c>
      <c r="C90" s="19">
        <v>3317962</v>
      </c>
    </row>
    <row r="91" spans="1:3" x14ac:dyDescent="0.25">
      <c r="A91" s="1">
        <v>41901</v>
      </c>
      <c r="B91">
        <v>194</v>
      </c>
      <c r="C91" s="19">
        <v>8854514</v>
      </c>
    </row>
    <row r="92" spans="1:3" x14ac:dyDescent="0.25">
      <c r="A92" s="1">
        <v>41900</v>
      </c>
      <c r="B92">
        <v>193.75</v>
      </c>
      <c r="C92" s="19">
        <v>2963446</v>
      </c>
    </row>
    <row r="93" spans="1:3" x14ac:dyDescent="0.25">
      <c r="A93" s="1">
        <v>41899</v>
      </c>
      <c r="B93">
        <v>192.8</v>
      </c>
      <c r="C93" s="19">
        <v>3214117</v>
      </c>
    </row>
    <row r="94" spans="1:3" x14ac:dyDescent="0.25">
      <c r="A94" s="1">
        <v>41898</v>
      </c>
      <c r="B94">
        <v>192.96</v>
      </c>
      <c r="C94" s="19">
        <v>2561528</v>
      </c>
    </row>
    <row r="95" spans="1:3" x14ac:dyDescent="0.25">
      <c r="A95" s="1">
        <v>41897</v>
      </c>
      <c r="B95">
        <v>191.81</v>
      </c>
      <c r="C95" s="19">
        <v>2457803</v>
      </c>
    </row>
    <row r="96" spans="1:3" x14ac:dyDescent="0.25">
      <c r="A96" s="1">
        <v>41894</v>
      </c>
      <c r="B96">
        <v>191.28</v>
      </c>
      <c r="C96" s="19">
        <v>2900967</v>
      </c>
    </row>
    <row r="97" spans="1:3" x14ac:dyDescent="0.25">
      <c r="A97" s="1">
        <v>41893</v>
      </c>
      <c r="B97">
        <v>191.72</v>
      </c>
      <c r="C97" s="19">
        <v>2299390</v>
      </c>
    </row>
    <row r="98" spans="1:3" x14ac:dyDescent="0.25">
      <c r="A98" s="1">
        <v>41892</v>
      </c>
      <c r="B98">
        <v>191.54</v>
      </c>
      <c r="C98" s="19">
        <v>2765324</v>
      </c>
    </row>
    <row r="99" spans="1:3" x14ac:dyDescent="0.25">
      <c r="A99" s="1">
        <v>41891</v>
      </c>
      <c r="B99">
        <v>189.99</v>
      </c>
      <c r="C99" s="19">
        <v>2403631</v>
      </c>
    </row>
    <row r="100" spans="1:3" x14ac:dyDescent="0.25">
      <c r="A100" s="1">
        <v>41890</v>
      </c>
      <c r="B100">
        <v>190.14</v>
      </c>
      <c r="C100" s="19">
        <v>2525626</v>
      </c>
    </row>
    <row r="101" spans="1:3" x14ac:dyDescent="0.25">
      <c r="A101" s="1">
        <v>41887</v>
      </c>
      <c r="B101">
        <v>191.2</v>
      </c>
      <c r="C101" s="19">
        <v>2261215</v>
      </c>
    </row>
    <row r="102" spans="1:3" x14ac:dyDescent="0.25">
      <c r="A102" s="1">
        <v>41886</v>
      </c>
      <c r="B102">
        <v>190.68</v>
      </c>
      <c r="C102" s="19">
        <v>2868754</v>
      </c>
    </row>
    <row r="103" spans="1:3" x14ac:dyDescent="0.25">
      <c r="A103" s="1">
        <v>41885</v>
      </c>
      <c r="B103">
        <v>191.95</v>
      </c>
      <c r="C103" s="19">
        <v>1824378</v>
      </c>
    </row>
    <row r="104" spans="1:3" x14ac:dyDescent="0.25">
      <c r="A104" s="1">
        <v>41884</v>
      </c>
      <c r="B104">
        <v>191.56</v>
      </c>
      <c r="C104" s="19">
        <v>2679659</v>
      </c>
    </row>
    <row r="105" spans="1:3" x14ac:dyDescent="0.25">
      <c r="A105" s="1">
        <v>41880</v>
      </c>
      <c r="B105">
        <v>192.3</v>
      </c>
      <c r="C105" s="19">
        <v>2911097</v>
      </c>
    </row>
    <row r="106" spans="1:3" x14ac:dyDescent="0.25">
      <c r="A106" s="1">
        <v>41879</v>
      </c>
      <c r="B106">
        <v>192</v>
      </c>
      <c r="C106" s="19">
        <v>1503582</v>
      </c>
    </row>
    <row r="107" spans="1:3" x14ac:dyDescent="0.25">
      <c r="A107" s="1">
        <v>41878</v>
      </c>
      <c r="B107">
        <v>192.25</v>
      </c>
      <c r="C107" s="19">
        <v>2190285</v>
      </c>
    </row>
    <row r="108" spans="1:3" x14ac:dyDescent="0.25">
      <c r="A108" s="1">
        <v>41877</v>
      </c>
      <c r="B108">
        <v>192.99</v>
      </c>
      <c r="C108" s="19">
        <v>3175399</v>
      </c>
    </row>
    <row r="109" spans="1:3" x14ac:dyDescent="0.25">
      <c r="A109" s="1">
        <v>41876</v>
      </c>
      <c r="B109">
        <v>191.16</v>
      </c>
      <c r="C109" s="19">
        <v>1726100</v>
      </c>
    </row>
    <row r="110" spans="1:3" x14ac:dyDescent="0.25">
      <c r="A110" s="1">
        <v>41873</v>
      </c>
      <c r="B110">
        <v>190.41</v>
      </c>
      <c r="C110" s="19">
        <v>1940434</v>
      </c>
    </row>
    <row r="111" spans="1:3" x14ac:dyDescent="0.25">
      <c r="A111" s="1">
        <v>41872</v>
      </c>
      <c r="B111">
        <v>191.23</v>
      </c>
      <c r="C111" s="19">
        <v>2497985</v>
      </c>
    </row>
    <row r="112" spans="1:3" x14ac:dyDescent="0.25">
      <c r="A112" s="1">
        <v>41871</v>
      </c>
      <c r="B112">
        <v>190.1</v>
      </c>
      <c r="C112" s="19">
        <v>2177702</v>
      </c>
    </row>
    <row r="113" spans="1:3" x14ac:dyDescent="0.25">
      <c r="A113" s="1">
        <v>41870</v>
      </c>
      <c r="B113">
        <v>190.07</v>
      </c>
      <c r="C113" s="19">
        <v>2040117</v>
      </c>
    </row>
    <row r="114" spans="1:3" x14ac:dyDescent="0.25">
      <c r="A114" s="1">
        <v>41869</v>
      </c>
      <c r="B114">
        <v>189.36</v>
      </c>
      <c r="C114" s="19">
        <v>2420398</v>
      </c>
    </row>
    <row r="115" spans="1:3" x14ac:dyDescent="0.25">
      <c r="A115" s="1">
        <v>41866</v>
      </c>
      <c r="B115">
        <v>187.38</v>
      </c>
      <c r="C115" s="19">
        <v>2815822</v>
      </c>
    </row>
    <row r="116" spans="1:3" x14ac:dyDescent="0.25">
      <c r="A116" s="1">
        <v>41865</v>
      </c>
      <c r="B116">
        <v>187.88</v>
      </c>
      <c r="C116" s="19">
        <v>1929581</v>
      </c>
    </row>
    <row r="117" spans="1:3" x14ac:dyDescent="0.25">
      <c r="A117" s="1">
        <v>41864</v>
      </c>
      <c r="B117">
        <v>187.95</v>
      </c>
      <c r="C117" s="19">
        <v>1797016</v>
      </c>
    </row>
    <row r="118" spans="1:3" x14ac:dyDescent="0.25">
      <c r="A118" s="1">
        <v>41863</v>
      </c>
      <c r="B118">
        <v>187.34</v>
      </c>
      <c r="C118" s="19">
        <v>1858635</v>
      </c>
    </row>
    <row r="119" spans="1:3" x14ac:dyDescent="0.25">
      <c r="A119" s="1">
        <v>41862</v>
      </c>
      <c r="B119">
        <v>187.47</v>
      </c>
      <c r="C119" s="19">
        <v>2527208</v>
      </c>
    </row>
    <row r="120" spans="1:3" x14ac:dyDescent="0.25">
      <c r="A120" s="1">
        <v>41859</v>
      </c>
      <c r="B120">
        <v>186.63</v>
      </c>
      <c r="C120" s="19">
        <v>2781936</v>
      </c>
    </row>
    <row r="121" spans="1:3" x14ac:dyDescent="0.25">
      <c r="A121" s="1">
        <v>41858</v>
      </c>
      <c r="B121">
        <v>184.3</v>
      </c>
      <c r="C121" s="19">
        <v>2708935</v>
      </c>
    </row>
    <row r="122" spans="1:3" x14ac:dyDescent="0.25">
      <c r="A122" s="1">
        <v>41857</v>
      </c>
      <c r="B122">
        <v>185.97</v>
      </c>
      <c r="C122" s="19">
        <v>3847046</v>
      </c>
    </row>
    <row r="123" spans="1:3" x14ac:dyDescent="0.25">
      <c r="A123" s="1">
        <v>41856</v>
      </c>
      <c r="B123">
        <v>187.1</v>
      </c>
      <c r="C123" s="19">
        <v>3307945</v>
      </c>
    </row>
    <row r="124" spans="1:3" x14ac:dyDescent="0.25">
      <c r="A124" s="1">
        <v>41855</v>
      </c>
      <c r="B124">
        <v>189.64</v>
      </c>
      <c r="C124" s="19">
        <v>2125935</v>
      </c>
    </row>
    <row r="125" spans="1:3" x14ac:dyDescent="0.25">
      <c r="A125" s="1">
        <v>41852</v>
      </c>
      <c r="B125">
        <v>189.15</v>
      </c>
      <c r="C125" s="19">
        <v>5181080</v>
      </c>
    </row>
    <row r="126" spans="1:3" x14ac:dyDescent="0.25">
      <c r="A126" s="1">
        <v>41851</v>
      </c>
      <c r="B126">
        <v>191.67</v>
      </c>
      <c r="C126" s="19">
        <v>4208005</v>
      </c>
    </row>
    <row r="127" spans="1:3" x14ac:dyDescent="0.25">
      <c r="A127" s="1">
        <v>41850</v>
      </c>
      <c r="B127">
        <v>194</v>
      </c>
      <c r="C127" s="19">
        <v>3945601</v>
      </c>
    </row>
    <row r="128" spans="1:3" x14ac:dyDescent="0.25">
      <c r="A128" s="1">
        <v>41849</v>
      </c>
      <c r="B128">
        <v>194.57</v>
      </c>
      <c r="C128" s="19">
        <v>3264409</v>
      </c>
    </row>
    <row r="129" spans="1:3" x14ac:dyDescent="0.25">
      <c r="A129" s="1">
        <v>41848</v>
      </c>
      <c r="B129">
        <v>195.78</v>
      </c>
      <c r="C129" s="19">
        <v>3242443</v>
      </c>
    </row>
    <row r="130" spans="1:3" x14ac:dyDescent="0.25">
      <c r="A130" s="1">
        <v>41845</v>
      </c>
      <c r="B130">
        <v>194.4</v>
      </c>
      <c r="C130" s="19">
        <v>3376455</v>
      </c>
    </row>
    <row r="131" spans="1:3" x14ac:dyDescent="0.25">
      <c r="A131" s="1">
        <v>41844</v>
      </c>
      <c r="B131">
        <v>195.24</v>
      </c>
      <c r="C131" s="19">
        <v>3612656</v>
      </c>
    </row>
    <row r="132" spans="1:3" x14ac:dyDescent="0.25">
      <c r="A132" s="1">
        <v>41843</v>
      </c>
      <c r="B132">
        <v>193.63</v>
      </c>
      <c r="C132" s="19">
        <v>3584465</v>
      </c>
    </row>
    <row r="133" spans="1:3" x14ac:dyDescent="0.25">
      <c r="A133" s="1">
        <v>41842</v>
      </c>
      <c r="B133">
        <v>194.09</v>
      </c>
      <c r="C133" s="19">
        <v>4853041</v>
      </c>
    </row>
    <row r="134" spans="1:3" x14ac:dyDescent="0.25">
      <c r="A134" s="1">
        <v>41841</v>
      </c>
      <c r="B134">
        <v>190.85</v>
      </c>
      <c r="C134" s="19">
        <v>4154740</v>
      </c>
    </row>
    <row r="135" spans="1:3" x14ac:dyDescent="0.25">
      <c r="A135" s="1">
        <v>41838</v>
      </c>
      <c r="B135">
        <v>192.5</v>
      </c>
      <c r="C135" s="19">
        <v>8169325</v>
      </c>
    </row>
    <row r="136" spans="1:3" x14ac:dyDescent="0.25">
      <c r="A136" s="1">
        <v>41837</v>
      </c>
      <c r="B136">
        <v>192.49</v>
      </c>
      <c r="C136" s="19">
        <v>8872269</v>
      </c>
    </row>
    <row r="137" spans="1:3" x14ac:dyDescent="0.25">
      <c r="A137" s="1">
        <v>41836</v>
      </c>
      <c r="B137">
        <v>192.36</v>
      </c>
      <c r="C137" s="19">
        <v>7815648</v>
      </c>
    </row>
    <row r="138" spans="1:3" x14ac:dyDescent="0.25">
      <c r="A138" s="1">
        <v>41835</v>
      </c>
      <c r="B138">
        <v>188.49</v>
      </c>
      <c r="C138" s="19">
        <v>4873452</v>
      </c>
    </row>
    <row r="139" spans="1:3" x14ac:dyDescent="0.25">
      <c r="A139" s="1">
        <v>41834</v>
      </c>
      <c r="B139">
        <v>189.86</v>
      </c>
      <c r="C139" s="19">
        <v>4502202</v>
      </c>
    </row>
    <row r="140" spans="1:3" x14ac:dyDescent="0.25">
      <c r="A140" s="1">
        <v>41831</v>
      </c>
      <c r="B140">
        <v>188</v>
      </c>
      <c r="C140" s="19">
        <v>2403840</v>
      </c>
    </row>
    <row r="141" spans="1:3" x14ac:dyDescent="0.25">
      <c r="A141" s="1">
        <v>41830</v>
      </c>
      <c r="B141">
        <v>187.7</v>
      </c>
      <c r="C141" s="19">
        <v>3177816</v>
      </c>
    </row>
    <row r="142" spans="1:3" x14ac:dyDescent="0.25">
      <c r="A142" s="1">
        <v>41829</v>
      </c>
      <c r="B142">
        <v>188.42</v>
      </c>
      <c r="C142" s="19">
        <v>3309559</v>
      </c>
    </row>
    <row r="143" spans="1:3" x14ac:dyDescent="0.25">
      <c r="A143" s="1">
        <v>41828</v>
      </c>
      <c r="B143">
        <v>187.22</v>
      </c>
      <c r="C143" s="19">
        <v>3135115</v>
      </c>
    </row>
    <row r="144" spans="1:3" x14ac:dyDescent="0.25">
      <c r="A144" s="1">
        <v>41827</v>
      </c>
      <c r="B144">
        <v>188.04</v>
      </c>
      <c r="C144" s="19">
        <v>2958947</v>
      </c>
    </row>
    <row r="145" spans="1:3" x14ac:dyDescent="0.25">
      <c r="A145" s="1">
        <v>41823</v>
      </c>
      <c r="B145">
        <v>188.53</v>
      </c>
      <c r="C145" s="19">
        <v>2422363</v>
      </c>
    </row>
    <row r="146" spans="1:3" x14ac:dyDescent="0.25">
      <c r="A146" s="1">
        <v>41822</v>
      </c>
      <c r="B146">
        <v>188.39</v>
      </c>
      <c r="C146" s="19">
        <v>5097199</v>
      </c>
    </row>
    <row r="147" spans="1:3" x14ac:dyDescent="0.25">
      <c r="A147" s="1">
        <v>41821</v>
      </c>
      <c r="B147">
        <v>186.35</v>
      </c>
      <c r="C147" s="19">
        <v>6644363</v>
      </c>
    </row>
    <row r="148" spans="1:3" x14ac:dyDescent="0.25">
      <c r="A148" s="1">
        <v>41820</v>
      </c>
      <c r="B148">
        <v>181.27</v>
      </c>
      <c r="C148" s="19">
        <v>4228836</v>
      </c>
    </row>
    <row r="149" spans="1:3" x14ac:dyDescent="0.25">
      <c r="A149" s="1">
        <v>41817</v>
      </c>
      <c r="B149">
        <v>181.71</v>
      </c>
      <c r="C149" s="19">
        <v>4575680</v>
      </c>
    </row>
    <row r="150" spans="1:3" x14ac:dyDescent="0.25">
      <c r="A150" s="1">
        <v>41816</v>
      </c>
      <c r="B150">
        <v>180.37</v>
      </c>
      <c r="C150" s="19">
        <v>3258470</v>
      </c>
    </row>
    <row r="151" spans="1:3" x14ac:dyDescent="0.25">
      <c r="A151" s="1">
        <v>41815</v>
      </c>
      <c r="B151">
        <v>180.72</v>
      </c>
      <c r="C151" s="19">
        <v>2763020</v>
      </c>
    </row>
    <row r="152" spans="1:3" x14ac:dyDescent="0.25">
      <c r="A152" s="1">
        <v>41814</v>
      </c>
      <c r="B152">
        <v>180.88</v>
      </c>
      <c r="C152" s="19">
        <v>3875453</v>
      </c>
    </row>
    <row r="153" spans="1:3" x14ac:dyDescent="0.25">
      <c r="A153" s="1">
        <v>41813</v>
      </c>
      <c r="B153">
        <v>182.14</v>
      </c>
      <c r="C153" s="19">
        <v>3231699</v>
      </c>
    </row>
    <row r="154" spans="1:3" x14ac:dyDescent="0.25">
      <c r="A154" s="1">
        <v>41810</v>
      </c>
      <c r="B154">
        <v>181.55</v>
      </c>
      <c r="C154" s="19">
        <v>10686830</v>
      </c>
    </row>
    <row r="155" spans="1:3" x14ac:dyDescent="0.25">
      <c r="A155" s="1">
        <v>41809</v>
      </c>
      <c r="B155">
        <v>182.82</v>
      </c>
      <c r="C155" s="19">
        <v>3551276</v>
      </c>
    </row>
    <row r="156" spans="1:3" x14ac:dyDescent="0.25">
      <c r="A156" s="1">
        <v>41808</v>
      </c>
      <c r="B156">
        <v>183.6</v>
      </c>
      <c r="C156" s="19">
        <v>3935653</v>
      </c>
    </row>
    <row r="157" spans="1:3" x14ac:dyDescent="0.25">
      <c r="A157" s="1">
        <v>41807</v>
      </c>
      <c r="B157">
        <v>182.26</v>
      </c>
      <c r="C157" s="19">
        <v>2460857</v>
      </c>
    </row>
    <row r="158" spans="1:3" x14ac:dyDescent="0.25">
      <c r="A158" s="1">
        <v>41806</v>
      </c>
      <c r="B158">
        <v>182.35</v>
      </c>
      <c r="C158" s="19">
        <v>3556218</v>
      </c>
    </row>
    <row r="159" spans="1:3" x14ac:dyDescent="0.25">
      <c r="A159" s="1">
        <v>41803</v>
      </c>
      <c r="B159">
        <v>182.56</v>
      </c>
      <c r="C159" s="19">
        <v>2778984</v>
      </c>
    </row>
    <row r="160" spans="1:3" x14ac:dyDescent="0.25">
      <c r="A160" s="1">
        <v>41802</v>
      </c>
      <c r="B160">
        <v>181.22</v>
      </c>
      <c r="C160" s="19">
        <v>4425491</v>
      </c>
    </row>
    <row r="161" spans="1:3" x14ac:dyDescent="0.25">
      <c r="A161" s="1">
        <v>41801</v>
      </c>
      <c r="B161">
        <v>182.25</v>
      </c>
      <c r="C161" s="19">
        <v>4065310</v>
      </c>
    </row>
    <row r="162" spans="1:3" x14ac:dyDescent="0.25">
      <c r="A162" s="1">
        <v>41800</v>
      </c>
      <c r="B162">
        <v>184.29</v>
      </c>
      <c r="C162" s="19">
        <v>4157062</v>
      </c>
    </row>
    <row r="163" spans="1:3" x14ac:dyDescent="0.25">
      <c r="A163" s="1">
        <v>41799</v>
      </c>
      <c r="B163">
        <v>186.22</v>
      </c>
      <c r="C163" s="19">
        <v>2728403</v>
      </c>
    </row>
    <row r="164" spans="1:3" x14ac:dyDescent="0.25">
      <c r="A164" s="1">
        <v>41796</v>
      </c>
      <c r="B164">
        <v>186.37</v>
      </c>
      <c r="C164" s="19">
        <v>3296900</v>
      </c>
    </row>
    <row r="165" spans="1:3" x14ac:dyDescent="0.25">
      <c r="A165" s="1">
        <v>41795</v>
      </c>
      <c r="B165">
        <v>185.98</v>
      </c>
      <c r="C165" s="19">
        <v>2861974</v>
      </c>
    </row>
    <row r="166" spans="1:3" x14ac:dyDescent="0.25">
      <c r="A166" s="1">
        <v>41794</v>
      </c>
      <c r="B166">
        <v>184.51</v>
      </c>
      <c r="C166" s="19">
        <v>2376981</v>
      </c>
    </row>
    <row r="167" spans="1:3" x14ac:dyDescent="0.25">
      <c r="A167" s="1">
        <v>41793</v>
      </c>
      <c r="B167">
        <v>184.37</v>
      </c>
      <c r="C167" s="19">
        <v>2517123</v>
      </c>
    </row>
    <row r="168" spans="1:3" x14ac:dyDescent="0.25">
      <c r="A168" s="1">
        <v>41792</v>
      </c>
      <c r="B168">
        <v>185.69</v>
      </c>
      <c r="C168" s="19">
        <v>3204034</v>
      </c>
    </row>
    <row r="169" spans="1:3" x14ac:dyDescent="0.25">
      <c r="A169" s="1">
        <v>41789</v>
      </c>
      <c r="B169">
        <v>184.36</v>
      </c>
      <c r="C169" s="19">
        <v>4620207</v>
      </c>
    </row>
    <row r="170" spans="1:3" x14ac:dyDescent="0.25">
      <c r="A170" s="1">
        <v>41788</v>
      </c>
      <c r="B170">
        <v>183.76</v>
      </c>
      <c r="C170" s="19">
        <v>2759978</v>
      </c>
    </row>
    <row r="171" spans="1:3" x14ac:dyDescent="0.25">
      <c r="A171" s="1">
        <v>41787</v>
      </c>
      <c r="B171">
        <v>183.08</v>
      </c>
      <c r="C171" s="19">
        <v>3724124</v>
      </c>
    </row>
    <row r="172" spans="1:3" x14ac:dyDescent="0.25">
      <c r="A172" s="1">
        <v>41786</v>
      </c>
      <c r="B172">
        <v>184.78</v>
      </c>
      <c r="C172" s="19">
        <v>4794501</v>
      </c>
    </row>
    <row r="173" spans="1:3" x14ac:dyDescent="0.25">
      <c r="A173" s="1">
        <v>41782</v>
      </c>
      <c r="B173">
        <v>185.94</v>
      </c>
      <c r="C173" s="19">
        <v>2563424</v>
      </c>
    </row>
    <row r="174" spans="1:3" x14ac:dyDescent="0.25">
      <c r="A174" s="1">
        <v>41781</v>
      </c>
      <c r="B174">
        <v>185.68</v>
      </c>
      <c r="C174" s="19">
        <v>2218149</v>
      </c>
    </row>
    <row r="175" spans="1:3" x14ac:dyDescent="0.25">
      <c r="A175" s="1">
        <v>41780</v>
      </c>
      <c r="B175">
        <v>186.39</v>
      </c>
      <c r="C175" s="19">
        <v>2988348</v>
      </c>
    </row>
    <row r="176" spans="1:3" x14ac:dyDescent="0.25">
      <c r="A176" s="1">
        <v>41779</v>
      </c>
      <c r="B176">
        <v>184.89</v>
      </c>
      <c r="C176" s="19">
        <v>3032896</v>
      </c>
    </row>
    <row r="177" spans="1:3" x14ac:dyDescent="0.25">
      <c r="A177" s="1">
        <v>41778</v>
      </c>
      <c r="B177">
        <v>187</v>
      </c>
      <c r="C177" s="19">
        <v>3270670</v>
      </c>
    </row>
    <row r="178" spans="1:3" x14ac:dyDescent="0.25">
      <c r="A178" s="1">
        <v>41775</v>
      </c>
      <c r="B178">
        <v>187.06</v>
      </c>
      <c r="C178" s="19">
        <v>3949644</v>
      </c>
    </row>
    <row r="179" spans="1:3" x14ac:dyDescent="0.25">
      <c r="A179" s="1">
        <v>41774</v>
      </c>
      <c r="B179">
        <v>186.46</v>
      </c>
      <c r="C179" s="19">
        <v>4202556</v>
      </c>
    </row>
    <row r="180" spans="1:3" x14ac:dyDescent="0.25">
      <c r="A180" s="1">
        <v>41773</v>
      </c>
      <c r="B180">
        <v>188.72</v>
      </c>
      <c r="C180" s="19">
        <v>5255970</v>
      </c>
    </row>
    <row r="181" spans="1:3" x14ac:dyDescent="0.25">
      <c r="A181" s="1">
        <v>41772</v>
      </c>
      <c r="B181">
        <v>192.19</v>
      </c>
      <c r="C181" s="19">
        <v>2226997</v>
      </c>
    </row>
    <row r="182" spans="1:3" x14ac:dyDescent="0.25">
      <c r="A182" s="1">
        <v>41771</v>
      </c>
      <c r="B182">
        <v>192.57</v>
      </c>
      <c r="C182" s="19">
        <v>3778611</v>
      </c>
    </row>
    <row r="183" spans="1:3" x14ac:dyDescent="0.25">
      <c r="A183" s="1">
        <v>41768</v>
      </c>
      <c r="B183">
        <v>190.08</v>
      </c>
      <c r="C183" s="19">
        <v>2261739</v>
      </c>
    </row>
    <row r="184" spans="1:3" x14ac:dyDescent="0.25">
      <c r="A184" s="1">
        <v>41767</v>
      </c>
      <c r="B184">
        <v>188.91</v>
      </c>
      <c r="C184" s="19">
        <v>2431945</v>
      </c>
    </row>
    <row r="185" spans="1:3" x14ac:dyDescent="0.25">
      <c r="A185" s="1">
        <v>41766</v>
      </c>
      <c r="B185">
        <v>189.3</v>
      </c>
      <c r="C185" s="19">
        <v>3821023</v>
      </c>
    </row>
    <row r="186" spans="1:3" x14ac:dyDescent="0.25">
      <c r="A186" s="1">
        <v>41765</v>
      </c>
      <c r="B186">
        <v>190.03</v>
      </c>
      <c r="C186" s="19">
        <v>3188706</v>
      </c>
    </row>
    <row r="187" spans="1:3" x14ac:dyDescent="0.25">
      <c r="A187" s="1">
        <v>41764</v>
      </c>
      <c r="B187">
        <v>191.26</v>
      </c>
      <c r="C187" s="19">
        <v>2222168</v>
      </c>
    </row>
    <row r="188" spans="1:3" x14ac:dyDescent="0.25">
      <c r="A188" s="1">
        <v>41761</v>
      </c>
      <c r="B188">
        <v>191.44</v>
      </c>
      <c r="C188" s="19">
        <v>3052953</v>
      </c>
    </row>
    <row r="189" spans="1:3" x14ac:dyDescent="0.25">
      <c r="A189" s="1">
        <v>41760</v>
      </c>
      <c r="B189">
        <v>193.53</v>
      </c>
      <c r="C189" s="19">
        <v>3675823</v>
      </c>
    </row>
    <row r="190" spans="1:3" x14ac:dyDescent="0.25">
      <c r="A190" s="1">
        <v>41759</v>
      </c>
      <c r="B190">
        <v>196.47</v>
      </c>
      <c r="C190" s="19">
        <v>4211284</v>
      </c>
    </row>
    <row r="191" spans="1:3" x14ac:dyDescent="0.25">
      <c r="A191" s="1">
        <v>41758</v>
      </c>
      <c r="B191">
        <v>195.11</v>
      </c>
      <c r="C191" s="19">
        <v>4626352</v>
      </c>
    </row>
    <row r="192" spans="1:3" x14ac:dyDescent="0.25">
      <c r="A192" s="1">
        <v>41757</v>
      </c>
      <c r="B192">
        <v>193.14</v>
      </c>
      <c r="C192" s="19">
        <v>5638334</v>
      </c>
    </row>
    <row r="193" spans="1:3" x14ac:dyDescent="0.25">
      <c r="A193" s="1">
        <v>41754</v>
      </c>
      <c r="B193">
        <v>189.63</v>
      </c>
      <c r="C193" s="19">
        <v>3871407</v>
      </c>
    </row>
    <row r="194" spans="1:3" x14ac:dyDescent="0.25">
      <c r="A194" s="1">
        <v>41753</v>
      </c>
      <c r="B194">
        <v>190.22</v>
      </c>
      <c r="C194" s="19">
        <v>4407352</v>
      </c>
    </row>
    <row r="195" spans="1:3" x14ac:dyDescent="0.25">
      <c r="A195" s="1">
        <v>41752</v>
      </c>
      <c r="B195">
        <v>191.73</v>
      </c>
      <c r="C195" s="19">
        <v>4736919</v>
      </c>
    </row>
    <row r="196" spans="1:3" x14ac:dyDescent="0.25">
      <c r="A196" s="1">
        <v>41751</v>
      </c>
      <c r="B196">
        <v>192.15</v>
      </c>
      <c r="C196" s="19">
        <v>3878619</v>
      </c>
    </row>
    <row r="197" spans="1:3" x14ac:dyDescent="0.25">
      <c r="A197" s="1">
        <v>41750</v>
      </c>
      <c r="B197">
        <v>192.27</v>
      </c>
      <c r="C197" s="19">
        <v>5425283</v>
      </c>
    </row>
    <row r="198" spans="1:3" x14ac:dyDescent="0.25">
      <c r="A198" s="1">
        <v>41746</v>
      </c>
      <c r="B198">
        <v>190.01</v>
      </c>
      <c r="C198" s="19">
        <v>11255490</v>
      </c>
    </row>
    <row r="199" spans="1:3" x14ac:dyDescent="0.25">
      <c r="A199" s="1">
        <v>41745</v>
      </c>
      <c r="B199">
        <v>196.4</v>
      </c>
      <c r="C199" s="19">
        <v>8527295</v>
      </c>
    </row>
    <row r="200" spans="1:3" x14ac:dyDescent="0.25">
      <c r="A200" s="1">
        <v>41744</v>
      </c>
      <c r="B200">
        <v>197.02</v>
      </c>
      <c r="C200" s="19">
        <v>5353177</v>
      </c>
    </row>
    <row r="201" spans="1:3" x14ac:dyDescent="0.25">
      <c r="A201" s="1">
        <v>41743</v>
      </c>
      <c r="B201">
        <v>197.77</v>
      </c>
      <c r="C201" s="19">
        <v>5433621</v>
      </c>
    </row>
    <row r="202" spans="1:3" x14ac:dyDescent="0.25">
      <c r="A202" s="1">
        <v>41740</v>
      </c>
      <c r="B202">
        <v>195.19</v>
      </c>
      <c r="C202" s="19">
        <v>4835214</v>
      </c>
    </row>
    <row r="203" spans="1:3" x14ac:dyDescent="0.25">
      <c r="A203" s="1">
        <v>41739</v>
      </c>
      <c r="B203">
        <v>195.68</v>
      </c>
      <c r="C203" s="19">
        <v>8425601</v>
      </c>
    </row>
    <row r="204" spans="1:3" x14ac:dyDescent="0.25">
      <c r="A204" s="1">
        <v>41738</v>
      </c>
      <c r="B204">
        <v>196.64</v>
      </c>
      <c r="C204" s="19">
        <v>5485124</v>
      </c>
    </row>
    <row r="205" spans="1:3" x14ac:dyDescent="0.25">
      <c r="A205" s="1">
        <v>41737</v>
      </c>
      <c r="B205">
        <v>193.29</v>
      </c>
      <c r="C205" s="19">
        <v>5125001</v>
      </c>
    </row>
    <row r="206" spans="1:3" x14ac:dyDescent="0.25">
      <c r="A206" s="1">
        <v>41736</v>
      </c>
      <c r="B206">
        <v>194.52</v>
      </c>
      <c r="C206" s="19">
        <v>6747080</v>
      </c>
    </row>
    <row r="207" spans="1:3" x14ac:dyDescent="0.25">
      <c r="A207" s="1">
        <v>41733</v>
      </c>
      <c r="B207">
        <v>191.77</v>
      </c>
      <c r="C207" s="19">
        <v>6090863</v>
      </c>
    </row>
    <row r="208" spans="1:3" x14ac:dyDescent="0.25">
      <c r="A208" s="1">
        <v>41732</v>
      </c>
      <c r="B208">
        <v>192.69</v>
      </c>
      <c r="C208" s="19">
        <v>4091060</v>
      </c>
    </row>
    <row r="209" spans="1:3" x14ac:dyDescent="0.25">
      <c r="A209" s="1">
        <v>41731</v>
      </c>
      <c r="B209">
        <v>193.55</v>
      </c>
      <c r="C209" s="19">
        <v>4924133</v>
      </c>
    </row>
    <row r="210" spans="1:3" x14ac:dyDescent="0.25">
      <c r="A210" s="1">
        <v>41730</v>
      </c>
      <c r="B210">
        <v>194.5</v>
      </c>
      <c r="C210" s="19">
        <v>5395346</v>
      </c>
    </row>
    <row r="211" spans="1:3" x14ac:dyDescent="0.25">
      <c r="A211" s="1">
        <v>41729</v>
      </c>
      <c r="B211">
        <v>192.49</v>
      </c>
      <c r="C211" s="19">
        <v>8537746</v>
      </c>
    </row>
    <row r="212" spans="1:3" x14ac:dyDescent="0.25">
      <c r="A212" s="1">
        <v>41726</v>
      </c>
      <c r="B212">
        <v>190.45</v>
      </c>
      <c r="C212" s="19">
        <v>5194443</v>
      </c>
    </row>
    <row r="213" spans="1:3" x14ac:dyDescent="0.25">
      <c r="A213" s="1">
        <v>41725</v>
      </c>
      <c r="B213">
        <v>189.83</v>
      </c>
      <c r="C213" s="19">
        <v>6767653</v>
      </c>
    </row>
    <row r="214" spans="1:3" x14ac:dyDescent="0.25">
      <c r="A214" s="1">
        <v>41724</v>
      </c>
      <c r="B214">
        <v>192.62</v>
      </c>
      <c r="C214" s="19">
        <v>6851772</v>
      </c>
    </row>
    <row r="215" spans="1:3" x14ac:dyDescent="0.25">
      <c r="A215" s="1">
        <v>41723</v>
      </c>
      <c r="B215">
        <v>195.04</v>
      </c>
      <c r="C215" s="19">
        <v>10912700</v>
      </c>
    </row>
    <row r="216" spans="1:3" x14ac:dyDescent="0.25">
      <c r="A216" s="1">
        <v>41722</v>
      </c>
      <c r="B216">
        <v>188.25</v>
      </c>
      <c r="C216" s="19">
        <v>5738492</v>
      </c>
    </row>
    <row r="217" spans="1:3" x14ac:dyDescent="0.25">
      <c r="A217" s="1">
        <v>41719</v>
      </c>
      <c r="B217">
        <v>186.67</v>
      </c>
      <c r="C217" s="19">
        <v>12535280</v>
      </c>
    </row>
    <row r="218" spans="1:3" x14ac:dyDescent="0.25">
      <c r="A218" s="1">
        <v>41718</v>
      </c>
      <c r="B218">
        <v>187.9</v>
      </c>
      <c r="C218" s="19">
        <v>5062629</v>
      </c>
    </row>
    <row r="219" spans="1:3" x14ac:dyDescent="0.25">
      <c r="A219" s="1">
        <v>41717</v>
      </c>
      <c r="B219">
        <v>184.71</v>
      </c>
      <c r="C219" s="19">
        <v>4323930</v>
      </c>
    </row>
    <row r="220" spans="1:3" x14ac:dyDescent="0.25">
      <c r="A220" s="1">
        <v>41716</v>
      </c>
      <c r="B220">
        <v>186.81</v>
      </c>
      <c r="C220" s="19">
        <v>3961319</v>
      </c>
    </row>
    <row r="221" spans="1:3" x14ac:dyDescent="0.25">
      <c r="A221" s="1">
        <v>41715</v>
      </c>
      <c r="B221">
        <v>185.81</v>
      </c>
      <c r="C221" s="19">
        <v>4938754</v>
      </c>
    </row>
    <row r="222" spans="1:3" x14ac:dyDescent="0.25">
      <c r="A222" s="1">
        <v>41712</v>
      </c>
      <c r="B222">
        <v>182.21</v>
      </c>
      <c r="C222" s="19">
        <v>5490326</v>
      </c>
    </row>
    <row r="223" spans="1:3" x14ac:dyDescent="0.25">
      <c r="A223" s="1">
        <v>41711</v>
      </c>
      <c r="B223">
        <v>183.9</v>
      </c>
      <c r="C223" s="19">
        <v>4913208</v>
      </c>
    </row>
    <row r="224" spans="1:3" x14ac:dyDescent="0.25">
      <c r="A224" s="1">
        <v>41710</v>
      </c>
      <c r="B224">
        <v>186.22</v>
      </c>
      <c r="C224" s="19">
        <v>4833158</v>
      </c>
    </row>
    <row r="225" spans="1:3" x14ac:dyDescent="0.25">
      <c r="A225" s="1">
        <v>41709</v>
      </c>
      <c r="B225">
        <v>186.76</v>
      </c>
      <c r="C225" s="19">
        <v>4229679</v>
      </c>
    </row>
    <row r="226" spans="1:3" x14ac:dyDescent="0.25">
      <c r="A226" s="1">
        <v>41708</v>
      </c>
      <c r="B226">
        <v>186.39</v>
      </c>
      <c r="C226" s="19">
        <v>4594054</v>
      </c>
    </row>
    <row r="227" spans="1:3" x14ac:dyDescent="0.25">
      <c r="A227" s="1">
        <v>41705</v>
      </c>
      <c r="B227">
        <v>187.68</v>
      </c>
      <c r="C227" s="19">
        <v>4117826</v>
      </c>
    </row>
    <row r="228" spans="1:3" x14ac:dyDescent="0.25">
      <c r="A228" s="1">
        <v>41704</v>
      </c>
      <c r="B228">
        <v>187.64</v>
      </c>
      <c r="C228" s="19">
        <v>3817529</v>
      </c>
    </row>
    <row r="229" spans="1:3" x14ac:dyDescent="0.25">
      <c r="A229" s="1">
        <v>41703</v>
      </c>
      <c r="B229">
        <v>187.14</v>
      </c>
      <c r="C229" s="19">
        <v>3487359</v>
      </c>
    </row>
    <row r="230" spans="1:3" x14ac:dyDescent="0.25">
      <c r="A230" s="1">
        <v>41702</v>
      </c>
      <c r="B230">
        <v>186.44</v>
      </c>
      <c r="C230" s="19">
        <v>4734235</v>
      </c>
    </row>
    <row r="231" spans="1:3" x14ac:dyDescent="0.25">
      <c r="A231" s="1">
        <v>41701</v>
      </c>
      <c r="B231">
        <v>184.26</v>
      </c>
      <c r="C231" s="19">
        <v>3952704</v>
      </c>
    </row>
    <row r="232" spans="1:3" x14ac:dyDescent="0.25">
      <c r="A232" s="1">
        <v>41698</v>
      </c>
      <c r="B232">
        <v>185.17</v>
      </c>
      <c r="C232" s="19">
        <v>4668452</v>
      </c>
    </row>
    <row r="233" spans="1:3" x14ac:dyDescent="0.25">
      <c r="A233" s="1">
        <v>41697</v>
      </c>
      <c r="B233">
        <v>185.27</v>
      </c>
      <c r="C233" s="19">
        <v>3827965</v>
      </c>
    </row>
    <row r="234" spans="1:3" x14ac:dyDescent="0.25">
      <c r="A234" s="1">
        <v>41696</v>
      </c>
      <c r="B234">
        <v>184.06</v>
      </c>
      <c r="C234" s="19">
        <v>3740884</v>
      </c>
    </row>
    <row r="235" spans="1:3" x14ac:dyDescent="0.25">
      <c r="A235" s="1">
        <v>41695</v>
      </c>
      <c r="B235">
        <v>183.23</v>
      </c>
      <c r="C235" s="19">
        <v>3902332</v>
      </c>
    </row>
    <row r="236" spans="1:3" x14ac:dyDescent="0.25">
      <c r="A236" s="1">
        <v>41694</v>
      </c>
      <c r="B236">
        <v>183.45</v>
      </c>
      <c r="C236" s="19">
        <v>4595312</v>
      </c>
    </row>
    <row r="237" spans="1:3" x14ac:dyDescent="0.25">
      <c r="A237" s="1">
        <v>41691</v>
      </c>
      <c r="B237">
        <v>182.79</v>
      </c>
      <c r="C237" s="19">
        <v>5699331</v>
      </c>
    </row>
    <row r="238" spans="1:3" x14ac:dyDescent="0.25">
      <c r="A238" s="1">
        <v>41690</v>
      </c>
      <c r="B238">
        <v>184.26</v>
      </c>
      <c r="C238" s="19">
        <v>4968267</v>
      </c>
    </row>
    <row r="239" spans="1:3" x14ac:dyDescent="0.25">
      <c r="A239" s="1">
        <v>41689</v>
      </c>
      <c r="B239">
        <v>182.95</v>
      </c>
      <c r="C239" s="19">
        <v>4671705</v>
      </c>
    </row>
    <row r="240" spans="1:3" x14ac:dyDescent="0.25">
      <c r="A240" s="1">
        <v>41688</v>
      </c>
      <c r="B240">
        <v>183.19</v>
      </c>
      <c r="C240" s="19">
        <v>4435484</v>
      </c>
    </row>
    <row r="241" spans="1:3" x14ac:dyDescent="0.25">
      <c r="A241" s="1">
        <v>41684</v>
      </c>
      <c r="B241">
        <v>183.69</v>
      </c>
      <c r="C241" s="19">
        <v>4665873</v>
      </c>
    </row>
    <row r="242" spans="1:3" x14ac:dyDescent="0.25">
      <c r="A242" s="1">
        <v>41683</v>
      </c>
      <c r="B242">
        <v>181.84</v>
      </c>
      <c r="C242" s="19">
        <v>4482761</v>
      </c>
    </row>
    <row r="243" spans="1:3" x14ac:dyDescent="0.25">
      <c r="A243" s="1">
        <v>41682</v>
      </c>
      <c r="B243">
        <v>180.24</v>
      </c>
      <c r="C243" s="19">
        <v>3984148</v>
      </c>
    </row>
    <row r="244" spans="1:3" x14ac:dyDescent="0.25">
      <c r="A244" s="1">
        <v>41681</v>
      </c>
      <c r="B244">
        <v>179.7</v>
      </c>
      <c r="C244" s="19">
        <v>4654207</v>
      </c>
    </row>
    <row r="245" spans="1:3" x14ac:dyDescent="0.25">
      <c r="A245" s="1">
        <v>41680</v>
      </c>
      <c r="B245">
        <v>177.14</v>
      </c>
      <c r="C245" s="19">
        <v>3544486</v>
      </c>
    </row>
    <row r="246" spans="1:3" x14ac:dyDescent="0.25">
      <c r="A246" s="1">
        <v>41677</v>
      </c>
      <c r="B246">
        <v>177.25</v>
      </c>
      <c r="C246" s="19">
        <v>4725647</v>
      </c>
    </row>
    <row r="247" spans="1:3" x14ac:dyDescent="0.25">
      <c r="A247" s="1">
        <v>41676</v>
      </c>
      <c r="B247">
        <v>174.67</v>
      </c>
      <c r="C247" s="19">
        <v>4292478</v>
      </c>
    </row>
    <row r="248" spans="1:3" x14ac:dyDescent="0.25">
      <c r="A248" s="1">
        <v>41675</v>
      </c>
      <c r="B248">
        <v>174.24</v>
      </c>
      <c r="C248" s="19">
        <v>4714375</v>
      </c>
    </row>
    <row r="249" spans="1:3" x14ac:dyDescent="0.25">
      <c r="A249" s="1">
        <v>41674</v>
      </c>
      <c r="B249">
        <v>172.84</v>
      </c>
      <c r="C249" s="19">
        <v>4351180</v>
      </c>
    </row>
    <row r="250" spans="1:3" x14ac:dyDescent="0.25">
      <c r="A250" s="1">
        <v>41673</v>
      </c>
      <c r="B250">
        <v>172.9</v>
      </c>
      <c r="C250" s="19">
        <v>7187767</v>
      </c>
    </row>
    <row r="251" spans="1:3" x14ac:dyDescent="0.25">
      <c r="A251" s="1">
        <v>41670</v>
      </c>
      <c r="B251">
        <v>176.68</v>
      </c>
      <c r="C251" s="19">
        <v>5195381</v>
      </c>
    </row>
    <row r="252" spans="1:3" x14ac:dyDescent="0.25">
      <c r="A252" s="1">
        <v>41669</v>
      </c>
      <c r="B252">
        <v>177.36</v>
      </c>
      <c r="C252" s="19">
        <v>4854397</v>
      </c>
    </row>
    <row r="253" spans="1:3" x14ac:dyDescent="0.25">
      <c r="A253" s="1">
        <v>41668</v>
      </c>
      <c r="B253">
        <v>176.4</v>
      </c>
      <c r="C253" s="19">
        <v>4971142</v>
      </c>
    </row>
    <row r="254" spans="1:3" x14ac:dyDescent="0.25">
      <c r="A254" s="1">
        <v>41667</v>
      </c>
      <c r="B254">
        <v>176.85</v>
      </c>
      <c r="C254" s="19">
        <v>5336989</v>
      </c>
    </row>
    <row r="255" spans="1:3" x14ac:dyDescent="0.25">
      <c r="A255" s="1">
        <v>41666</v>
      </c>
      <c r="B255">
        <v>177.9</v>
      </c>
      <c r="C255" s="19">
        <v>5209244</v>
      </c>
    </row>
    <row r="256" spans="1:3" x14ac:dyDescent="0.25">
      <c r="A256" s="1">
        <v>41663</v>
      </c>
      <c r="B256">
        <v>179.64</v>
      </c>
      <c r="C256" s="19">
        <v>6938768</v>
      </c>
    </row>
    <row r="257" spans="1:3" x14ac:dyDescent="0.25">
      <c r="A257" s="1">
        <v>41662</v>
      </c>
      <c r="B257">
        <v>182.73</v>
      </c>
      <c r="C257" s="19">
        <v>6974334</v>
      </c>
    </row>
    <row r="258" spans="1:3" x14ac:dyDescent="0.25">
      <c r="A258" s="1">
        <v>41661</v>
      </c>
      <c r="B258">
        <v>182.25</v>
      </c>
      <c r="C258" s="19">
        <v>13800590</v>
      </c>
    </row>
    <row r="259" spans="1:3" x14ac:dyDescent="0.25">
      <c r="A259" s="1">
        <v>41660</v>
      </c>
      <c r="B259">
        <v>188.43</v>
      </c>
      <c r="C259" s="19">
        <v>11121410</v>
      </c>
    </row>
    <row r="260" spans="1:3" x14ac:dyDescent="0.25">
      <c r="A260" s="1">
        <v>41656</v>
      </c>
      <c r="B260">
        <v>190.09</v>
      </c>
      <c r="C260" s="19">
        <v>7671146</v>
      </c>
    </row>
    <row r="261" spans="1:3" x14ac:dyDescent="0.25">
      <c r="A261" s="1">
        <v>41655</v>
      </c>
      <c r="B261">
        <v>188.76</v>
      </c>
      <c r="C261" s="19">
        <v>4775167</v>
      </c>
    </row>
    <row r="262" spans="1:3" x14ac:dyDescent="0.25">
      <c r="A262" s="1">
        <v>41654</v>
      </c>
      <c r="B262">
        <v>187.74</v>
      </c>
      <c r="C262" s="19">
        <v>4829291</v>
      </c>
    </row>
    <row r="263" spans="1:3" x14ac:dyDescent="0.25">
      <c r="A263" s="1">
        <v>41653</v>
      </c>
      <c r="B263">
        <v>185.92</v>
      </c>
      <c r="C263" s="19">
        <v>4619509</v>
      </c>
    </row>
    <row r="264" spans="1:3" x14ac:dyDescent="0.25">
      <c r="A264" s="1">
        <v>41652</v>
      </c>
      <c r="B264">
        <v>184.16</v>
      </c>
      <c r="C264" s="19">
        <v>5789107</v>
      </c>
    </row>
    <row r="265" spans="1:3" x14ac:dyDescent="0.25">
      <c r="A265" s="1">
        <v>41649</v>
      </c>
      <c r="B265">
        <v>187.26</v>
      </c>
      <c r="C265" s="19">
        <v>4023089</v>
      </c>
    </row>
    <row r="266" spans="1:3" x14ac:dyDescent="0.25">
      <c r="A266" s="1">
        <v>41648</v>
      </c>
      <c r="B266">
        <v>187.38</v>
      </c>
      <c r="C266" s="19">
        <v>4322284</v>
      </c>
    </row>
    <row r="267" spans="1:3" x14ac:dyDescent="0.25">
      <c r="A267" s="1">
        <v>41647</v>
      </c>
      <c r="B267">
        <v>187.97</v>
      </c>
      <c r="C267" s="19">
        <v>4604105</v>
      </c>
    </row>
    <row r="268" spans="1:3" x14ac:dyDescent="0.25">
      <c r="A268" s="1">
        <v>41646</v>
      </c>
      <c r="B268">
        <v>189.71</v>
      </c>
      <c r="C268" s="19">
        <v>5934322</v>
      </c>
    </row>
    <row r="269" spans="1:3" x14ac:dyDescent="0.25">
      <c r="A269" s="1">
        <v>41645</v>
      </c>
      <c r="B269">
        <v>186</v>
      </c>
      <c r="C269" s="19">
        <v>4068105</v>
      </c>
    </row>
    <row r="270" spans="1:3" x14ac:dyDescent="0.25">
      <c r="A270" s="1">
        <v>41642</v>
      </c>
      <c r="B270">
        <v>186.64</v>
      </c>
      <c r="C270" s="19">
        <v>4064095</v>
      </c>
    </row>
    <row r="271" spans="1:3" x14ac:dyDescent="0.25">
      <c r="A271" s="1">
        <v>41641</v>
      </c>
      <c r="B271">
        <v>185.53</v>
      </c>
      <c r="C271" s="19">
        <v>4546809</v>
      </c>
    </row>
    <row r="272" spans="1:3" x14ac:dyDescent="0.25">
      <c r="A272" s="1">
        <v>41639</v>
      </c>
      <c r="B272">
        <v>187.57</v>
      </c>
      <c r="C272" s="19">
        <v>3620413</v>
      </c>
    </row>
    <row r="273" spans="1:3" x14ac:dyDescent="0.25">
      <c r="A273" s="1">
        <v>41638</v>
      </c>
      <c r="B273">
        <v>186.41</v>
      </c>
      <c r="C273" s="19">
        <v>3018594</v>
      </c>
    </row>
    <row r="274" spans="1:3" x14ac:dyDescent="0.25">
      <c r="A274" s="1">
        <v>41635</v>
      </c>
      <c r="B274">
        <v>185.08</v>
      </c>
      <c r="C274" s="19">
        <v>3382117</v>
      </c>
    </row>
    <row r="275" spans="1:3" x14ac:dyDescent="0.25">
      <c r="A275" s="1">
        <v>41634</v>
      </c>
      <c r="B275">
        <v>185.35</v>
      </c>
      <c r="C275" s="19">
        <v>3325841</v>
      </c>
    </row>
    <row r="276" spans="1:3" x14ac:dyDescent="0.25">
      <c r="A276" s="1">
        <v>41632</v>
      </c>
      <c r="B276">
        <v>183.22</v>
      </c>
      <c r="C276" s="19">
        <v>1613614</v>
      </c>
    </row>
    <row r="277" spans="1:3" x14ac:dyDescent="0.25">
      <c r="A277" s="1">
        <v>41631</v>
      </c>
      <c r="B277">
        <v>182.23</v>
      </c>
      <c r="C277" s="19">
        <v>4082821</v>
      </c>
    </row>
    <row r="278" spans="1:3" x14ac:dyDescent="0.25">
      <c r="A278" s="1">
        <v>41628</v>
      </c>
      <c r="B278">
        <v>180.02</v>
      </c>
      <c r="C278" s="19">
        <v>7655998</v>
      </c>
    </row>
    <row r="279" spans="1:3" x14ac:dyDescent="0.25">
      <c r="A279" s="1">
        <v>41627</v>
      </c>
      <c r="B279">
        <v>180.22</v>
      </c>
      <c r="C279" s="19">
        <v>5929584</v>
      </c>
    </row>
    <row r="280" spans="1:3" x14ac:dyDescent="0.25">
      <c r="A280" s="1">
        <v>41626</v>
      </c>
      <c r="B280">
        <v>178.7</v>
      </c>
      <c r="C280" s="19">
        <v>5698437</v>
      </c>
    </row>
    <row r="281" spans="1:3" x14ac:dyDescent="0.25">
      <c r="A281" s="1">
        <v>41625</v>
      </c>
      <c r="B281">
        <v>175.76</v>
      </c>
      <c r="C281" s="19">
        <v>5476405</v>
      </c>
    </row>
    <row r="282" spans="1:3" x14ac:dyDescent="0.25">
      <c r="A282" s="1">
        <v>41624</v>
      </c>
      <c r="B282">
        <v>177.85</v>
      </c>
      <c r="C282" s="19">
        <v>7521001</v>
      </c>
    </row>
    <row r="283" spans="1:3" x14ac:dyDescent="0.25">
      <c r="A283" s="1">
        <v>41621</v>
      </c>
      <c r="B283">
        <v>172.8</v>
      </c>
      <c r="C283" s="19">
        <v>4184836</v>
      </c>
    </row>
    <row r="284" spans="1:3" x14ac:dyDescent="0.25">
      <c r="A284" s="1">
        <v>41620</v>
      </c>
      <c r="B284">
        <v>173.37</v>
      </c>
      <c r="C284" s="19">
        <v>5671649</v>
      </c>
    </row>
    <row r="285" spans="1:3" x14ac:dyDescent="0.25">
      <c r="A285" s="1">
        <v>41619</v>
      </c>
      <c r="B285">
        <v>175.2</v>
      </c>
      <c r="C285" s="19">
        <v>4090438</v>
      </c>
    </row>
    <row r="286" spans="1:3" x14ac:dyDescent="0.25">
      <c r="A286" s="1">
        <v>41618</v>
      </c>
      <c r="B286">
        <v>177.12</v>
      </c>
      <c r="C286" s="19">
        <v>4128386</v>
      </c>
    </row>
    <row r="287" spans="1:3" x14ac:dyDescent="0.25">
      <c r="A287" s="1">
        <v>41617</v>
      </c>
      <c r="B287">
        <v>177.46</v>
      </c>
      <c r="C287" s="19">
        <v>3796620</v>
      </c>
    </row>
    <row r="288" spans="1:3" x14ac:dyDescent="0.25">
      <c r="A288" s="1">
        <v>41614</v>
      </c>
      <c r="B288">
        <v>177.67</v>
      </c>
      <c r="C288" s="19">
        <v>4741119</v>
      </c>
    </row>
    <row r="289" spans="1:3" x14ac:dyDescent="0.25">
      <c r="A289" s="1">
        <v>41613</v>
      </c>
      <c r="B289">
        <v>176.08</v>
      </c>
      <c r="C289" s="19">
        <v>4385041</v>
      </c>
    </row>
    <row r="290" spans="1:3" x14ac:dyDescent="0.25">
      <c r="A290" s="1">
        <v>41612</v>
      </c>
      <c r="B290">
        <v>175.74</v>
      </c>
      <c r="C290" s="19">
        <v>5267364</v>
      </c>
    </row>
    <row r="291" spans="1:3" x14ac:dyDescent="0.25">
      <c r="A291" s="1">
        <v>41611</v>
      </c>
      <c r="B291">
        <v>176.08</v>
      </c>
      <c r="C291" s="19">
        <v>5864045</v>
      </c>
    </row>
    <row r="292" spans="1:3" x14ac:dyDescent="0.25">
      <c r="A292" s="1">
        <v>41610</v>
      </c>
      <c r="B292">
        <v>177.48</v>
      </c>
      <c r="C292" s="19">
        <v>4561577</v>
      </c>
    </row>
    <row r="293" spans="1:3" x14ac:dyDescent="0.25">
      <c r="A293" s="1">
        <v>41607</v>
      </c>
      <c r="B293">
        <v>179.68</v>
      </c>
      <c r="C293" s="19">
        <v>2870500</v>
      </c>
    </row>
    <row r="294" spans="1:3" x14ac:dyDescent="0.25">
      <c r="A294" s="1">
        <v>41605</v>
      </c>
      <c r="B294">
        <v>178.97</v>
      </c>
      <c r="C294" s="19">
        <v>4596474</v>
      </c>
    </row>
    <row r="295" spans="1:3" x14ac:dyDescent="0.25">
      <c r="A295" s="1">
        <v>41604</v>
      </c>
      <c r="B295">
        <v>177.31</v>
      </c>
      <c r="C295" s="19">
        <v>5756174</v>
      </c>
    </row>
    <row r="296" spans="1:3" x14ac:dyDescent="0.25">
      <c r="A296" s="1">
        <v>41603</v>
      </c>
      <c r="B296">
        <v>178.94</v>
      </c>
      <c r="C296" s="19">
        <v>7162374</v>
      </c>
    </row>
    <row r="297" spans="1:3" x14ac:dyDescent="0.25">
      <c r="A297" s="1">
        <v>41600</v>
      </c>
      <c r="B297">
        <v>181.3</v>
      </c>
      <c r="C297" s="19">
        <v>7610518</v>
      </c>
    </row>
    <row r="298" spans="1:3" x14ac:dyDescent="0.25">
      <c r="A298" s="1">
        <v>41599</v>
      </c>
      <c r="B298">
        <v>184.13</v>
      </c>
      <c r="C298" s="19">
        <v>4459451</v>
      </c>
    </row>
    <row r="299" spans="1:3" x14ac:dyDescent="0.25">
      <c r="A299" s="1">
        <v>41598</v>
      </c>
      <c r="B299">
        <v>185.19</v>
      </c>
      <c r="C299" s="19">
        <v>3646117</v>
      </c>
    </row>
    <row r="300" spans="1:3" x14ac:dyDescent="0.25">
      <c r="A300" s="1">
        <v>41597</v>
      </c>
      <c r="B300">
        <v>185.25</v>
      </c>
      <c r="C300" s="19">
        <v>4577037</v>
      </c>
    </row>
    <row r="301" spans="1:3" x14ac:dyDescent="0.25">
      <c r="A301" s="1">
        <v>41596</v>
      </c>
      <c r="B301">
        <v>184.47</v>
      </c>
      <c r="C301" s="19">
        <v>5344864</v>
      </c>
    </row>
    <row r="302" spans="1:3" x14ac:dyDescent="0.25">
      <c r="A302" s="1">
        <v>41593</v>
      </c>
      <c r="B302">
        <v>183.19</v>
      </c>
      <c r="C302" s="19">
        <v>5179511</v>
      </c>
    </row>
    <row r="303" spans="1:3" x14ac:dyDescent="0.25">
      <c r="A303" s="1">
        <v>41592</v>
      </c>
      <c r="B303">
        <v>182.21</v>
      </c>
      <c r="C303" s="19">
        <v>6322676</v>
      </c>
    </row>
    <row r="304" spans="1:3" x14ac:dyDescent="0.25">
      <c r="A304" s="1">
        <v>41591</v>
      </c>
      <c r="B304">
        <v>183.55</v>
      </c>
      <c r="C304" s="19">
        <v>4711276</v>
      </c>
    </row>
    <row r="305" spans="1:3" x14ac:dyDescent="0.25">
      <c r="A305" s="1">
        <v>41590</v>
      </c>
      <c r="B305">
        <v>183.07</v>
      </c>
      <c r="C305" s="19">
        <v>4258623</v>
      </c>
    </row>
    <row r="306" spans="1:3" x14ac:dyDescent="0.25">
      <c r="A306" s="1">
        <v>41589</v>
      </c>
      <c r="B306">
        <v>182.88</v>
      </c>
      <c r="C306" s="19">
        <v>5222299</v>
      </c>
    </row>
    <row r="307" spans="1:3" x14ac:dyDescent="0.25">
      <c r="A307" s="1">
        <v>41586</v>
      </c>
      <c r="B307">
        <v>179.99</v>
      </c>
      <c r="C307" s="19">
        <v>6275035</v>
      </c>
    </row>
    <row r="308" spans="1:3" x14ac:dyDescent="0.25">
      <c r="A308" s="1">
        <v>41585</v>
      </c>
      <c r="B308">
        <v>180</v>
      </c>
      <c r="C308" s="19">
        <v>5221281</v>
      </c>
    </row>
    <row r="309" spans="1:3" x14ac:dyDescent="0.25">
      <c r="A309" s="1">
        <v>41584</v>
      </c>
      <c r="B309">
        <v>179.19</v>
      </c>
      <c r="C309" s="19">
        <v>4560659</v>
      </c>
    </row>
    <row r="310" spans="1:3" x14ac:dyDescent="0.25">
      <c r="A310" s="1">
        <v>41583</v>
      </c>
      <c r="B310">
        <v>177.85</v>
      </c>
      <c r="C310" s="19">
        <v>6103386</v>
      </c>
    </row>
    <row r="311" spans="1:3" x14ac:dyDescent="0.25">
      <c r="A311" s="1">
        <v>41582</v>
      </c>
      <c r="B311">
        <v>180.27</v>
      </c>
      <c r="C311" s="19">
        <v>3484345</v>
      </c>
    </row>
    <row r="312" spans="1:3" x14ac:dyDescent="0.25">
      <c r="A312" s="1">
        <v>41579</v>
      </c>
      <c r="B312">
        <v>179.23</v>
      </c>
      <c r="C312" s="19">
        <v>3644628</v>
      </c>
    </row>
    <row r="313" spans="1:3" x14ac:dyDescent="0.25">
      <c r="A313" s="1">
        <v>41578</v>
      </c>
      <c r="B313">
        <v>179.21</v>
      </c>
      <c r="C313" s="19">
        <v>4318185</v>
      </c>
    </row>
    <row r="314" spans="1:3" x14ac:dyDescent="0.25">
      <c r="A314" s="1">
        <v>41577</v>
      </c>
      <c r="B314">
        <v>180.15</v>
      </c>
      <c r="C314" s="19">
        <v>5275922</v>
      </c>
    </row>
    <row r="315" spans="1:3" x14ac:dyDescent="0.25">
      <c r="A315" s="1">
        <v>41576</v>
      </c>
      <c r="B315">
        <v>182.12</v>
      </c>
      <c r="C315" s="19">
        <v>8909330</v>
      </c>
    </row>
    <row r="316" spans="1:3" x14ac:dyDescent="0.25">
      <c r="A316" s="1">
        <v>41575</v>
      </c>
      <c r="B316">
        <v>177.35</v>
      </c>
      <c r="C316" s="19">
        <v>3712733</v>
      </c>
    </row>
    <row r="317" spans="1:3" x14ac:dyDescent="0.25">
      <c r="A317" s="1">
        <v>41572</v>
      </c>
      <c r="B317">
        <v>176.85</v>
      </c>
      <c r="C317" s="19">
        <v>4844399</v>
      </c>
    </row>
    <row r="318" spans="1:3" x14ac:dyDescent="0.25">
      <c r="A318" s="1">
        <v>41571</v>
      </c>
      <c r="B318">
        <v>177.8</v>
      </c>
      <c r="C318" s="19">
        <v>5534885</v>
      </c>
    </row>
    <row r="319" spans="1:3" x14ac:dyDescent="0.25">
      <c r="A319" s="1">
        <v>41570</v>
      </c>
      <c r="B319">
        <v>175.77</v>
      </c>
      <c r="C319" s="19">
        <v>5416339</v>
      </c>
    </row>
    <row r="320" spans="1:3" x14ac:dyDescent="0.25">
      <c r="A320" s="1">
        <v>41569</v>
      </c>
      <c r="B320">
        <v>174.97</v>
      </c>
      <c r="C320" s="19">
        <v>6980623</v>
      </c>
    </row>
    <row r="321" spans="1:3" x14ac:dyDescent="0.25">
      <c r="A321" s="1">
        <v>41568</v>
      </c>
      <c r="B321">
        <v>172.86</v>
      </c>
      <c r="C321" s="19">
        <v>7098685</v>
      </c>
    </row>
    <row r="322" spans="1:3" x14ac:dyDescent="0.25">
      <c r="A322" s="1">
        <v>41565</v>
      </c>
      <c r="B322">
        <v>173.78</v>
      </c>
      <c r="C322" s="19">
        <v>10552470</v>
      </c>
    </row>
    <row r="323" spans="1:3" x14ac:dyDescent="0.25">
      <c r="A323" s="1">
        <v>41564</v>
      </c>
      <c r="B323">
        <v>174.83</v>
      </c>
      <c r="C323" s="19">
        <v>22368940</v>
      </c>
    </row>
    <row r="324" spans="1:3" x14ac:dyDescent="0.25">
      <c r="A324" s="1">
        <v>41563</v>
      </c>
      <c r="B324">
        <v>186.73</v>
      </c>
      <c r="C324" s="19">
        <v>6717979</v>
      </c>
    </row>
    <row r="325" spans="1:3" x14ac:dyDescent="0.25">
      <c r="A325" s="1">
        <v>41562</v>
      </c>
      <c r="B325">
        <v>184.66</v>
      </c>
      <c r="C325" s="19">
        <v>3367275</v>
      </c>
    </row>
    <row r="326" spans="1:3" x14ac:dyDescent="0.25">
      <c r="A326" s="1">
        <v>41561</v>
      </c>
      <c r="B326">
        <v>186.97</v>
      </c>
      <c r="C326" s="19">
        <v>2663207</v>
      </c>
    </row>
    <row r="327" spans="1:3" x14ac:dyDescent="0.25">
      <c r="A327" s="1">
        <v>41558</v>
      </c>
      <c r="B327">
        <v>186.16</v>
      </c>
      <c r="C327" s="19">
        <v>3232828</v>
      </c>
    </row>
    <row r="328" spans="1:3" x14ac:dyDescent="0.25">
      <c r="A328" s="1">
        <v>41557</v>
      </c>
      <c r="B328">
        <v>184.77</v>
      </c>
      <c r="C328" s="19">
        <v>3659606</v>
      </c>
    </row>
    <row r="329" spans="1:3" x14ac:dyDescent="0.25">
      <c r="A329" s="1">
        <v>41556</v>
      </c>
      <c r="B329">
        <v>181.32</v>
      </c>
      <c r="C329" s="19">
        <v>4424359</v>
      </c>
    </row>
    <row r="330" spans="1:3" x14ac:dyDescent="0.25">
      <c r="A330" s="1">
        <v>41555</v>
      </c>
      <c r="B330">
        <v>178.72</v>
      </c>
      <c r="C330" s="19">
        <v>5579833</v>
      </c>
    </row>
    <row r="331" spans="1:3" x14ac:dyDescent="0.25">
      <c r="A331" s="1">
        <v>41554</v>
      </c>
      <c r="B331">
        <v>182.01</v>
      </c>
      <c r="C331" s="19">
        <v>3968362</v>
      </c>
    </row>
    <row r="332" spans="1:3" x14ac:dyDescent="0.25">
      <c r="A332" s="1">
        <v>41551</v>
      </c>
      <c r="B332">
        <v>184.1</v>
      </c>
      <c r="C332" s="19">
        <v>2864163</v>
      </c>
    </row>
    <row r="333" spans="1:3" x14ac:dyDescent="0.25">
      <c r="A333" s="1">
        <v>41550</v>
      </c>
      <c r="B333">
        <v>183.86</v>
      </c>
      <c r="C333" s="19">
        <v>3212240</v>
      </c>
    </row>
    <row r="334" spans="1:3" x14ac:dyDescent="0.25">
      <c r="A334" s="1">
        <v>41549</v>
      </c>
      <c r="B334">
        <v>184.96</v>
      </c>
      <c r="C334" s="19">
        <v>3618459</v>
      </c>
    </row>
    <row r="335" spans="1:3" x14ac:dyDescent="0.25">
      <c r="A335" s="1">
        <v>41548</v>
      </c>
      <c r="B335">
        <v>186.38</v>
      </c>
      <c r="C335" s="19">
        <v>2682184</v>
      </c>
    </row>
    <row r="336" spans="1:3" x14ac:dyDescent="0.25">
      <c r="A336" s="1">
        <v>41547</v>
      </c>
      <c r="B336">
        <v>185.18</v>
      </c>
      <c r="C336" s="19">
        <v>3978234</v>
      </c>
    </row>
    <row r="337" spans="1:3" x14ac:dyDescent="0.25">
      <c r="A337" s="1">
        <v>41544</v>
      </c>
      <c r="B337">
        <v>186.92</v>
      </c>
      <c r="C337" s="19">
        <v>3907904</v>
      </c>
    </row>
    <row r="338" spans="1:3" x14ac:dyDescent="0.25">
      <c r="A338" s="1">
        <v>41543</v>
      </c>
      <c r="B338">
        <v>190.22</v>
      </c>
      <c r="C338" s="19">
        <v>2093584</v>
      </c>
    </row>
    <row r="339" spans="1:3" x14ac:dyDescent="0.25">
      <c r="A339" s="1">
        <v>41542</v>
      </c>
      <c r="B339">
        <v>189.47</v>
      </c>
      <c r="C339" s="19">
        <v>2654833</v>
      </c>
    </row>
    <row r="340" spans="1:3" x14ac:dyDescent="0.25">
      <c r="A340" s="1">
        <v>41541</v>
      </c>
      <c r="B340">
        <v>189.97</v>
      </c>
      <c r="C340" s="19">
        <v>3085242</v>
      </c>
    </row>
    <row r="341" spans="1:3" x14ac:dyDescent="0.25">
      <c r="A341" s="1">
        <v>41540</v>
      </c>
      <c r="B341">
        <v>190.99</v>
      </c>
      <c r="C341" s="19">
        <v>3340891</v>
      </c>
    </row>
    <row r="342" spans="1:3" x14ac:dyDescent="0.25">
      <c r="A342" s="1">
        <v>41537</v>
      </c>
      <c r="B342">
        <v>190.02</v>
      </c>
      <c r="C342" s="19">
        <v>8531193</v>
      </c>
    </row>
    <row r="343" spans="1:3" x14ac:dyDescent="0.25">
      <c r="A343" s="1">
        <v>41536</v>
      </c>
      <c r="B343">
        <v>193.39</v>
      </c>
      <c r="C343" s="19">
        <v>3178067</v>
      </c>
    </row>
    <row r="344" spans="1:3" x14ac:dyDescent="0.25">
      <c r="A344" s="1">
        <v>41535</v>
      </c>
      <c r="B344">
        <v>194.42</v>
      </c>
      <c r="C344" s="19">
        <v>3841926</v>
      </c>
    </row>
    <row r="345" spans="1:3" x14ac:dyDescent="0.25">
      <c r="A345" s="1">
        <v>41534</v>
      </c>
      <c r="B345">
        <v>192.16</v>
      </c>
      <c r="C345" s="19">
        <v>2931728</v>
      </c>
    </row>
    <row r="346" spans="1:3" x14ac:dyDescent="0.25">
      <c r="A346" s="1">
        <v>41533</v>
      </c>
      <c r="B346">
        <v>193.15</v>
      </c>
      <c r="C346" s="19">
        <v>3907186</v>
      </c>
    </row>
    <row r="347" spans="1:3" x14ac:dyDescent="0.25">
      <c r="A347" s="1">
        <v>41530</v>
      </c>
      <c r="B347">
        <v>192.17</v>
      </c>
      <c r="C347" s="19">
        <v>3710354</v>
      </c>
    </row>
    <row r="348" spans="1:3" x14ac:dyDescent="0.25">
      <c r="A348" s="1">
        <v>41529</v>
      </c>
      <c r="B348">
        <v>190.73</v>
      </c>
      <c r="C348" s="19">
        <v>3354845</v>
      </c>
    </row>
    <row r="349" spans="1:3" x14ac:dyDescent="0.25">
      <c r="A349" s="1">
        <v>41528</v>
      </c>
      <c r="B349">
        <v>190.7</v>
      </c>
      <c r="C349" s="19">
        <v>4963022</v>
      </c>
    </row>
    <row r="350" spans="1:3" x14ac:dyDescent="0.25">
      <c r="A350" s="1">
        <v>41527</v>
      </c>
      <c r="B350">
        <v>186.6</v>
      </c>
      <c r="C350" s="19">
        <v>3149830</v>
      </c>
    </row>
    <row r="351" spans="1:3" x14ac:dyDescent="0.25">
      <c r="A351" s="1">
        <v>41526</v>
      </c>
      <c r="B351">
        <v>184.98</v>
      </c>
      <c r="C351" s="19">
        <v>3017439</v>
      </c>
    </row>
    <row r="352" spans="1:3" x14ac:dyDescent="0.25">
      <c r="A352" s="1">
        <v>41523</v>
      </c>
      <c r="B352">
        <v>183.03</v>
      </c>
      <c r="C352" s="19">
        <v>2903717</v>
      </c>
    </row>
    <row r="353" spans="1:3" x14ac:dyDescent="0.25">
      <c r="A353" s="1">
        <v>41522</v>
      </c>
      <c r="B353">
        <v>184.15</v>
      </c>
      <c r="C353" s="19">
        <v>2869883</v>
      </c>
    </row>
    <row r="354" spans="1:3" x14ac:dyDescent="0.25">
      <c r="A354" s="1">
        <v>41521</v>
      </c>
      <c r="B354">
        <v>183.13</v>
      </c>
      <c r="C354" s="19">
        <v>2601909</v>
      </c>
    </row>
    <row r="355" spans="1:3" x14ac:dyDescent="0.25">
      <c r="A355" s="1">
        <v>41520</v>
      </c>
      <c r="B355">
        <v>183.96</v>
      </c>
      <c r="C355" s="19">
        <v>3487469</v>
      </c>
    </row>
    <row r="356" spans="1:3" x14ac:dyDescent="0.25">
      <c r="A356" s="1">
        <v>41516</v>
      </c>
      <c r="B356">
        <v>182.27</v>
      </c>
      <c r="C356" s="19">
        <v>2731141</v>
      </c>
    </row>
    <row r="357" spans="1:3" x14ac:dyDescent="0.25">
      <c r="A357" s="1">
        <v>41515</v>
      </c>
      <c r="B357">
        <v>182.64</v>
      </c>
      <c r="C357" s="19">
        <v>2981180</v>
      </c>
    </row>
    <row r="358" spans="1:3" x14ac:dyDescent="0.25">
      <c r="A358" s="1">
        <v>41514</v>
      </c>
      <c r="B358">
        <v>182.16</v>
      </c>
      <c r="C358" s="19">
        <v>3979196</v>
      </c>
    </row>
    <row r="359" spans="1:3" x14ac:dyDescent="0.25">
      <c r="A359" s="1">
        <v>41513</v>
      </c>
      <c r="B359">
        <v>182.74</v>
      </c>
      <c r="C359" s="19">
        <v>3190642</v>
      </c>
    </row>
    <row r="360" spans="1:3" x14ac:dyDescent="0.25">
      <c r="A360" s="1">
        <v>41512</v>
      </c>
      <c r="B360">
        <v>184.74</v>
      </c>
      <c r="C360" s="19">
        <v>2174908</v>
      </c>
    </row>
    <row r="361" spans="1:3" x14ac:dyDescent="0.25">
      <c r="A361" s="1">
        <v>41509</v>
      </c>
      <c r="B361">
        <v>185.42</v>
      </c>
      <c r="C361" s="19">
        <v>2295092</v>
      </c>
    </row>
    <row r="362" spans="1:3" x14ac:dyDescent="0.25">
      <c r="A362" s="1">
        <v>41508</v>
      </c>
      <c r="B362">
        <v>185.19</v>
      </c>
      <c r="C362" s="19">
        <v>2354836</v>
      </c>
    </row>
    <row r="363" spans="1:3" x14ac:dyDescent="0.25">
      <c r="A363" s="1">
        <v>41507</v>
      </c>
      <c r="B363">
        <v>184.86</v>
      </c>
      <c r="C363" s="19">
        <v>3551207</v>
      </c>
    </row>
    <row r="364" spans="1:3" x14ac:dyDescent="0.25">
      <c r="A364" s="1">
        <v>41506</v>
      </c>
      <c r="B364">
        <v>184.56</v>
      </c>
      <c r="C364" s="19">
        <v>3122098</v>
      </c>
    </row>
    <row r="365" spans="1:3" x14ac:dyDescent="0.25">
      <c r="A365" s="1">
        <v>41505</v>
      </c>
      <c r="B365">
        <v>184.23</v>
      </c>
      <c r="C365" s="19">
        <v>3251127</v>
      </c>
    </row>
    <row r="366" spans="1:3" x14ac:dyDescent="0.25">
      <c r="A366" s="1">
        <v>41502</v>
      </c>
      <c r="B366">
        <v>185.34</v>
      </c>
      <c r="C366" s="19">
        <v>3427964</v>
      </c>
    </row>
    <row r="367" spans="1:3" x14ac:dyDescent="0.25">
      <c r="A367" s="1">
        <v>41501</v>
      </c>
      <c r="B367">
        <v>185.79</v>
      </c>
      <c r="C367" s="19">
        <v>3692360</v>
      </c>
    </row>
    <row r="368" spans="1:3" x14ac:dyDescent="0.25">
      <c r="A368" s="1">
        <v>41500</v>
      </c>
      <c r="B368">
        <v>187.53</v>
      </c>
      <c r="C368" s="19">
        <v>2899115</v>
      </c>
    </row>
    <row r="369" spans="1:3" x14ac:dyDescent="0.25">
      <c r="A369" s="1">
        <v>41499</v>
      </c>
      <c r="B369">
        <v>188.42</v>
      </c>
      <c r="C369" s="19">
        <v>3542932</v>
      </c>
    </row>
    <row r="370" spans="1:3" x14ac:dyDescent="0.25">
      <c r="A370" s="1">
        <v>41498</v>
      </c>
      <c r="B370">
        <v>189.09</v>
      </c>
      <c r="C370" s="19">
        <v>3026839</v>
      </c>
    </row>
    <row r="371" spans="1:3" x14ac:dyDescent="0.25">
      <c r="A371" s="1">
        <v>41495</v>
      </c>
      <c r="B371">
        <v>187.82</v>
      </c>
      <c r="C371" s="19">
        <v>3250000</v>
      </c>
    </row>
    <row r="372" spans="1:3" x14ac:dyDescent="0.25">
      <c r="A372" s="1">
        <v>41494</v>
      </c>
      <c r="B372">
        <v>187.93</v>
      </c>
      <c r="C372" s="19">
        <v>4547756</v>
      </c>
    </row>
    <row r="373" spans="1:3" x14ac:dyDescent="0.25">
      <c r="A373" s="1">
        <v>41493</v>
      </c>
      <c r="B373">
        <v>188.56</v>
      </c>
      <c r="C373" s="19">
        <v>3901716</v>
      </c>
    </row>
    <row r="374" spans="1:3" x14ac:dyDescent="0.25">
      <c r="A374" s="1">
        <v>41492</v>
      </c>
      <c r="B374">
        <v>190.99</v>
      </c>
      <c r="C374" s="19">
        <v>5939557</v>
      </c>
    </row>
    <row r="375" spans="1:3" x14ac:dyDescent="0.25">
      <c r="A375" s="1">
        <v>41491</v>
      </c>
      <c r="B375">
        <v>195.5</v>
      </c>
      <c r="C375" s="19">
        <v>2492663</v>
      </c>
    </row>
    <row r="376" spans="1:3" x14ac:dyDescent="0.25">
      <c r="A376" s="1">
        <v>41488</v>
      </c>
      <c r="B376">
        <v>195.16</v>
      </c>
      <c r="C376" s="19">
        <v>3873908</v>
      </c>
    </row>
    <row r="377" spans="1:3" x14ac:dyDescent="0.25">
      <c r="A377" s="1">
        <v>41487</v>
      </c>
      <c r="B377">
        <v>195.81</v>
      </c>
      <c r="C377" s="19">
        <v>2877770</v>
      </c>
    </row>
    <row r="378" spans="1:3" x14ac:dyDescent="0.25">
      <c r="A378" s="1">
        <v>41486</v>
      </c>
      <c r="B378">
        <v>195.04</v>
      </c>
      <c r="C378" s="19">
        <v>3809982</v>
      </c>
    </row>
    <row r="379" spans="1:3" x14ac:dyDescent="0.25">
      <c r="A379" s="1">
        <v>41485</v>
      </c>
      <c r="B379">
        <v>196.01</v>
      </c>
      <c r="C379" s="19">
        <v>2663216</v>
      </c>
    </row>
    <row r="380" spans="1:3" x14ac:dyDescent="0.25">
      <c r="A380" s="1">
        <v>41484</v>
      </c>
      <c r="B380">
        <v>196.21</v>
      </c>
      <c r="C380" s="19">
        <v>2113754</v>
      </c>
    </row>
    <row r="381" spans="1:3" x14ac:dyDescent="0.25">
      <c r="A381" s="1">
        <v>41481</v>
      </c>
      <c r="B381">
        <v>197.35</v>
      </c>
      <c r="C381" s="19">
        <v>2485006</v>
      </c>
    </row>
    <row r="382" spans="1:3" x14ac:dyDescent="0.25">
      <c r="A382" s="1">
        <v>41480</v>
      </c>
      <c r="B382">
        <v>197.22</v>
      </c>
      <c r="C382" s="19">
        <v>3014255</v>
      </c>
    </row>
    <row r="383" spans="1:3" x14ac:dyDescent="0.25">
      <c r="A383" s="1">
        <v>41479</v>
      </c>
      <c r="B383">
        <v>196.61</v>
      </c>
      <c r="C383" s="19">
        <v>2958239</v>
      </c>
    </row>
    <row r="384" spans="1:3" x14ac:dyDescent="0.25">
      <c r="A384" s="1">
        <v>41478</v>
      </c>
      <c r="B384">
        <v>194.98</v>
      </c>
      <c r="C384" s="19">
        <v>2864114</v>
      </c>
    </row>
    <row r="385" spans="1:3" x14ac:dyDescent="0.25">
      <c r="A385" s="1">
        <v>41477</v>
      </c>
      <c r="B385">
        <v>194.09</v>
      </c>
      <c r="C385" s="19">
        <v>3399461</v>
      </c>
    </row>
    <row r="386" spans="1:3" x14ac:dyDescent="0.25">
      <c r="A386" s="1">
        <v>41474</v>
      </c>
      <c r="B386">
        <v>193.54</v>
      </c>
      <c r="C386" s="19">
        <v>6998591</v>
      </c>
    </row>
    <row r="387" spans="1:3" x14ac:dyDescent="0.25">
      <c r="A387" s="1">
        <v>41473</v>
      </c>
      <c r="B387">
        <v>197.99</v>
      </c>
      <c r="C387" s="19">
        <v>8394310</v>
      </c>
    </row>
    <row r="388" spans="1:3" x14ac:dyDescent="0.25">
      <c r="A388" s="1">
        <v>41472</v>
      </c>
      <c r="B388">
        <v>194.55</v>
      </c>
      <c r="C388" s="19">
        <v>6868411</v>
      </c>
    </row>
    <row r="389" spans="1:3" x14ac:dyDescent="0.25">
      <c r="A389" s="1">
        <v>41471</v>
      </c>
      <c r="B389">
        <v>193.85</v>
      </c>
      <c r="C389" s="19">
        <v>3747394</v>
      </c>
    </row>
    <row r="390" spans="1:3" x14ac:dyDescent="0.25">
      <c r="A390" s="1">
        <v>41470</v>
      </c>
      <c r="B390">
        <v>194</v>
      </c>
      <c r="C390" s="19">
        <v>5678238</v>
      </c>
    </row>
    <row r="391" spans="1:3" x14ac:dyDescent="0.25">
      <c r="A391" s="1">
        <v>41467</v>
      </c>
      <c r="B391">
        <v>192.07</v>
      </c>
      <c r="C391" s="19">
        <v>4495892</v>
      </c>
    </row>
    <row r="392" spans="1:3" x14ac:dyDescent="0.25">
      <c r="A392" s="1">
        <v>41466</v>
      </c>
      <c r="B392">
        <v>192.8</v>
      </c>
      <c r="C392" s="19">
        <v>4179123</v>
      </c>
    </row>
    <row r="393" spans="1:3" x14ac:dyDescent="0.25">
      <c r="A393" s="1">
        <v>41465</v>
      </c>
      <c r="B393">
        <v>192.25</v>
      </c>
      <c r="C393" s="19">
        <v>3891960</v>
      </c>
    </row>
    <row r="394" spans="1:3" x14ac:dyDescent="0.25">
      <c r="A394" s="1">
        <v>41464</v>
      </c>
      <c r="B394">
        <v>191.3</v>
      </c>
      <c r="C394" s="19">
        <v>5204685</v>
      </c>
    </row>
    <row r="395" spans="1:3" x14ac:dyDescent="0.25">
      <c r="A395" s="1">
        <v>41463</v>
      </c>
      <c r="B395">
        <v>194.98</v>
      </c>
      <c r="C395" s="19">
        <v>2948458</v>
      </c>
    </row>
    <row r="396" spans="1:3" x14ac:dyDescent="0.25">
      <c r="A396" s="1">
        <v>41460</v>
      </c>
      <c r="B396">
        <v>194.93</v>
      </c>
      <c r="C396" s="19">
        <v>2407971</v>
      </c>
    </row>
    <row r="397" spans="1:3" x14ac:dyDescent="0.25">
      <c r="A397" s="1">
        <v>41458</v>
      </c>
      <c r="B397">
        <v>193.25</v>
      </c>
      <c r="C397" s="19">
        <v>1878313</v>
      </c>
    </row>
    <row r="398" spans="1:3" x14ac:dyDescent="0.25">
      <c r="A398" s="1">
        <v>41457</v>
      </c>
      <c r="B398">
        <v>191.5</v>
      </c>
      <c r="C398" s="19">
        <v>3657855</v>
      </c>
    </row>
    <row r="399" spans="1:3" x14ac:dyDescent="0.25">
      <c r="A399" s="1">
        <v>41456</v>
      </c>
      <c r="B399">
        <v>191.28</v>
      </c>
      <c r="C399" s="19">
        <v>4442422</v>
      </c>
    </row>
    <row r="400" spans="1:3" x14ac:dyDescent="0.25">
      <c r="A400" s="1">
        <v>41453</v>
      </c>
      <c r="B400">
        <v>191.11</v>
      </c>
      <c r="C400" s="19">
        <v>10056860</v>
      </c>
    </row>
    <row r="401" spans="1:3" x14ac:dyDescent="0.25">
      <c r="A401" s="1">
        <v>41452</v>
      </c>
      <c r="B401">
        <v>195.65</v>
      </c>
      <c r="C401" s="19">
        <v>3519332</v>
      </c>
    </row>
    <row r="402" spans="1:3" x14ac:dyDescent="0.25">
      <c r="A402" s="1">
        <v>41451</v>
      </c>
      <c r="B402">
        <v>194.86</v>
      </c>
      <c r="C402" s="19">
        <v>3320202</v>
      </c>
    </row>
    <row r="403" spans="1:3" x14ac:dyDescent="0.25">
      <c r="A403" s="1">
        <v>41450</v>
      </c>
      <c r="B403">
        <v>194.98</v>
      </c>
      <c r="C403" s="19">
        <v>3848021</v>
      </c>
    </row>
    <row r="404" spans="1:3" x14ac:dyDescent="0.25">
      <c r="A404" s="1">
        <v>41449</v>
      </c>
      <c r="B404">
        <v>193.54</v>
      </c>
      <c r="C404" s="19">
        <v>4356153</v>
      </c>
    </row>
    <row r="405" spans="1:3" x14ac:dyDescent="0.25">
      <c r="A405" s="1">
        <v>41446</v>
      </c>
      <c r="B405">
        <v>195.46</v>
      </c>
      <c r="C405" s="19">
        <v>8919218</v>
      </c>
    </row>
    <row r="406" spans="1:3" x14ac:dyDescent="0.25">
      <c r="A406" s="1">
        <v>41445</v>
      </c>
      <c r="B406">
        <v>197.35</v>
      </c>
      <c r="C406" s="19">
        <v>4516329</v>
      </c>
    </row>
    <row r="407" spans="1:3" x14ac:dyDescent="0.25">
      <c r="A407" s="1">
        <v>41444</v>
      </c>
      <c r="B407">
        <v>201.94</v>
      </c>
      <c r="C407" s="19">
        <v>2846204</v>
      </c>
    </row>
    <row r="408" spans="1:3" x14ac:dyDescent="0.25">
      <c r="A408" s="1">
        <v>41443</v>
      </c>
      <c r="B408">
        <v>204.87</v>
      </c>
      <c r="C408" s="19">
        <v>3278151</v>
      </c>
    </row>
    <row r="409" spans="1:3" x14ac:dyDescent="0.25">
      <c r="A409" s="1">
        <v>41442</v>
      </c>
      <c r="B409">
        <v>203.04</v>
      </c>
      <c r="C409" s="19">
        <v>3220009</v>
      </c>
    </row>
    <row r="410" spans="1:3" x14ac:dyDescent="0.25">
      <c r="A410" s="1">
        <v>41439</v>
      </c>
      <c r="B410">
        <v>202.2</v>
      </c>
      <c r="C410" s="19">
        <v>2804859</v>
      </c>
    </row>
    <row r="411" spans="1:3" x14ac:dyDescent="0.25">
      <c r="A411" s="1">
        <v>41438</v>
      </c>
      <c r="B411">
        <v>203.77</v>
      </c>
      <c r="C411" s="19">
        <v>2899698</v>
      </c>
    </row>
    <row r="412" spans="1:3" x14ac:dyDescent="0.25">
      <c r="A412" s="1">
        <v>41437</v>
      </c>
      <c r="B412">
        <v>201.2</v>
      </c>
      <c r="C412" s="19">
        <v>3409855</v>
      </c>
    </row>
    <row r="413" spans="1:3" x14ac:dyDescent="0.25">
      <c r="A413" s="1">
        <v>41436</v>
      </c>
      <c r="B413">
        <v>203.98</v>
      </c>
      <c r="C413" s="19">
        <v>2814520</v>
      </c>
    </row>
    <row r="414" spans="1:3" x14ac:dyDescent="0.25">
      <c r="A414" s="1">
        <v>41435</v>
      </c>
      <c r="B414">
        <v>205.02</v>
      </c>
      <c r="C414" s="19">
        <v>2652420</v>
      </c>
    </row>
    <row r="415" spans="1:3" x14ac:dyDescent="0.25">
      <c r="A415" s="1">
        <v>41432</v>
      </c>
      <c r="B415">
        <v>206.35</v>
      </c>
      <c r="C415" s="19">
        <v>2953540</v>
      </c>
    </row>
    <row r="416" spans="1:3" x14ac:dyDescent="0.25">
      <c r="A416" s="1">
        <v>41431</v>
      </c>
      <c r="B416">
        <v>203.8</v>
      </c>
      <c r="C416" s="19">
        <v>3679532</v>
      </c>
    </row>
    <row r="417" spans="1:3" x14ac:dyDescent="0.25">
      <c r="A417" s="1">
        <v>41430</v>
      </c>
      <c r="B417">
        <v>202.74</v>
      </c>
      <c r="C417" s="19">
        <v>4215365</v>
      </c>
    </row>
    <row r="418" spans="1:3" x14ac:dyDescent="0.25">
      <c r="A418" s="1">
        <v>41429</v>
      </c>
      <c r="B418">
        <v>206.19</v>
      </c>
      <c r="C418" s="19">
        <v>3598659</v>
      </c>
    </row>
    <row r="419" spans="1:3" x14ac:dyDescent="0.25">
      <c r="A419" s="1">
        <v>41428</v>
      </c>
      <c r="B419">
        <v>208.95</v>
      </c>
      <c r="C419" s="19">
        <v>3323648</v>
      </c>
    </row>
    <row r="420" spans="1:3" x14ac:dyDescent="0.25">
      <c r="A420" s="1">
        <v>41425</v>
      </c>
      <c r="B420">
        <v>208.02</v>
      </c>
      <c r="C420" s="19">
        <v>4950406</v>
      </c>
    </row>
    <row r="421" spans="1:3" x14ac:dyDescent="0.25">
      <c r="A421" s="1">
        <v>41424</v>
      </c>
      <c r="B421">
        <v>209.36</v>
      </c>
      <c r="C421" s="19">
        <v>4400197</v>
      </c>
    </row>
    <row r="422" spans="1:3" x14ac:dyDescent="0.25">
      <c r="A422" s="1">
        <v>41423</v>
      </c>
      <c r="B422">
        <v>207.92</v>
      </c>
      <c r="C422" s="19">
        <v>3439413</v>
      </c>
    </row>
    <row r="423" spans="1:3" x14ac:dyDescent="0.25">
      <c r="A423" s="1">
        <v>41422</v>
      </c>
      <c r="B423">
        <v>207.78</v>
      </c>
      <c r="C423" s="19">
        <v>4011700</v>
      </c>
    </row>
    <row r="424" spans="1:3" x14ac:dyDescent="0.25">
      <c r="A424" s="1">
        <v>41418</v>
      </c>
      <c r="B424">
        <v>205.72</v>
      </c>
      <c r="C424" s="19">
        <v>3295737</v>
      </c>
    </row>
    <row r="425" spans="1:3" x14ac:dyDescent="0.25">
      <c r="A425" s="1">
        <v>41417</v>
      </c>
      <c r="B425">
        <v>206.16</v>
      </c>
      <c r="C425" s="19">
        <v>5180440</v>
      </c>
    </row>
    <row r="426" spans="1:3" x14ac:dyDescent="0.25">
      <c r="A426" s="1">
        <v>41416</v>
      </c>
      <c r="B426">
        <v>206.99</v>
      </c>
      <c r="C426" s="19">
        <v>5187131</v>
      </c>
    </row>
    <row r="427" spans="1:3" x14ac:dyDescent="0.25">
      <c r="A427" s="1">
        <v>41415</v>
      </c>
      <c r="B427">
        <v>208.65</v>
      </c>
      <c r="C427" s="19">
        <v>2982927</v>
      </c>
    </row>
    <row r="428" spans="1:3" x14ac:dyDescent="0.25">
      <c r="A428" s="1">
        <v>41414</v>
      </c>
      <c r="B428">
        <v>207.6</v>
      </c>
      <c r="C428" s="19">
        <v>3614453</v>
      </c>
    </row>
    <row r="429" spans="1:3" x14ac:dyDescent="0.25">
      <c r="A429" s="1">
        <v>41411</v>
      </c>
      <c r="B429">
        <v>208.44</v>
      </c>
      <c r="C429" s="19">
        <v>5704295</v>
      </c>
    </row>
    <row r="430" spans="1:3" x14ac:dyDescent="0.25">
      <c r="A430" s="1">
        <v>41410</v>
      </c>
      <c r="B430">
        <v>204.69</v>
      </c>
      <c r="C430" s="19">
        <v>4506972</v>
      </c>
    </row>
    <row r="431" spans="1:3" x14ac:dyDescent="0.25">
      <c r="A431" s="1">
        <v>41409</v>
      </c>
      <c r="B431">
        <v>203.32</v>
      </c>
      <c r="C431" s="19">
        <v>4030080</v>
      </c>
    </row>
    <row r="432" spans="1:3" x14ac:dyDescent="0.25">
      <c r="A432" s="1">
        <v>41408</v>
      </c>
      <c r="B432">
        <v>203.21</v>
      </c>
      <c r="C432" s="19">
        <v>3701203</v>
      </c>
    </row>
    <row r="433" spans="1:3" x14ac:dyDescent="0.25">
      <c r="A433" s="1">
        <v>41407</v>
      </c>
      <c r="B433">
        <v>202.47</v>
      </c>
      <c r="C433" s="19">
        <v>3651831</v>
      </c>
    </row>
    <row r="434" spans="1:3" x14ac:dyDescent="0.25">
      <c r="A434" s="1">
        <v>41404</v>
      </c>
      <c r="B434">
        <v>204.47</v>
      </c>
      <c r="C434" s="19">
        <v>3279558</v>
      </c>
    </row>
    <row r="435" spans="1:3" x14ac:dyDescent="0.25">
      <c r="A435" s="1">
        <v>41403</v>
      </c>
      <c r="B435">
        <v>203.24</v>
      </c>
      <c r="C435" s="19">
        <v>3542923</v>
      </c>
    </row>
    <row r="436" spans="1:3" x14ac:dyDescent="0.25">
      <c r="A436" s="1">
        <v>41402</v>
      </c>
      <c r="B436">
        <v>204.82</v>
      </c>
      <c r="C436" s="19">
        <v>3602292</v>
      </c>
    </row>
    <row r="437" spans="1:3" x14ac:dyDescent="0.25">
      <c r="A437" s="1">
        <v>41401</v>
      </c>
      <c r="B437">
        <v>203.63</v>
      </c>
      <c r="C437" s="19">
        <v>3450976</v>
      </c>
    </row>
    <row r="438" spans="1:3" x14ac:dyDescent="0.25">
      <c r="A438" s="1">
        <v>41400</v>
      </c>
      <c r="B438">
        <v>202.78</v>
      </c>
      <c r="C438" s="19">
        <v>4827188</v>
      </c>
    </row>
    <row r="439" spans="1:3" x14ac:dyDescent="0.25">
      <c r="A439" s="1">
        <v>41397</v>
      </c>
      <c r="B439">
        <v>204.51</v>
      </c>
      <c r="C439" s="19">
        <v>4494744</v>
      </c>
    </row>
    <row r="440" spans="1:3" x14ac:dyDescent="0.25">
      <c r="A440" s="1">
        <v>41396</v>
      </c>
      <c r="B440">
        <v>202.39</v>
      </c>
      <c r="C440" s="19">
        <v>3946539</v>
      </c>
    </row>
    <row r="441" spans="1:3" x14ac:dyDescent="0.25">
      <c r="A441" s="1">
        <v>41395</v>
      </c>
      <c r="B441">
        <v>199.63</v>
      </c>
      <c r="C441" s="19">
        <v>4899267</v>
      </c>
    </row>
    <row r="442" spans="1:3" x14ac:dyDescent="0.25">
      <c r="A442" s="1">
        <v>41394</v>
      </c>
      <c r="B442">
        <v>202.54</v>
      </c>
      <c r="C442" s="19">
        <v>7540835</v>
      </c>
    </row>
    <row r="443" spans="1:3" x14ac:dyDescent="0.25">
      <c r="A443" s="1">
        <v>41393</v>
      </c>
      <c r="B443">
        <v>199.15</v>
      </c>
      <c r="C443" s="19">
        <v>5937395</v>
      </c>
    </row>
    <row r="444" spans="1:3" x14ac:dyDescent="0.25">
      <c r="A444" s="1">
        <v>41390</v>
      </c>
      <c r="B444">
        <v>194.31</v>
      </c>
      <c r="C444" s="19">
        <v>3490234</v>
      </c>
    </row>
    <row r="445" spans="1:3" x14ac:dyDescent="0.25">
      <c r="A445" s="1">
        <v>41389</v>
      </c>
      <c r="B445">
        <v>193.95</v>
      </c>
      <c r="C445" s="19">
        <v>4651956</v>
      </c>
    </row>
    <row r="446" spans="1:3" x14ac:dyDescent="0.25">
      <c r="A446" s="1">
        <v>41388</v>
      </c>
      <c r="B446">
        <v>191.71</v>
      </c>
      <c r="C446" s="19">
        <v>3694008</v>
      </c>
    </row>
    <row r="447" spans="1:3" x14ac:dyDescent="0.25">
      <c r="A447" s="1">
        <v>41387</v>
      </c>
      <c r="B447">
        <v>191.61</v>
      </c>
      <c r="C447" s="19">
        <v>6301279</v>
      </c>
    </row>
    <row r="448" spans="1:3" x14ac:dyDescent="0.25">
      <c r="A448" s="1">
        <v>41386</v>
      </c>
      <c r="B448">
        <v>187.83</v>
      </c>
      <c r="C448" s="19">
        <v>9847065</v>
      </c>
    </row>
    <row r="449" spans="1:3" x14ac:dyDescent="0.25">
      <c r="A449" s="1">
        <v>41383</v>
      </c>
      <c r="B449">
        <v>190</v>
      </c>
      <c r="C449" s="19">
        <v>18848880</v>
      </c>
    </row>
    <row r="450" spans="1:3" x14ac:dyDescent="0.25">
      <c r="A450" s="1">
        <v>41382</v>
      </c>
      <c r="B450">
        <v>207.15</v>
      </c>
      <c r="C450" s="19">
        <v>6501970</v>
      </c>
    </row>
    <row r="451" spans="1:3" x14ac:dyDescent="0.25">
      <c r="A451" s="1">
        <v>41381</v>
      </c>
      <c r="B451">
        <v>209.67</v>
      </c>
      <c r="C451" s="19">
        <v>3269874</v>
      </c>
    </row>
    <row r="452" spans="1:3" x14ac:dyDescent="0.25">
      <c r="A452" s="1">
        <v>41380</v>
      </c>
      <c r="B452">
        <v>212</v>
      </c>
      <c r="C452" s="19">
        <v>2860054</v>
      </c>
    </row>
    <row r="453" spans="1:3" x14ac:dyDescent="0.25">
      <c r="A453" s="1">
        <v>41379</v>
      </c>
      <c r="B453">
        <v>209.26</v>
      </c>
      <c r="C453" s="19">
        <v>4218575</v>
      </c>
    </row>
    <row r="454" spans="1:3" x14ac:dyDescent="0.25">
      <c r="A454" s="1">
        <v>41376</v>
      </c>
      <c r="B454">
        <v>211.38</v>
      </c>
      <c r="C454" s="19">
        <v>3165897</v>
      </c>
    </row>
    <row r="455" spans="1:3" x14ac:dyDescent="0.25">
      <c r="A455" s="1">
        <v>41375</v>
      </c>
      <c r="B455">
        <v>212.92</v>
      </c>
      <c r="C455" s="19">
        <v>3655566</v>
      </c>
    </row>
    <row r="456" spans="1:3" x14ac:dyDescent="0.25">
      <c r="A456" s="1">
        <v>41374</v>
      </c>
      <c r="B456">
        <v>212</v>
      </c>
      <c r="C456" s="19">
        <v>3524112</v>
      </c>
    </row>
    <row r="457" spans="1:3" x14ac:dyDescent="0.25">
      <c r="A457" s="1">
        <v>41373</v>
      </c>
      <c r="B457">
        <v>209.22</v>
      </c>
      <c r="C457" s="19">
        <v>2577249</v>
      </c>
    </row>
    <row r="458" spans="1:3" x14ac:dyDescent="0.25">
      <c r="A458" s="1">
        <v>41372</v>
      </c>
      <c r="B458">
        <v>209.32</v>
      </c>
      <c r="C458" s="19">
        <v>2351166</v>
      </c>
    </row>
    <row r="459" spans="1:3" x14ac:dyDescent="0.25">
      <c r="A459" s="1">
        <v>41369</v>
      </c>
      <c r="B459">
        <v>209.41</v>
      </c>
      <c r="C459" s="19">
        <v>4148177</v>
      </c>
    </row>
    <row r="460" spans="1:3" x14ac:dyDescent="0.25">
      <c r="A460" s="1">
        <v>41368</v>
      </c>
      <c r="B460">
        <v>211.31</v>
      </c>
      <c r="C460" s="19">
        <v>3709490</v>
      </c>
    </row>
    <row r="461" spans="1:3" x14ac:dyDescent="0.25">
      <c r="A461" s="1">
        <v>41367</v>
      </c>
      <c r="B461">
        <v>212.66</v>
      </c>
      <c r="C461" s="19">
        <v>3128818</v>
      </c>
    </row>
    <row r="462" spans="1:3" x14ac:dyDescent="0.25">
      <c r="A462" s="1">
        <v>41366</v>
      </c>
      <c r="B462">
        <v>214.36</v>
      </c>
      <c r="C462" s="19">
        <v>3117150</v>
      </c>
    </row>
    <row r="463" spans="1:3" x14ac:dyDescent="0.25">
      <c r="A463" s="1">
        <v>41365</v>
      </c>
      <c r="B463">
        <v>212.38</v>
      </c>
      <c r="C463" s="19">
        <v>2144926</v>
      </c>
    </row>
    <row r="464" spans="1:3" x14ac:dyDescent="0.25">
      <c r="A464" s="1">
        <v>41361</v>
      </c>
      <c r="B464">
        <v>213.3</v>
      </c>
      <c r="C464" s="19">
        <v>3752999</v>
      </c>
    </row>
    <row r="465" spans="1:3" x14ac:dyDescent="0.25">
      <c r="A465" s="1">
        <v>41360</v>
      </c>
      <c r="B465">
        <v>210.89</v>
      </c>
      <c r="C465" s="19">
        <v>3223381</v>
      </c>
    </row>
    <row r="466" spans="1:3" x14ac:dyDescent="0.25">
      <c r="A466" s="1">
        <v>41359</v>
      </c>
      <c r="B466">
        <v>212.36</v>
      </c>
      <c r="C466" s="19">
        <v>2300240</v>
      </c>
    </row>
    <row r="467" spans="1:3" x14ac:dyDescent="0.25">
      <c r="A467" s="1">
        <v>41358</v>
      </c>
      <c r="B467">
        <v>210.74</v>
      </c>
      <c r="C467" s="19">
        <v>3242463</v>
      </c>
    </row>
    <row r="468" spans="1:3" x14ac:dyDescent="0.25">
      <c r="A468" s="1">
        <v>41355</v>
      </c>
      <c r="B468">
        <v>212.08</v>
      </c>
      <c r="C468" s="19">
        <v>3031457</v>
      </c>
    </row>
    <row r="469" spans="1:3" x14ac:dyDescent="0.25">
      <c r="A469" s="1">
        <v>41354</v>
      </c>
      <c r="B469">
        <v>212.26</v>
      </c>
      <c r="C469" s="19">
        <v>5830566</v>
      </c>
    </row>
    <row r="470" spans="1:3" x14ac:dyDescent="0.25">
      <c r="A470" s="1">
        <v>41353</v>
      </c>
      <c r="B470">
        <v>215.06</v>
      </c>
      <c r="C470" s="19">
        <v>3020648</v>
      </c>
    </row>
    <row r="471" spans="1:3" x14ac:dyDescent="0.25">
      <c r="A471" s="1">
        <v>41352</v>
      </c>
      <c r="B471">
        <v>213.44</v>
      </c>
      <c r="C471" s="19">
        <v>3198877</v>
      </c>
    </row>
    <row r="472" spans="1:3" x14ac:dyDescent="0.25">
      <c r="A472" s="1">
        <v>41351</v>
      </c>
      <c r="B472">
        <v>213.21</v>
      </c>
      <c r="C472" s="19">
        <v>3006125</v>
      </c>
    </row>
    <row r="473" spans="1:3" x14ac:dyDescent="0.25">
      <c r="A473" s="1">
        <v>41348</v>
      </c>
      <c r="B473">
        <v>214.92</v>
      </c>
      <c r="C473" s="19">
        <v>7937244</v>
      </c>
    </row>
    <row r="474" spans="1:3" x14ac:dyDescent="0.25">
      <c r="A474" s="1">
        <v>41347</v>
      </c>
      <c r="B474">
        <v>215.8</v>
      </c>
      <c r="C474" s="19">
        <v>5506969</v>
      </c>
    </row>
    <row r="475" spans="1:3" x14ac:dyDescent="0.25">
      <c r="A475" s="1">
        <v>41346</v>
      </c>
      <c r="B475">
        <v>212.06</v>
      </c>
      <c r="C475" s="19">
        <v>3357146</v>
      </c>
    </row>
    <row r="476" spans="1:3" x14ac:dyDescent="0.25">
      <c r="A476" s="1">
        <v>41345</v>
      </c>
      <c r="B476">
        <v>210.55</v>
      </c>
      <c r="C476" s="19">
        <v>3592096</v>
      </c>
    </row>
    <row r="477" spans="1:3" x14ac:dyDescent="0.25">
      <c r="A477" s="1">
        <v>41344</v>
      </c>
      <c r="B477">
        <v>210.08</v>
      </c>
      <c r="C477" s="19">
        <v>3049701</v>
      </c>
    </row>
    <row r="478" spans="1:3" x14ac:dyDescent="0.25">
      <c r="A478" s="1">
        <v>41341</v>
      </c>
      <c r="B478">
        <v>210.38</v>
      </c>
      <c r="C478" s="19">
        <v>3700986</v>
      </c>
    </row>
    <row r="479" spans="1:3" x14ac:dyDescent="0.25">
      <c r="A479" s="1">
        <v>41340</v>
      </c>
      <c r="B479">
        <v>209.42</v>
      </c>
      <c r="C479" s="19">
        <v>3884317</v>
      </c>
    </row>
    <row r="480" spans="1:3" x14ac:dyDescent="0.25">
      <c r="A480" s="1">
        <v>41339</v>
      </c>
      <c r="B480">
        <v>208.38</v>
      </c>
      <c r="C480" s="19">
        <v>3594899</v>
      </c>
    </row>
    <row r="481" spans="1:3" x14ac:dyDescent="0.25">
      <c r="A481" s="1">
        <v>41338</v>
      </c>
      <c r="B481">
        <v>206.53</v>
      </c>
      <c r="C481" s="19">
        <v>3807706</v>
      </c>
    </row>
    <row r="482" spans="1:3" x14ac:dyDescent="0.25">
      <c r="A482" s="1">
        <v>41337</v>
      </c>
      <c r="B482">
        <v>205.19</v>
      </c>
      <c r="C482" s="19">
        <v>3693365</v>
      </c>
    </row>
    <row r="483" spans="1:3" x14ac:dyDescent="0.25">
      <c r="A483" s="1">
        <v>41334</v>
      </c>
      <c r="B483">
        <v>202.91</v>
      </c>
      <c r="C483" s="19">
        <v>3309434</v>
      </c>
    </row>
    <row r="484" spans="1:3" x14ac:dyDescent="0.25">
      <c r="A484" s="1">
        <v>41333</v>
      </c>
      <c r="B484">
        <v>200.83</v>
      </c>
      <c r="C484" s="19">
        <v>4689998</v>
      </c>
    </row>
    <row r="485" spans="1:3" x14ac:dyDescent="0.25">
      <c r="A485" s="1">
        <v>41332</v>
      </c>
      <c r="B485">
        <v>202.33</v>
      </c>
      <c r="C485" s="19">
        <v>4185545</v>
      </c>
    </row>
    <row r="486" spans="1:3" x14ac:dyDescent="0.25">
      <c r="A486" s="1">
        <v>41331</v>
      </c>
      <c r="B486">
        <v>199.14</v>
      </c>
      <c r="C486" s="19">
        <v>3391562</v>
      </c>
    </row>
    <row r="487" spans="1:3" x14ac:dyDescent="0.25">
      <c r="A487" s="1">
        <v>41330</v>
      </c>
      <c r="B487">
        <v>197.51</v>
      </c>
      <c r="C487" s="19">
        <v>3847976</v>
      </c>
    </row>
    <row r="488" spans="1:3" x14ac:dyDescent="0.25">
      <c r="A488" s="1">
        <v>41327</v>
      </c>
      <c r="B488">
        <v>201.09</v>
      </c>
      <c r="C488" s="19">
        <v>3107976</v>
      </c>
    </row>
    <row r="489" spans="1:3" x14ac:dyDescent="0.25">
      <c r="A489" s="1">
        <v>41326</v>
      </c>
      <c r="B489">
        <v>198.33</v>
      </c>
      <c r="C489" s="19">
        <v>3923051</v>
      </c>
    </row>
    <row r="490" spans="1:3" x14ac:dyDescent="0.25">
      <c r="A490" s="1">
        <v>41325</v>
      </c>
      <c r="B490">
        <v>199.31</v>
      </c>
      <c r="C490" s="19">
        <v>3715411</v>
      </c>
    </row>
    <row r="491" spans="1:3" x14ac:dyDescent="0.25">
      <c r="A491" s="1">
        <v>41324</v>
      </c>
      <c r="B491">
        <v>200.32</v>
      </c>
      <c r="C491" s="19">
        <v>2998317</v>
      </c>
    </row>
    <row r="492" spans="1:3" x14ac:dyDescent="0.25">
      <c r="A492" s="1">
        <v>41320</v>
      </c>
      <c r="B492">
        <v>200.98</v>
      </c>
      <c r="C492" s="19">
        <v>3627887</v>
      </c>
    </row>
    <row r="493" spans="1:3" x14ac:dyDescent="0.25">
      <c r="A493" s="1">
        <v>41319</v>
      </c>
      <c r="B493">
        <v>199.65</v>
      </c>
      <c r="C493" s="19">
        <v>3294126</v>
      </c>
    </row>
    <row r="494" spans="1:3" x14ac:dyDescent="0.25">
      <c r="A494" s="1">
        <v>41318</v>
      </c>
      <c r="B494">
        <v>200.09</v>
      </c>
      <c r="C494" s="19">
        <v>2169757</v>
      </c>
    </row>
    <row r="495" spans="1:3" x14ac:dyDescent="0.25">
      <c r="A495" s="1">
        <v>41317</v>
      </c>
      <c r="B495">
        <v>200.04</v>
      </c>
      <c r="C495" s="19">
        <v>2461779</v>
      </c>
    </row>
    <row r="496" spans="1:3" x14ac:dyDescent="0.25">
      <c r="A496" s="1">
        <v>41316</v>
      </c>
      <c r="B496">
        <v>200.16</v>
      </c>
      <c r="C496" s="19">
        <v>2944651</v>
      </c>
    </row>
    <row r="497" spans="1:3" x14ac:dyDescent="0.25">
      <c r="A497" s="1">
        <v>41313</v>
      </c>
      <c r="B497">
        <v>201.68</v>
      </c>
      <c r="C497" s="19">
        <v>2893254</v>
      </c>
    </row>
    <row r="498" spans="1:3" x14ac:dyDescent="0.25">
      <c r="A498" s="1">
        <v>41312</v>
      </c>
      <c r="B498">
        <v>199.74</v>
      </c>
      <c r="C498" s="19">
        <v>3076793</v>
      </c>
    </row>
    <row r="499" spans="1:3" x14ac:dyDescent="0.25">
      <c r="A499" s="1">
        <v>41311</v>
      </c>
      <c r="B499">
        <v>201.02</v>
      </c>
      <c r="C499" s="19">
        <v>3624203</v>
      </c>
    </row>
    <row r="500" spans="1:3" x14ac:dyDescent="0.25">
      <c r="A500" s="1">
        <v>41310</v>
      </c>
      <c r="B500">
        <v>202.79</v>
      </c>
      <c r="C500" s="19">
        <v>3636837</v>
      </c>
    </row>
    <row r="501" spans="1:3" x14ac:dyDescent="0.25">
      <c r="A501" s="1">
        <v>41309</v>
      </c>
      <c r="B501">
        <v>203.79</v>
      </c>
      <c r="C501" s="19">
        <v>3188819</v>
      </c>
    </row>
    <row r="502" spans="1:3" x14ac:dyDescent="0.25">
      <c r="A502" s="1">
        <v>41306</v>
      </c>
      <c r="B502">
        <v>205.18</v>
      </c>
      <c r="C502" s="19">
        <v>3371154</v>
      </c>
    </row>
    <row r="503" spans="1:3" x14ac:dyDescent="0.25">
      <c r="A503" s="1">
        <v>41305</v>
      </c>
      <c r="B503">
        <v>203.07</v>
      </c>
      <c r="C503" s="19">
        <v>3091506</v>
      </c>
    </row>
    <row r="504" spans="1:3" x14ac:dyDescent="0.25">
      <c r="A504" s="1">
        <v>41304</v>
      </c>
      <c r="B504">
        <v>203.52</v>
      </c>
      <c r="C504" s="19">
        <v>2998524</v>
      </c>
    </row>
    <row r="505" spans="1:3" x14ac:dyDescent="0.25">
      <c r="A505" s="1">
        <v>41303</v>
      </c>
      <c r="B505">
        <v>203.9</v>
      </c>
      <c r="C505" s="19">
        <v>3617743</v>
      </c>
    </row>
    <row r="506" spans="1:3" x14ac:dyDescent="0.25">
      <c r="A506" s="1">
        <v>41302</v>
      </c>
      <c r="B506">
        <v>204.93</v>
      </c>
      <c r="C506" s="19">
        <v>2823715</v>
      </c>
    </row>
    <row r="507" spans="1:3" x14ac:dyDescent="0.25">
      <c r="A507" s="1">
        <v>41299</v>
      </c>
      <c r="B507">
        <v>204.97</v>
      </c>
      <c r="C507" s="19">
        <v>3359187</v>
      </c>
    </row>
    <row r="508" spans="1:3" x14ac:dyDescent="0.25">
      <c r="A508" s="1">
        <v>41298</v>
      </c>
      <c r="B508">
        <v>204.42</v>
      </c>
      <c r="C508" s="19">
        <v>4447452</v>
      </c>
    </row>
    <row r="509" spans="1:3" x14ac:dyDescent="0.25">
      <c r="A509" s="1">
        <v>41297</v>
      </c>
      <c r="B509">
        <v>204.72</v>
      </c>
      <c r="C509" s="19">
        <v>12531800</v>
      </c>
    </row>
    <row r="510" spans="1:3" x14ac:dyDescent="0.25">
      <c r="A510" s="1">
        <v>41296</v>
      </c>
      <c r="B510">
        <v>196.08</v>
      </c>
      <c r="C510" s="19">
        <v>7172283</v>
      </c>
    </row>
    <row r="511" spans="1:3" x14ac:dyDescent="0.25">
      <c r="A511" s="1">
        <v>41292</v>
      </c>
      <c r="B511">
        <v>194.47</v>
      </c>
      <c r="C511" s="19">
        <v>4560073</v>
      </c>
    </row>
    <row r="512" spans="1:3" x14ac:dyDescent="0.25">
      <c r="A512" s="1">
        <v>41291</v>
      </c>
      <c r="B512">
        <v>193.65</v>
      </c>
      <c r="C512" s="19">
        <v>3893754</v>
      </c>
    </row>
    <row r="513" spans="1:3" x14ac:dyDescent="0.25">
      <c r="A513" s="1">
        <v>41290</v>
      </c>
      <c r="B513">
        <v>192.59</v>
      </c>
      <c r="C513" s="19">
        <v>2963020</v>
      </c>
    </row>
    <row r="514" spans="1:3" x14ac:dyDescent="0.25">
      <c r="A514" s="1">
        <v>41289</v>
      </c>
      <c r="B514">
        <v>192.5</v>
      </c>
      <c r="C514" s="19">
        <v>4172034</v>
      </c>
    </row>
    <row r="515" spans="1:3" x14ac:dyDescent="0.25">
      <c r="A515" s="1">
        <v>41288</v>
      </c>
      <c r="B515">
        <v>192.62</v>
      </c>
      <c r="C515" s="19">
        <v>4174712</v>
      </c>
    </row>
    <row r="516" spans="1:3" x14ac:dyDescent="0.25">
      <c r="A516" s="1">
        <v>41285</v>
      </c>
      <c r="B516">
        <v>194.45</v>
      </c>
      <c r="C516" s="19">
        <v>3880667</v>
      </c>
    </row>
    <row r="517" spans="1:3" x14ac:dyDescent="0.25">
      <c r="A517" s="1">
        <v>41284</v>
      </c>
      <c r="B517">
        <v>192.88</v>
      </c>
      <c r="C517" s="19">
        <v>3608049</v>
      </c>
    </row>
    <row r="518" spans="1:3" x14ac:dyDescent="0.25">
      <c r="A518" s="1">
        <v>41283</v>
      </c>
      <c r="B518">
        <v>192.32</v>
      </c>
      <c r="C518" s="19">
        <v>3212230</v>
      </c>
    </row>
    <row r="519" spans="1:3" x14ac:dyDescent="0.25">
      <c r="A519" s="1">
        <v>41282</v>
      </c>
      <c r="B519">
        <v>192.87</v>
      </c>
      <c r="C519" s="19">
        <v>3028071</v>
      </c>
    </row>
    <row r="520" spans="1:3" x14ac:dyDescent="0.25">
      <c r="A520" s="1">
        <v>41281</v>
      </c>
      <c r="B520">
        <v>193.14</v>
      </c>
      <c r="C520" s="19">
        <v>2862276</v>
      </c>
    </row>
    <row r="521" spans="1:3" x14ac:dyDescent="0.25">
      <c r="A521" s="1">
        <v>41278</v>
      </c>
      <c r="B521">
        <v>193.99</v>
      </c>
      <c r="C521" s="19">
        <v>3380159</v>
      </c>
    </row>
    <row r="522" spans="1:3" x14ac:dyDescent="0.25">
      <c r="A522" s="1">
        <v>41277</v>
      </c>
      <c r="B522">
        <v>195.27</v>
      </c>
      <c r="C522" s="19">
        <v>3645161</v>
      </c>
    </row>
    <row r="523" spans="1:3" x14ac:dyDescent="0.25">
      <c r="A523" s="1">
        <v>41276</v>
      </c>
      <c r="B523">
        <v>196.35</v>
      </c>
      <c r="C523" s="19">
        <v>4234226</v>
      </c>
    </row>
    <row r="524" spans="1:3" x14ac:dyDescent="0.25">
      <c r="A524" s="1">
        <v>41274</v>
      </c>
      <c r="B524">
        <v>191.55</v>
      </c>
      <c r="C524" s="19">
        <v>4685773</v>
      </c>
    </row>
    <row r="525" spans="1:3" x14ac:dyDescent="0.25">
      <c r="A525" s="1">
        <v>41271</v>
      </c>
      <c r="B525">
        <v>189.83</v>
      </c>
      <c r="C525" s="19">
        <v>3539396</v>
      </c>
    </row>
    <row r="526" spans="1:3" x14ac:dyDescent="0.25">
      <c r="A526" s="1">
        <v>41270</v>
      </c>
      <c r="B526">
        <v>192.71</v>
      </c>
      <c r="C526" s="19">
        <v>3967531</v>
      </c>
    </row>
    <row r="527" spans="1:3" x14ac:dyDescent="0.25">
      <c r="A527" s="1">
        <v>41269</v>
      </c>
      <c r="B527">
        <v>191.95</v>
      </c>
      <c r="C527" s="19">
        <v>2776550</v>
      </c>
    </row>
    <row r="528" spans="1:3" x14ac:dyDescent="0.25">
      <c r="A528" s="1">
        <v>41267</v>
      </c>
      <c r="B528">
        <v>192.4</v>
      </c>
      <c r="C528" s="19">
        <v>1631202</v>
      </c>
    </row>
    <row r="529" spans="1:3" x14ac:dyDescent="0.25">
      <c r="A529" s="1">
        <v>41264</v>
      </c>
      <c r="B529">
        <v>193.42</v>
      </c>
      <c r="C529" s="19">
        <v>8226623</v>
      </c>
    </row>
    <row r="530" spans="1:3" x14ac:dyDescent="0.25">
      <c r="A530" s="1">
        <v>41263</v>
      </c>
      <c r="B530">
        <v>194.77</v>
      </c>
      <c r="C530" s="19">
        <v>4184552</v>
      </c>
    </row>
    <row r="531" spans="1:3" x14ac:dyDescent="0.25">
      <c r="A531" s="1">
        <v>41262</v>
      </c>
      <c r="B531">
        <v>195.08</v>
      </c>
      <c r="C531" s="19">
        <v>4270591</v>
      </c>
    </row>
    <row r="532" spans="1:3" x14ac:dyDescent="0.25">
      <c r="A532" s="1">
        <v>41261</v>
      </c>
      <c r="B532">
        <v>195.69</v>
      </c>
      <c r="C532" s="19">
        <v>4125879</v>
      </c>
    </row>
    <row r="533" spans="1:3" x14ac:dyDescent="0.25">
      <c r="A533" s="1">
        <v>41260</v>
      </c>
      <c r="B533">
        <v>193.62</v>
      </c>
      <c r="C533" s="19">
        <v>3792450</v>
      </c>
    </row>
    <row r="534" spans="1:3" x14ac:dyDescent="0.25">
      <c r="A534" s="1">
        <v>41257</v>
      </c>
      <c r="B534">
        <v>191.76</v>
      </c>
      <c r="C534" s="19">
        <v>3826833</v>
      </c>
    </row>
    <row r="535" spans="1:3" x14ac:dyDescent="0.25">
      <c r="A535" s="1">
        <v>41256</v>
      </c>
      <c r="B535">
        <v>191.99</v>
      </c>
      <c r="C535" s="19">
        <v>3623185</v>
      </c>
    </row>
    <row r="536" spans="1:3" x14ac:dyDescent="0.25">
      <c r="A536" s="1">
        <v>41255</v>
      </c>
      <c r="B536">
        <v>192.95</v>
      </c>
      <c r="C536" s="19">
        <v>4241964</v>
      </c>
    </row>
    <row r="537" spans="1:3" x14ac:dyDescent="0.25">
      <c r="A537" s="1">
        <v>41254</v>
      </c>
      <c r="B537">
        <v>194.2</v>
      </c>
      <c r="C537" s="19">
        <v>4143997</v>
      </c>
    </row>
    <row r="538" spans="1:3" x14ac:dyDescent="0.25">
      <c r="A538" s="1">
        <v>41253</v>
      </c>
      <c r="B538">
        <v>192.62</v>
      </c>
      <c r="C538" s="19">
        <v>3438406</v>
      </c>
    </row>
    <row r="539" spans="1:3" x14ac:dyDescent="0.25">
      <c r="A539" s="1">
        <v>41250</v>
      </c>
      <c r="B539">
        <v>191.95</v>
      </c>
      <c r="C539" s="19">
        <v>4091940</v>
      </c>
    </row>
    <row r="540" spans="1:3" x14ac:dyDescent="0.25">
      <c r="A540" s="1">
        <v>41249</v>
      </c>
      <c r="B540">
        <v>189.7</v>
      </c>
      <c r="C540" s="19">
        <v>3216900</v>
      </c>
    </row>
    <row r="541" spans="1:3" x14ac:dyDescent="0.25">
      <c r="A541" s="1">
        <v>41248</v>
      </c>
      <c r="B541">
        <v>188.65</v>
      </c>
      <c r="C541" s="19">
        <v>4202974</v>
      </c>
    </row>
    <row r="542" spans="1:3" x14ac:dyDescent="0.25">
      <c r="A542" s="1">
        <v>41247</v>
      </c>
      <c r="B542">
        <v>189.36</v>
      </c>
      <c r="C542" s="19">
        <v>3990733</v>
      </c>
    </row>
    <row r="543" spans="1:3" x14ac:dyDescent="0.25">
      <c r="A543" s="1">
        <v>41246</v>
      </c>
      <c r="B543">
        <v>189.48</v>
      </c>
      <c r="C543" s="19">
        <v>3349685</v>
      </c>
    </row>
    <row r="544" spans="1:3" x14ac:dyDescent="0.25">
      <c r="A544" s="1">
        <v>41243</v>
      </c>
      <c r="B544">
        <v>190.07</v>
      </c>
      <c r="C544" s="19">
        <v>4936587</v>
      </c>
    </row>
    <row r="545" spans="1:3" x14ac:dyDescent="0.25">
      <c r="A545" s="1">
        <v>41242</v>
      </c>
      <c r="B545">
        <v>191.53</v>
      </c>
      <c r="C545" s="19">
        <v>4077834</v>
      </c>
    </row>
    <row r="546" spans="1:3" x14ac:dyDescent="0.25">
      <c r="A546" s="1">
        <v>41241</v>
      </c>
      <c r="B546">
        <v>191.98</v>
      </c>
      <c r="C546" s="19">
        <v>3603596</v>
      </c>
    </row>
    <row r="547" spans="1:3" x14ac:dyDescent="0.25">
      <c r="A547" s="1">
        <v>41240</v>
      </c>
      <c r="B547">
        <v>191.23</v>
      </c>
      <c r="C547" s="19">
        <v>3291094</v>
      </c>
    </row>
    <row r="548" spans="1:3" x14ac:dyDescent="0.25">
      <c r="A548" s="1">
        <v>41239</v>
      </c>
      <c r="B548">
        <v>192.88</v>
      </c>
      <c r="C548" s="19">
        <v>5211360</v>
      </c>
    </row>
    <row r="549" spans="1:3" x14ac:dyDescent="0.25">
      <c r="A549" s="1">
        <v>41236</v>
      </c>
      <c r="B549">
        <v>193.49</v>
      </c>
      <c r="C549" s="19">
        <v>3877583</v>
      </c>
    </row>
    <row r="550" spans="1:3" x14ac:dyDescent="0.25">
      <c r="A550" s="1">
        <v>41234</v>
      </c>
      <c r="B550">
        <v>190.29</v>
      </c>
      <c r="C550" s="19">
        <v>5189519</v>
      </c>
    </row>
    <row r="551" spans="1:3" x14ac:dyDescent="0.25">
      <c r="A551" s="1">
        <v>41233</v>
      </c>
      <c r="B551">
        <v>189.2</v>
      </c>
      <c r="C551" s="19">
        <v>3170318</v>
      </c>
    </row>
    <row r="552" spans="1:3" x14ac:dyDescent="0.25">
      <c r="A552" s="1">
        <v>41232</v>
      </c>
      <c r="B552">
        <v>190.35</v>
      </c>
      <c r="C552" s="19">
        <v>3588996</v>
      </c>
    </row>
    <row r="553" spans="1:3" x14ac:dyDescent="0.25">
      <c r="A553" s="1">
        <v>41229</v>
      </c>
      <c r="B553">
        <v>186.94</v>
      </c>
      <c r="C553" s="19">
        <v>4660780</v>
      </c>
    </row>
    <row r="554" spans="1:3" x14ac:dyDescent="0.25">
      <c r="A554" s="1">
        <v>41228</v>
      </c>
      <c r="B554">
        <v>185.85</v>
      </c>
      <c r="C554" s="19">
        <v>3412016</v>
      </c>
    </row>
    <row r="555" spans="1:3" x14ac:dyDescent="0.25">
      <c r="A555" s="1">
        <v>41227</v>
      </c>
      <c r="B555">
        <v>185.51</v>
      </c>
      <c r="C555" s="19">
        <v>4404535</v>
      </c>
    </row>
    <row r="556" spans="1:3" x14ac:dyDescent="0.25">
      <c r="A556" s="1">
        <v>41226</v>
      </c>
      <c r="B556">
        <v>188.32</v>
      </c>
      <c r="C556" s="19">
        <v>3407573</v>
      </c>
    </row>
    <row r="557" spans="1:3" x14ac:dyDescent="0.25">
      <c r="A557" s="1">
        <v>41225</v>
      </c>
      <c r="B557">
        <v>189.25</v>
      </c>
      <c r="C557" s="19">
        <v>3067509</v>
      </c>
    </row>
    <row r="558" spans="1:3" x14ac:dyDescent="0.25">
      <c r="A558" s="1">
        <v>41222</v>
      </c>
      <c r="B558">
        <v>189.64</v>
      </c>
      <c r="C558" s="19">
        <v>3671517</v>
      </c>
    </row>
    <row r="559" spans="1:3" x14ac:dyDescent="0.25">
      <c r="A559" s="1">
        <v>41221</v>
      </c>
      <c r="B559">
        <v>190.1</v>
      </c>
      <c r="C559" s="19">
        <v>3542464</v>
      </c>
    </row>
    <row r="560" spans="1:3" x14ac:dyDescent="0.25">
      <c r="A560" s="1">
        <v>41220</v>
      </c>
      <c r="B560">
        <v>191.16</v>
      </c>
      <c r="C560" s="19">
        <v>4746744</v>
      </c>
    </row>
    <row r="561" spans="1:3" x14ac:dyDescent="0.25">
      <c r="A561" s="1">
        <v>41219</v>
      </c>
      <c r="B561">
        <v>195.07</v>
      </c>
      <c r="C561" s="19">
        <v>3281085</v>
      </c>
    </row>
    <row r="562" spans="1:3" x14ac:dyDescent="0.25">
      <c r="A562" s="1">
        <v>41218</v>
      </c>
      <c r="B562">
        <v>194.14</v>
      </c>
      <c r="C562" s="19">
        <v>2736431</v>
      </c>
    </row>
    <row r="563" spans="1:3" x14ac:dyDescent="0.25">
      <c r="A563" s="1">
        <v>41215</v>
      </c>
      <c r="B563">
        <v>193.43</v>
      </c>
      <c r="C563" s="19">
        <v>4260781</v>
      </c>
    </row>
    <row r="564" spans="1:3" x14ac:dyDescent="0.25">
      <c r="A564" s="1">
        <v>41214</v>
      </c>
      <c r="B564">
        <v>197.15</v>
      </c>
      <c r="C564" s="19">
        <v>3758833</v>
      </c>
    </row>
    <row r="565" spans="1:3" x14ac:dyDescent="0.25">
      <c r="A565" s="1">
        <v>41213</v>
      </c>
      <c r="B565">
        <v>194.53</v>
      </c>
      <c r="C565" s="19">
        <v>6052235</v>
      </c>
    </row>
    <row r="566" spans="1:3" x14ac:dyDescent="0.25">
      <c r="A566" s="1">
        <v>41208</v>
      </c>
      <c r="B566">
        <v>193.27</v>
      </c>
      <c r="C566" s="19">
        <v>4006523</v>
      </c>
    </row>
    <row r="567" spans="1:3" x14ac:dyDescent="0.25">
      <c r="A567" s="1">
        <v>41207</v>
      </c>
      <c r="B567">
        <v>191.6</v>
      </c>
      <c r="C567" s="19">
        <v>3250670</v>
      </c>
    </row>
    <row r="568" spans="1:3" x14ac:dyDescent="0.25">
      <c r="A568" s="1">
        <v>41206</v>
      </c>
      <c r="B568">
        <v>190.72</v>
      </c>
      <c r="C568" s="19">
        <v>3738227</v>
      </c>
    </row>
    <row r="569" spans="1:3" x14ac:dyDescent="0.25">
      <c r="A569" s="1">
        <v>41205</v>
      </c>
      <c r="B569">
        <v>191.25</v>
      </c>
      <c r="C569" s="19">
        <v>4427470</v>
      </c>
    </row>
    <row r="570" spans="1:3" x14ac:dyDescent="0.25">
      <c r="A570" s="1">
        <v>41204</v>
      </c>
      <c r="B570">
        <v>194.4</v>
      </c>
      <c r="C570" s="19">
        <v>4404728</v>
      </c>
    </row>
    <row r="571" spans="1:3" x14ac:dyDescent="0.25">
      <c r="A571" s="1">
        <v>41201</v>
      </c>
      <c r="B571">
        <v>193.36</v>
      </c>
      <c r="C571" s="19">
        <v>6621563</v>
      </c>
    </row>
    <row r="572" spans="1:3" x14ac:dyDescent="0.25">
      <c r="A572" s="1">
        <v>41200</v>
      </c>
      <c r="B572">
        <v>194.96</v>
      </c>
      <c r="C572" s="19">
        <v>9296561</v>
      </c>
    </row>
    <row r="573" spans="1:3" x14ac:dyDescent="0.25">
      <c r="A573" s="1">
        <v>41199</v>
      </c>
      <c r="B573">
        <v>200.63</v>
      </c>
      <c r="C573" s="19">
        <v>12675630</v>
      </c>
    </row>
    <row r="574" spans="1:3" x14ac:dyDescent="0.25">
      <c r="A574" s="1">
        <v>41198</v>
      </c>
      <c r="B574">
        <v>211</v>
      </c>
      <c r="C574" s="19">
        <v>5632183</v>
      </c>
    </row>
    <row r="575" spans="1:3" x14ac:dyDescent="0.25">
      <c r="A575" s="1">
        <v>41197</v>
      </c>
      <c r="B575">
        <v>208.93</v>
      </c>
      <c r="C575" s="19">
        <v>3062956</v>
      </c>
    </row>
    <row r="576" spans="1:3" x14ac:dyDescent="0.25">
      <c r="A576" s="1">
        <v>41194</v>
      </c>
      <c r="B576">
        <v>207.8</v>
      </c>
      <c r="C576" s="19">
        <v>2711979</v>
      </c>
    </row>
    <row r="577" spans="1:3" x14ac:dyDescent="0.25">
      <c r="A577" s="1">
        <v>41193</v>
      </c>
      <c r="B577">
        <v>205.76</v>
      </c>
      <c r="C577" s="19">
        <v>2910149</v>
      </c>
    </row>
    <row r="578" spans="1:3" x14ac:dyDescent="0.25">
      <c r="A578" s="1">
        <v>41192</v>
      </c>
      <c r="B578">
        <v>205.82</v>
      </c>
      <c r="C578" s="19">
        <v>4025281</v>
      </c>
    </row>
    <row r="579" spans="1:3" x14ac:dyDescent="0.25">
      <c r="A579" s="1">
        <v>41191</v>
      </c>
      <c r="B579">
        <v>207.99</v>
      </c>
      <c r="C579" s="19">
        <v>3580564</v>
      </c>
    </row>
    <row r="580" spans="1:3" x14ac:dyDescent="0.25">
      <c r="A580" s="1">
        <v>41190</v>
      </c>
      <c r="B580">
        <v>209.82</v>
      </c>
      <c r="C580" s="19">
        <v>1982625</v>
      </c>
    </row>
    <row r="581" spans="1:3" x14ac:dyDescent="0.25">
      <c r="A581" s="1">
        <v>41187</v>
      </c>
      <c r="B581">
        <v>210.59</v>
      </c>
      <c r="C581" s="19">
        <v>2858352</v>
      </c>
    </row>
    <row r="582" spans="1:3" x14ac:dyDescent="0.25">
      <c r="A582" s="1">
        <v>41186</v>
      </c>
      <c r="B582">
        <v>210.39</v>
      </c>
      <c r="C582" s="19">
        <v>2957540</v>
      </c>
    </row>
    <row r="583" spans="1:3" x14ac:dyDescent="0.25">
      <c r="A583" s="1">
        <v>41185</v>
      </c>
      <c r="B583">
        <v>210.51</v>
      </c>
      <c r="C583" s="19">
        <v>3192215</v>
      </c>
    </row>
    <row r="584" spans="1:3" x14ac:dyDescent="0.25">
      <c r="A584" s="1">
        <v>41184</v>
      </c>
      <c r="B584">
        <v>209.84</v>
      </c>
      <c r="C584" s="19">
        <v>3320927</v>
      </c>
    </row>
    <row r="585" spans="1:3" x14ac:dyDescent="0.25">
      <c r="A585" s="1">
        <v>41183</v>
      </c>
      <c r="B585">
        <v>210.47</v>
      </c>
      <c r="C585" s="19">
        <v>5457453</v>
      </c>
    </row>
    <row r="586" spans="1:3" x14ac:dyDescent="0.25">
      <c r="A586" s="1">
        <v>41180</v>
      </c>
      <c r="B586">
        <v>207.45</v>
      </c>
      <c r="C586" s="19">
        <v>4910277</v>
      </c>
    </row>
    <row r="587" spans="1:3" x14ac:dyDescent="0.25">
      <c r="A587" s="1">
        <v>41179</v>
      </c>
      <c r="B587">
        <v>205.91</v>
      </c>
      <c r="C587" s="19">
        <v>2771977</v>
      </c>
    </row>
    <row r="588" spans="1:3" x14ac:dyDescent="0.25">
      <c r="A588" s="1">
        <v>41178</v>
      </c>
      <c r="B588">
        <v>204</v>
      </c>
      <c r="C588" s="19">
        <v>3423397</v>
      </c>
    </row>
    <row r="589" spans="1:3" x14ac:dyDescent="0.25">
      <c r="A589" s="1">
        <v>41177</v>
      </c>
      <c r="B589">
        <v>204.98</v>
      </c>
      <c r="C589" s="19">
        <v>3346760</v>
      </c>
    </row>
    <row r="590" spans="1:3" x14ac:dyDescent="0.25">
      <c r="A590" s="1">
        <v>41176</v>
      </c>
      <c r="B590">
        <v>205.29</v>
      </c>
      <c r="C590" s="19">
        <v>3511197</v>
      </c>
    </row>
    <row r="591" spans="1:3" x14ac:dyDescent="0.25">
      <c r="A591" s="1">
        <v>41173</v>
      </c>
      <c r="B591">
        <v>205.98</v>
      </c>
      <c r="C591" s="19">
        <v>12772720</v>
      </c>
    </row>
    <row r="592" spans="1:3" x14ac:dyDescent="0.25">
      <c r="A592" s="1">
        <v>41172</v>
      </c>
      <c r="B592">
        <v>206.18</v>
      </c>
      <c r="C592" s="19">
        <v>3740487</v>
      </c>
    </row>
    <row r="593" spans="1:3" x14ac:dyDescent="0.25">
      <c r="A593" s="1">
        <v>41171</v>
      </c>
      <c r="B593">
        <v>206.43</v>
      </c>
      <c r="C593" s="19">
        <v>2605577</v>
      </c>
    </row>
    <row r="594" spans="1:3" x14ac:dyDescent="0.25">
      <c r="A594" s="1">
        <v>41170</v>
      </c>
      <c r="B594">
        <v>207.07</v>
      </c>
      <c r="C594" s="19">
        <v>2476249</v>
      </c>
    </row>
    <row r="595" spans="1:3" x14ac:dyDescent="0.25">
      <c r="A595" s="1">
        <v>41169</v>
      </c>
      <c r="B595">
        <v>207.15</v>
      </c>
      <c r="C595" s="19">
        <v>3276074</v>
      </c>
    </row>
    <row r="596" spans="1:3" x14ac:dyDescent="0.25">
      <c r="A596" s="1">
        <v>41166</v>
      </c>
      <c r="B596">
        <v>206.81</v>
      </c>
      <c r="C596" s="19">
        <v>4057758</v>
      </c>
    </row>
    <row r="597" spans="1:3" x14ac:dyDescent="0.25">
      <c r="A597" s="1">
        <v>41165</v>
      </c>
      <c r="B597">
        <v>206.36</v>
      </c>
      <c r="C597" s="19">
        <v>3880489</v>
      </c>
    </row>
    <row r="598" spans="1:3" x14ac:dyDescent="0.25">
      <c r="A598" s="1">
        <v>41164</v>
      </c>
      <c r="B598">
        <v>203.77</v>
      </c>
      <c r="C598" s="19">
        <v>3283950</v>
      </c>
    </row>
    <row r="599" spans="1:3" x14ac:dyDescent="0.25">
      <c r="A599" s="1">
        <v>41163</v>
      </c>
      <c r="B599">
        <v>203.27</v>
      </c>
      <c r="C599" s="19">
        <v>3910647</v>
      </c>
    </row>
    <row r="600" spans="1:3" x14ac:dyDescent="0.25">
      <c r="A600" s="1">
        <v>41162</v>
      </c>
      <c r="B600">
        <v>200.95</v>
      </c>
      <c r="C600" s="19">
        <v>4208243</v>
      </c>
    </row>
    <row r="601" spans="1:3" x14ac:dyDescent="0.25">
      <c r="A601" s="1">
        <v>41159</v>
      </c>
      <c r="B601">
        <v>199.5</v>
      </c>
      <c r="C601" s="19">
        <v>3414148</v>
      </c>
    </row>
    <row r="602" spans="1:3" x14ac:dyDescent="0.25">
      <c r="A602" s="1">
        <v>41158</v>
      </c>
      <c r="B602">
        <v>199.1</v>
      </c>
      <c r="C602" s="19">
        <v>3931624</v>
      </c>
    </row>
    <row r="603" spans="1:3" x14ac:dyDescent="0.25">
      <c r="A603" s="1">
        <v>41157</v>
      </c>
      <c r="B603">
        <v>195.04</v>
      </c>
      <c r="C603" s="19">
        <v>3312634</v>
      </c>
    </row>
    <row r="604" spans="1:3" x14ac:dyDescent="0.25">
      <c r="A604" s="1">
        <v>41156</v>
      </c>
      <c r="B604">
        <v>194.54</v>
      </c>
      <c r="C604" s="19">
        <v>4514860</v>
      </c>
    </row>
    <row r="605" spans="1:3" x14ac:dyDescent="0.25">
      <c r="A605" s="1">
        <v>41152</v>
      </c>
      <c r="B605">
        <v>194.85</v>
      </c>
      <c r="C605" s="19">
        <v>3193352</v>
      </c>
    </row>
    <row r="606" spans="1:3" x14ac:dyDescent="0.25">
      <c r="A606" s="1">
        <v>41151</v>
      </c>
      <c r="B606">
        <v>193.37</v>
      </c>
      <c r="C606" s="19">
        <v>2740995</v>
      </c>
    </row>
    <row r="607" spans="1:3" x14ac:dyDescent="0.25">
      <c r="A607" s="1">
        <v>41150</v>
      </c>
      <c r="B607">
        <v>195.08</v>
      </c>
      <c r="C607" s="19">
        <v>2141398</v>
      </c>
    </row>
    <row r="608" spans="1:3" x14ac:dyDescent="0.25">
      <c r="A608" s="1">
        <v>41149</v>
      </c>
      <c r="B608">
        <v>194.87</v>
      </c>
      <c r="C608" s="19">
        <v>2539110</v>
      </c>
    </row>
    <row r="609" spans="1:3" x14ac:dyDescent="0.25">
      <c r="A609" s="1">
        <v>41148</v>
      </c>
      <c r="B609">
        <v>195.69</v>
      </c>
      <c r="C609" s="19">
        <v>2498722</v>
      </c>
    </row>
    <row r="610" spans="1:3" x14ac:dyDescent="0.25">
      <c r="A610" s="1">
        <v>41145</v>
      </c>
      <c r="B610">
        <v>197.77</v>
      </c>
      <c r="C610" s="19">
        <v>2639463</v>
      </c>
    </row>
    <row r="611" spans="1:3" x14ac:dyDescent="0.25">
      <c r="A611" s="1">
        <v>41144</v>
      </c>
      <c r="B611">
        <v>195.7</v>
      </c>
      <c r="C611" s="19">
        <v>2758497</v>
      </c>
    </row>
    <row r="612" spans="1:3" x14ac:dyDescent="0.25">
      <c r="A612" s="1">
        <v>41143</v>
      </c>
      <c r="B612">
        <v>197.25</v>
      </c>
      <c r="C612" s="19">
        <v>3296070</v>
      </c>
    </row>
    <row r="613" spans="1:3" x14ac:dyDescent="0.25">
      <c r="A613" s="1">
        <v>41142</v>
      </c>
      <c r="B613">
        <v>198.65</v>
      </c>
      <c r="C613" s="19">
        <v>3111357</v>
      </c>
    </row>
    <row r="614" spans="1:3" x14ac:dyDescent="0.25">
      <c r="A614" s="1">
        <v>41141</v>
      </c>
      <c r="B614">
        <v>200.5</v>
      </c>
      <c r="C614" s="19">
        <v>2335987</v>
      </c>
    </row>
    <row r="615" spans="1:3" x14ac:dyDescent="0.25">
      <c r="A615" s="1">
        <v>41138</v>
      </c>
      <c r="B615">
        <v>201.22</v>
      </c>
      <c r="C615" s="19">
        <v>2551732</v>
      </c>
    </row>
    <row r="616" spans="1:3" x14ac:dyDescent="0.25">
      <c r="A616" s="1">
        <v>41137</v>
      </c>
      <c r="B616">
        <v>200.84</v>
      </c>
      <c r="C616" s="19">
        <v>2729453</v>
      </c>
    </row>
    <row r="617" spans="1:3" x14ac:dyDescent="0.25">
      <c r="A617" s="1">
        <v>41136</v>
      </c>
      <c r="B617">
        <v>198.4</v>
      </c>
      <c r="C617" s="19">
        <v>2111828</v>
      </c>
    </row>
    <row r="618" spans="1:3" x14ac:dyDescent="0.25">
      <c r="A618" s="1">
        <v>41135</v>
      </c>
      <c r="B618">
        <v>198.29</v>
      </c>
      <c r="C618" s="19">
        <v>2562255</v>
      </c>
    </row>
    <row r="619" spans="1:3" x14ac:dyDescent="0.25">
      <c r="A619" s="1">
        <v>41134</v>
      </c>
      <c r="B619">
        <v>199.01</v>
      </c>
      <c r="C619" s="19">
        <v>2418289</v>
      </c>
    </row>
    <row r="620" spans="1:3" x14ac:dyDescent="0.25">
      <c r="A620" s="1">
        <v>41131</v>
      </c>
      <c r="B620">
        <v>199.29</v>
      </c>
      <c r="C620" s="19">
        <v>2600724</v>
      </c>
    </row>
    <row r="621" spans="1:3" x14ac:dyDescent="0.25">
      <c r="A621" s="1">
        <v>41130</v>
      </c>
      <c r="B621">
        <v>198.42</v>
      </c>
      <c r="C621" s="19">
        <v>2160095</v>
      </c>
    </row>
    <row r="622" spans="1:3" x14ac:dyDescent="0.25">
      <c r="A622" s="1">
        <v>41129</v>
      </c>
      <c r="B622">
        <v>199.03</v>
      </c>
      <c r="C622" s="19">
        <v>2068250</v>
      </c>
    </row>
    <row r="623" spans="1:3" x14ac:dyDescent="0.25">
      <c r="A623" s="1">
        <v>41128</v>
      </c>
      <c r="B623">
        <v>199.93</v>
      </c>
      <c r="C623" s="19">
        <v>3209644</v>
      </c>
    </row>
    <row r="624" spans="1:3" x14ac:dyDescent="0.25">
      <c r="A624" s="1">
        <v>41127</v>
      </c>
      <c r="B624">
        <v>198.76</v>
      </c>
      <c r="C624" s="19">
        <v>2337738</v>
      </c>
    </row>
    <row r="625" spans="1:3" x14ac:dyDescent="0.25">
      <c r="A625" s="1">
        <v>41124</v>
      </c>
      <c r="B625">
        <v>198.52</v>
      </c>
      <c r="C625" s="19">
        <v>3278231</v>
      </c>
    </row>
    <row r="626" spans="1:3" x14ac:dyDescent="0.25">
      <c r="A626" s="1">
        <v>41123</v>
      </c>
      <c r="B626">
        <v>194.45</v>
      </c>
      <c r="C626" s="19">
        <v>2812511</v>
      </c>
    </row>
    <row r="627" spans="1:3" x14ac:dyDescent="0.25">
      <c r="A627" s="1">
        <v>41122</v>
      </c>
      <c r="B627">
        <v>195.18</v>
      </c>
      <c r="C627" s="19">
        <v>2559365</v>
      </c>
    </row>
    <row r="628" spans="1:3" x14ac:dyDescent="0.25">
      <c r="A628" s="1">
        <v>41121</v>
      </c>
      <c r="B628">
        <v>195.98</v>
      </c>
      <c r="C628" s="19">
        <v>3507163</v>
      </c>
    </row>
    <row r="629" spans="1:3" x14ac:dyDescent="0.25">
      <c r="A629" s="1">
        <v>41120</v>
      </c>
      <c r="B629">
        <v>196.68</v>
      </c>
      <c r="C629" s="19">
        <v>2787953</v>
      </c>
    </row>
    <row r="630" spans="1:3" x14ac:dyDescent="0.25">
      <c r="A630" s="1">
        <v>41117</v>
      </c>
      <c r="B630">
        <v>196.39</v>
      </c>
      <c r="C630" s="19">
        <v>4177285</v>
      </c>
    </row>
    <row r="631" spans="1:3" x14ac:dyDescent="0.25">
      <c r="A631" s="1">
        <v>41116</v>
      </c>
      <c r="B631">
        <v>193.95</v>
      </c>
      <c r="C631" s="19">
        <v>3284332</v>
      </c>
    </row>
    <row r="632" spans="1:3" x14ac:dyDescent="0.25">
      <c r="A632" s="1">
        <v>41115</v>
      </c>
      <c r="B632">
        <v>191.08</v>
      </c>
      <c r="C632" s="19">
        <v>3833753</v>
      </c>
    </row>
    <row r="633" spans="1:3" x14ac:dyDescent="0.25">
      <c r="A633" s="1">
        <v>41114</v>
      </c>
      <c r="B633">
        <v>190.34</v>
      </c>
      <c r="C633" s="19">
        <v>3597193</v>
      </c>
    </row>
    <row r="634" spans="1:3" x14ac:dyDescent="0.25">
      <c r="A634" s="1">
        <v>41113</v>
      </c>
      <c r="B634">
        <v>190.83</v>
      </c>
      <c r="C634" s="19">
        <v>3905145</v>
      </c>
    </row>
    <row r="635" spans="1:3" x14ac:dyDescent="0.25">
      <c r="A635" s="1">
        <v>41110</v>
      </c>
      <c r="B635">
        <v>192.45</v>
      </c>
      <c r="C635" s="19">
        <v>4789672</v>
      </c>
    </row>
    <row r="636" spans="1:3" x14ac:dyDescent="0.25">
      <c r="A636" s="1">
        <v>41109</v>
      </c>
      <c r="B636">
        <v>195.34</v>
      </c>
      <c r="C636" s="19">
        <v>10396140</v>
      </c>
    </row>
    <row r="637" spans="1:3" x14ac:dyDescent="0.25">
      <c r="A637" s="1">
        <v>41108</v>
      </c>
      <c r="B637">
        <v>188.25</v>
      </c>
      <c r="C637" s="19">
        <v>8019423</v>
      </c>
    </row>
    <row r="638" spans="1:3" x14ac:dyDescent="0.25">
      <c r="A638" s="1">
        <v>41107</v>
      </c>
      <c r="B638">
        <v>183.65</v>
      </c>
      <c r="C638" s="19">
        <v>5159538</v>
      </c>
    </row>
    <row r="639" spans="1:3" x14ac:dyDescent="0.25">
      <c r="A639" s="1">
        <v>41106</v>
      </c>
      <c r="B639">
        <v>184.79</v>
      </c>
      <c r="C639" s="19">
        <v>3144328</v>
      </c>
    </row>
    <row r="640" spans="1:3" x14ac:dyDescent="0.25">
      <c r="A640" s="1">
        <v>41103</v>
      </c>
      <c r="B640">
        <v>186.01</v>
      </c>
      <c r="C640" s="19">
        <v>3933365</v>
      </c>
    </row>
    <row r="641" spans="1:3" x14ac:dyDescent="0.25">
      <c r="A641" s="1">
        <v>41102</v>
      </c>
      <c r="B641">
        <v>183.09</v>
      </c>
      <c r="C641" s="19">
        <v>4931203</v>
      </c>
    </row>
    <row r="642" spans="1:3" x14ac:dyDescent="0.25">
      <c r="A642" s="1">
        <v>41101</v>
      </c>
      <c r="B642">
        <v>185.25</v>
      </c>
      <c r="C642" s="19">
        <v>5456169</v>
      </c>
    </row>
    <row r="643" spans="1:3" x14ac:dyDescent="0.25">
      <c r="A643" s="1">
        <v>41100</v>
      </c>
      <c r="B643">
        <v>186.26</v>
      </c>
      <c r="C643" s="19">
        <v>4690312</v>
      </c>
    </row>
    <row r="644" spans="1:3" x14ac:dyDescent="0.25">
      <c r="A644" s="1">
        <v>41099</v>
      </c>
      <c r="B644">
        <v>189.67</v>
      </c>
      <c r="C644" s="19">
        <v>3988256</v>
      </c>
    </row>
    <row r="645" spans="1:3" x14ac:dyDescent="0.25">
      <c r="A645" s="1">
        <v>41096</v>
      </c>
      <c r="B645">
        <v>191.41</v>
      </c>
      <c r="C645" s="19">
        <v>4952950</v>
      </c>
    </row>
    <row r="646" spans="1:3" x14ac:dyDescent="0.25">
      <c r="A646" s="1">
        <v>41095</v>
      </c>
      <c r="B646">
        <v>195.29</v>
      </c>
      <c r="C646" s="19">
        <v>2690781</v>
      </c>
    </row>
    <row r="647" spans="1:3" x14ac:dyDescent="0.25">
      <c r="A647" s="1">
        <v>41093</v>
      </c>
      <c r="B647">
        <v>195.93</v>
      </c>
      <c r="C647" s="19">
        <v>1451425</v>
      </c>
    </row>
    <row r="648" spans="1:3" x14ac:dyDescent="0.25">
      <c r="A648" s="1">
        <v>41092</v>
      </c>
      <c r="B648">
        <v>195.83</v>
      </c>
      <c r="C648" s="19">
        <v>2831680</v>
      </c>
    </row>
    <row r="649" spans="1:3" x14ac:dyDescent="0.25">
      <c r="A649" s="1">
        <v>41089</v>
      </c>
      <c r="B649">
        <v>195.58</v>
      </c>
      <c r="C649" s="19">
        <v>5262273</v>
      </c>
    </row>
    <row r="650" spans="1:3" x14ac:dyDescent="0.25">
      <c r="A650" s="1">
        <v>41088</v>
      </c>
      <c r="B650">
        <v>191.4</v>
      </c>
      <c r="C650" s="19">
        <v>3967265</v>
      </c>
    </row>
    <row r="651" spans="1:3" x14ac:dyDescent="0.25">
      <c r="A651" s="1">
        <v>41087</v>
      </c>
      <c r="B651">
        <v>193</v>
      </c>
      <c r="C651" s="19">
        <v>2762612</v>
      </c>
    </row>
    <row r="652" spans="1:3" x14ac:dyDescent="0.25">
      <c r="A652" s="1">
        <v>41086</v>
      </c>
      <c r="B652">
        <v>191.95</v>
      </c>
      <c r="C652" s="19">
        <v>3436150</v>
      </c>
    </row>
    <row r="653" spans="1:3" x14ac:dyDescent="0.25">
      <c r="A653" s="1">
        <v>41085</v>
      </c>
      <c r="B653">
        <v>192.86</v>
      </c>
      <c r="C653" s="19">
        <v>3211529</v>
      </c>
    </row>
    <row r="654" spans="1:3" x14ac:dyDescent="0.25">
      <c r="A654" s="1">
        <v>41082</v>
      </c>
      <c r="B654">
        <v>193.7</v>
      </c>
      <c r="C654" s="19">
        <v>8833353</v>
      </c>
    </row>
    <row r="655" spans="1:3" x14ac:dyDescent="0.25">
      <c r="A655" s="1">
        <v>41081</v>
      </c>
      <c r="B655">
        <v>193.39</v>
      </c>
      <c r="C655" s="19">
        <v>4316544</v>
      </c>
    </row>
    <row r="656" spans="1:3" x14ac:dyDescent="0.25">
      <c r="A656" s="1">
        <v>41080</v>
      </c>
      <c r="B656">
        <v>198.78</v>
      </c>
      <c r="C656" s="19">
        <v>3378824</v>
      </c>
    </row>
    <row r="657" spans="1:3" x14ac:dyDescent="0.25">
      <c r="A657" s="1">
        <v>41079</v>
      </c>
      <c r="B657">
        <v>198.93</v>
      </c>
      <c r="C657" s="19">
        <v>3297517</v>
      </c>
    </row>
    <row r="658" spans="1:3" x14ac:dyDescent="0.25">
      <c r="A658" s="1">
        <v>41078</v>
      </c>
      <c r="B658">
        <v>198.29</v>
      </c>
      <c r="C658" s="19">
        <v>3378912</v>
      </c>
    </row>
    <row r="659" spans="1:3" x14ac:dyDescent="0.25">
      <c r="A659" s="1">
        <v>41075</v>
      </c>
      <c r="B659">
        <v>199.1</v>
      </c>
      <c r="C659" s="19">
        <v>6390633</v>
      </c>
    </row>
    <row r="660" spans="1:3" x14ac:dyDescent="0.25">
      <c r="A660" s="1">
        <v>41074</v>
      </c>
      <c r="B660">
        <v>195.1</v>
      </c>
      <c r="C660" s="19">
        <v>3584945</v>
      </c>
    </row>
    <row r="661" spans="1:3" x14ac:dyDescent="0.25">
      <c r="A661" s="1">
        <v>41073</v>
      </c>
      <c r="B661">
        <v>193.1</v>
      </c>
      <c r="C661" s="19">
        <v>3247653</v>
      </c>
    </row>
    <row r="662" spans="1:3" x14ac:dyDescent="0.25">
      <c r="A662" s="1">
        <v>41072</v>
      </c>
      <c r="B662">
        <v>194.55</v>
      </c>
      <c r="C662" s="19">
        <v>3023630</v>
      </c>
    </row>
    <row r="663" spans="1:3" x14ac:dyDescent="0.25">
      <c r="A663" s="1">
        <v>41071</v>
      </c>
      <c r="B663">
        <v>192.51</v>
      </c>
      <c r="C663" s="19">
        <v>3273511</v>
      </c>
    </row>
    <row r="664" spans="1:3" x14ac:dyDescent="0.25">
      <c r="A664" s="1">
        <v>41068</v>
      </c>
      <c r="B664">
        <v>195.14</v>
      </c>
      <c r="C664" s="19">
        <v>2476647</v>
      </c>
    </row>
    <row r="665" spans="1:3" x14ac:dyDescent="0.25">
      <c r="A665" s="1">
        <v>41067</v>
      </c>
      <c r="B665">
        <v>194.44</v>
      </c>
      <c r="C665" s="19">
        <v>3701066</v>
      </c>
    </row>
    <row r="666" spans="1:3" x14ac:dyDescent="0.25">
      <c r="A666" s="1">
        <v>41066</v>
      </c>
      <c r="B666">
        <v>193.99</v>
      </c>
      <c r="C666" s="19">
        <v>3645267</v>
      </c>
    </row>
    <row r="667" spans="1:3" x14ac:dyDescent="0.25">
      <c r="A667" s="1">
        <v>41065</v>
      </c>
      <c r="B667">
        <v>189.2</v>
      </c>
      <c r="C667" s="19">
        <v>3556762</v>
      </c>
    </row>
    <row r="668" spans="1:3" x14ac:dyDescent="0.25">
      <c r="A668" s="1">
        <v>41064</v>
      </c>
      <c r="B668">
        <v>188.54</v>
      </c>
      <c r="C668" s="19">
        <v>4625073</v>
      </c>
    </row>
    <row r="669" spans="1:3" x14ac:dyDescent="0.25">
      <c r="A669" s="1">
        <v>41061</v>
      </c>
      <c r="B669">
        <v>189.08</v>
      </c>
      <c r="C669" s="19">
        <v>5206323</v>
      </c>
    </row>
    <row r="670" spans="1:3" x14ac:dyDescent="0.25">
      <c r="A670" s="1">
        <v>41060</v>
      </c>
      <c r="B670">
        <v>192.9</v>
      </c>
      <c r="C670" s="19">
        <v>9290067</v>
      </c>
    </row>
    <row r="671" spans="1:3" x14ac:dyDescent="0.25">
      <c r="A671" s="1">
        <v>41059</v>
      </c>
      <c r="B671">
        <v>194.53</v>
      </c>
      <c r="C671" s="19">
        <v>3602417</v>
      </c>
    </row>
    <row r="672" spans="1:3" x14ac:dyDescent="0.25">
      <c r="A672" s="1">
        <v>41058</v>
      </c>
      <c r="B672">
        <v>196.46</v>
      </c>
      <c r="C672" s="19">
        <v>3618533</v>
      </c>
    </row>
    <row r="673" spans="1:3" x14ac:dyDescent="0.25">
      <c r="A673" s="1">
        <v>41054</v>
      </c>
      <c r="B673">
        <v>194.3</v>
      </c>
      <c r="C673" s="19">
        <v>2903063</v>
      </c>
    </row>
    <row r="674" spans="1:3" x14ac:dyDescent="0.25">
      <c r="A674" s="1">
        <v>41053</v>
      </c>
      <c r="B674">
        <v>196.09</v>
      </c>
      <c r="C674" s="19">
        <v>3569476</v>
      </c>
    </row>
    <row r="675" spans="1:3" x14ac:dyDescent="0.25">
      <c r="A675" s="1">
        <v>41052</v>
      </c>
      <c r="B675">
        <v>196.12</v>
      </c>
      <c r="C675" s="19">
        <v>4066664</v>
      </c>
    </row>
    <row r="676" spans="1:3" x14ac:dyDescent="0.25">
      <c r="A676" s="1">
        <v>41051</v>
      </c>
      <c r="B676">
        <v>196.82</v>
      </c>
      <c r="C676" s="19">
        <v>3567786</v>
      </c>
    </row>
    <row r="677" spans="1:3" x14ac:dyDescent="0.25">
      <c r="A677" s="1">
        <v>41050</v>
      </c>
      <c r="B677">
        <v>197.76</v>
      </c>
      <c r="C677" s="19">
        <v>3831863</v>
      </c>
    </row>
    <row r="678" spans="1:3" x14ac:dyDescent="0.25">
      <c r="A678" s="1">
        <v>41047</v>
      </c>
      <c r="B678">
        <v>195.88</v>
      </c>
      <c r="C678" s="19">
        <v>5737095</v>
      </c>
    </row>
    <row r="679" spans="1:3" x14ac:dyDescent="0.25">
      <c r="A679" s="1">
        <v>41046</v>
      </c>
      <c r="B679">
        <v>197.89</v>
      </c>
      <c r="C679" s="19">
        <v>5627456</v>
      </c>
    </row>
    <row r="680" spans="1:3" x14ac:dyDescent="0.25">
      <c r="A680" s="1">
        <v>41045</v>
      </c>
      <c r="B680">
        <v>199.73</v>
      </c>
      <c r="C680" s="19">
        <v>5001087</v>
      </c>
    </row>
    <row r="681" spans="1:3" x14ac:dyDescent="0.25">
      <c r="A681" s="1">
        <v>41044</v>
      </c>
      <c r="B681">
        <v>199.04</v>
      </c>
      <c r="C681" s="19">
        <v>2987339</v>
      </c>
    </row>
    <row r="682" spans="1:3" x14ac:dyDescent="0.25">
      <c r="A682" s="1">
        <v>41043</v>
      </c>
      <c r="B682">
        <v>199.44</v>
      </c>
      <c r="C682" s="19">
        <v>3029639</v>
      </c>
    </row>
    <row r="683" spans="1:3" x14ac:dyDescent="0.25">
      <c r="A683" s="1">
        <v>41040</v>
      </c>
      <c r="B683">
        <v>201.17</v>
      </c>
      <c r="C683" s="19">
        <v>2391580</v>
      </c>
    </row>
    <row r="684" spans="1:3" x14ac:dyDescent="0.25">
      <c r="A684" s="1">
        <v>41039</v>
      </c>
      <c r="B684">
        <v>200.6</v>
      </c>
      <c r="C684" s="19">
        <v>3831076</v>
      </c>
    </row>
    <row r="685" spans="1:3" x14ac:dyDescent="0.25">
      <c r="A685" s="1">
        <v>41038</v>
      </c>
      <c r="B685">
        <v>201.23</v>
      </c>
      <c r="C685" s="19">
        <v>3743290</v>
      </c>
    </row>
    <row r="686" spans="1:3" x14ac:dyDescent="0.25">
      <c r="A686" s="1">
        <v>41037</v>
      </c>
      <c r="B686">
        <v>201.48</v>
      </c>
      <c r="C686" s="19">
        <v>3881592</v>
      </c>
    </row>
    <row r="687" spans="1:3" x14ac:dyDescent="0.25">
      <c r="A687" s="1">
        <v>41036</v>
      </c>
      <c r="B687">
        <v>203.75</v>
      </c>
      <c r="C687" s="19">
        <v>3375923</v>
      </c>
    </row>
    <row r="688" spans="1:3" x14ac:dyDescent="0.25">
      <c r="A688" s="1">
        <v>41033</v>
      </c>
      <c r="B688">
        <v>204.99</v>
      </c>
      <c r="C688" s="19">
        <v>4024251</v>
      </c>
    </row>
    <row r="689" spans="1:3" x14ac:dyDescent="0.25">
      <c r="A689" s="1">
        <v>41032</v>
      </c>
      <c r="B689">
        <v>207.24</v>
      </c>
      <c r="C689" s="19">
        <v>2826568</v>
      </c>
    </row>
    <row r="690" spans="1:3" x14ac:dyDescent="0.25">
      <c r="A690" s="1">
        <v>41031</v>
      </c>
      <c r="B690">
        <v>208.06</v>
      </c>
      <c r="C690" s="19">
        <v>2360257</v>
      </c>
    </row>
    <row r="691" spans="1:3" x14ac:dyDescent="0.25">
      <c r="A691" s="1">
        <v>41030</v>
      </c>
      <c r="B691">
        <v>208</v>
      </c>
      <c r="C691" s="19">
        <v>2715870</v>
      </c>
    </row>
    <row r="692" spans="1:3" x14ac:dyDescent="0.25">
      <c r="A692" s="1">
        <v>41029</v>
      </c>
      <c r="B692">
        <v>207.08</v>
      </c>
      <c r="C692" s="19">
        <v>2773199</v>
      </c>
    </row>
    <row r="693" spans="1:3" x14ac:dyDescent="0.25">
      <c r="A693" s="1">
        <v>41026</v>
      </c>
      <c r="B693">
        <v>206.81</v>
      </c>
      <c r="C693" s="19">
        <v>3414143</v>
      </c>
    </row>
    <row r="694" spans="1:3" x14ac:dyDescent="0.25">
      <c r="A694" s="1">
        <v>41025</v>
      </c>
      <c r="B694">
        <v>205.58</v>
      </c>
      <c r="C694" s="19">
        <v>3304328</v>
      </c>
    </row>
    <row r="695" spans="1:3" x14ac:dyDescent="0.25">
      <c r="A695" s="1">
        <v>41024</v>
      </c>
      <c r="B695">
        <v>203.57</v>
      </c>
      <c r="C695" s="19">
        <v>4003311</v>
      </c>
    </row>
    <row r="696" spans="1:3" x14ac:dyDescent="0.25">
      <c r="A696" s="1">
        <v>41023</v>
      </c>
      <c r="B696">
        <v>200</v>
      </c>
      <c r="C696" s="19">
        <v>5631646</v>
      </c>
    </row>
    <row r="697" spans="1:3" x14ac:dyDescent="0.25">
      <c r="A697" s="1">
        <v>41022</v>
      </c>
      <c r="B697">
        <v>198.62</v>
      </c>
      <c r="C697" s="19">
        <v>3618928</v>
      </c>
    </row>
    <row r="698" spans="1:3" x14ac:dyDescent="0.25">
      <c r="A698" s="1">
        <v>41019</v>
      </c>
      <c r="B698">
        <v>199.6</v>
      </c>
      <c r="C698" s="19">
        <v>4758663</v>
      </c>
    </row>
    <row r="699" spans="1:3" x14ac:dyDescent="0.25">
      <c r="A699" s="1">
        <v>41018</v>
      </c>
      <c r="B699">
        <v>199.51</v>
      </c>
      <c r="C699" s="19">
        <v>5763201</v>
      </c>
    </row>
    <row r="700" spans="1:3" x14ac:dyDescent="0.25">
      <c r="A700" s="1">
        <v>41017</v>
      </c>
      <c r="B700">
        <v>200.13</v>
      </c>
      <c r="C700" s="19">
        <v>10155310</v>
      </c>
    </row>
    <row r="701" spans="1:3" x14ac:dyDescent="0.25">
      <c r="A701" s="1">
        <v>41016</v>
      </c>
      <c r="B701">
        <v>207.45</v>
      </c>
      <c r="C701" s="19">
        <v>6073651</v>
      </c>
    </row>
    <row r="702" spans="1:3" x14ac:dyDescent="0.25">
      <c r="A702" s="1">
        <v>41015</v>
      </c>
      <c r="B702">
        <v>202.72</v>
      </c>
      <c r="C702" s="19">
        <v>3827191</v>
      </c>
    </row>
    <row r="703" spans="1:3" x14ac:dyDescent="0.25">
      <c r="A703" s="1">
        <v>41012</v>
      </c>
      <c r="B703">
        <v>202.8</v>
      </c>
      <c r="C703" s="19">
        <v>3768117</v>
      </c>
    </row>
    <row r="704" spans="1:3" x14ac:dyDescent="0.25">
      <c r="A704" s="1">
        <v>41011</v>
      </c>
      <c r="B704">
        <v>205.32</v>
      </c>
      <c r="C704" s="19">
        <v>2929585</v>
      </c>
    </row>
    <row r="705" spans="1:3" x14ac:dyDescent="0.25">
      <c r="A705" s="1">
        <v>41010</v>
      </c>
      <c r="B705">
        <v>202.58</v>
      </c>
      <c r="C705" s="19">
        <v>3367363</v>
      </c>
    </row>
    <row r="706" spans="1:3" x14ac:dyDescent="0.25">
      <c r="A706" s="1">
        <v>41009</v>
      </c>
      <c r="B706">
        <v>202.33</v>
      </c>
      <c r="C706" s="19">
        <v>4132997</v>
      </c>
    </row>
    <row r="707" spans="1:3" x14ac:dyDescent="0.25">
      <c r="A707" s="1">
        <v>41008</v>
      </c>
      <c r="B707">
        <v>204.94</v>
      </c>
      <c r="C707" s="19">
        <v>3326810</v>
      </c>
    </row>
    <row r="708" spans="1:3" x14ac:dyDescent="0.25">
      <c r="A708" s="1">
        <v>41004</v>
      </c>
      <c r="B708">
        <v>205.47</v>
      </c>
      <c r="C708" s="19">
        <v>3809119</v>
      </c>
    </row>
    <row r="709" spans="1:3" x14ac:dyDescent="0.25">
      <c r="A709" s="1">
        <v>41003</v>
      </c>
      <c r="B709">
        <v>206.05</v>
      </c>
      <c r="C709" s="19">
        <v>4404078</v>
      </c>
    </row>
    <row r="710" spans="1:3" x14ac:dyDescent="0.25">
      <c r="A710" s="1">
        <v>41002</v>
      </c>
      <c r="B710">
        <v>209.5</v>
      </c>
      <c r="C710" s="19">
        <v>4091491</v>
      </c>
    </row>
    <row r="711" spans="1:3" x14ac:dyDescent="0.25">
      <c r="A711" s="1">
        <v>41001</v>
      </c>
      <c r="B711">
        <v>209.47</v>
      </c>
      <c r="C711" s="19">
        <v>3388035</v>
      </c>
    </row>
    <row r="712" spans="1:3" x14ac:dyDescent="0.25">
      <c r="A712" s="1">
        <v>40998</v>
      </c>
      <c r="B712">
        <v>208.65</v>
      </c>
      <c r="C712" s="19">
        <v>3217344</v>
      </c>
    </row>
    <row r="713" spans="1:3" x14ac:dyDescent="0.25">
      <c r="A713" s="1">
        <v>40997</v>
      </c>
      <c r="B713">
        <v>208.27</v>
      </c>
      <c r="C713" s="19">
        <v>3403665</v>
      </c>
    </row>
    <row r="714" spans="1:3" x14ac:dyDescent="0.25">
      <c r="A714" s="1">
        <v>40996</v>
      </c>
      <c r="B714">
        <v>207.29</v>
      </c>
      <c r="C714" s="19">
        <v>3265696</v>
      </c>
    </row>
    <row r="715" spans="1:3" x14ac:dyDescent="0.25">
      <c r="A715" s="1">
        <v>40995</v>
      </c>
      <c r="B715">
        <v>207.18</v>
      </c>
      <c r="C715" s="19">
        <v>2705065</v>
      </c>
    </row>
    <row r="716" spans="1:3" x14ac:dyDescent="0.25">
      <c r="A716" s="1">
        <v>40994</v>
      </c>
      <c r="B716">
        <v>207.77</v>
      </c>
      <c r="C716" s="19">
        <v>3418255</v>
      </c>
    </row>
    <row r="717" spans="1:3" x14ac:dyDescent="0.25">
      <c r="A717" s="1">
        <v>40991</v>
      </c>
      <c r="B717">
        <v>205.48</v>
      </c>
      <c r="C717" s="19">
        <v>3036189</v>
      </c>
    </row>
    <row r="718" spans="1:3" x14ac:dyDescent="0.25">
      <c r="A718" s="1">
        <v>40990</v>
      </c>
      <c r="B718">
        <v>205.49</v>
      </c>
      <c r="C718" s="19">
        <v>3308534</v>
      </c>
    </row>
    <row r="719" spans="1:3" x14ac:dyDescent="0.25">
      <c r="A719" s="1">
        <v>40989</v>
      </c>
      <c r="B719">
        <v>204.69</v>
      </c>
      <c r="C719" s="19">
        <v>3330241</v>
      </c>
    </row>
    <row r="720" spans="1:3" x14ac:dyDescent="0.25">
      <c r="A720" s="1">
        <v>40988</v>
      </c>
      <c r="B720">
        <v>204.25</v>
      </c>
      <c r="C720" s="19">
        <v>3695026</v>
      </c>
    </row>
    <row r="721" spans="1:3" x14ac:dyDescent="0.25">
      <c r="A721" s="1">
        <v>40987</v>
      </c>
      <c r="B721">
        <v>205.72</v>
      </c>
      <c r="C721" s="19">
        <v>3763177</v>
      </c>
    </row>
    <row r="722" spans="1:3" x14ac:dyDescent="0.25">
      <c r="A722" s="1">
        <v>40984</v>
      </c>
      <c r="B722">
        <v>206.01</v>
      </c>
      <c r="C722" s="19">
        <v>9638129</v>
      </c>
    </row>
    <row r="723" spans="1:3" x14ac:dyDescent="0.25">
      <c r="A723" s="1">
        <v>40983</v>
      </c>
      <c r="B723">
        <v>206</v>
      </c>
      <c r="C723" s="19">
        <v>3621170</v>
      </c>
    </row>
    <row r="724" spans="1:3" x14ac:dyDescent="0.25">
      <c r="A724" s="1">
        <v>40982</v>
      </c>
      <c r="B724">
        <v>204.72</v>
      </c>
      <c r="C724" s="19">
        <v>4602609</v>
      </c>
    </row>
    <row r="725" spans="1:3" x14ac:dyDescent="0.25">
      <c r="A725" s="1">
        <v>40981</v>
      </c>
      <c r="B725">
        <v>203.78</v>
      </c>
      <c r="C725" s="19">
        <v>4864835</v>
      </c>
    </row>
    <row r="726" spans="1:3" x14ac:dyDescent="0.25">
      <c r="A726" s="1">
        <v>40980</v>
      </c>
      <c r="B726">
        <v>201</v>
      </c>
      <c r="C726" s="19">
        <v>3119666</v>
      </c>
    </row>
    <row r="727" spans="1:3" x14ac:dyDescent="0.25">
      <c r="A727" s="1">
        <v>40977</v>
      </c>
      <c r="B727">
        <v>200.62</v>
      </c>
      <c r="C727" s="19">
        <v>3178143</v>
      </c>
    </row>
    <row r="728" spans="1:3" x14ac:dyDescent="0.25">
      <c r="A728" s="1">
        <v>40976</v>
      </c>
      <c r="B728">
        <v>199.81</v>
      </c>
      <c r="C728" s="19">
        <v>3145893</v>
      </c>
    </row>
    <row r="729" spans="1:3" x14ac:dyDescent="0.25">
      <c r="A729" s="1">
        <v>40975</v>
      </c>
      <c r="B729">
        <v>197.77</v>
      </c>
      <c r="C729" s="19">
        <v>3346878</v>
      </c>
    </row>
    <row r="730" spans="1:3" x14ac:dyDescent="0.25">
      <c r="A730" s="1">
        <v>40974</v>
      </c>
      <c r="B730">
        <v>197.26</v>
      </c>
      <c r="C730" s="19">
        <v>5215871</v>
      </c>
    </row>
    <row r="731" spans="1:3" x14ac:dyDescent="0.25">
      <c r="A731" s="1">
        <v>40973</v>
      </c>
      <c r="B731">
        <v>200.66</v>
      </c>
      <c r="C731" s="19">
        <v>6938659</v>
      </c>
    </row>
    <row r="732" spans="1:3" x14ac:dyDescent="0.25">
      <c r="A732" s="1">
        <v>40970</v>
      </c>
      <c r="B732">
        <v>198.81</v>
      </c>
      <c r="C732" s="19">
        <v>3727970</v>
      </c>
    </row>
    <row r="733" spans="1:3" x14ac:dyDescent="0.25">
      <c r="A733" s="1">
        <v>40969</v>
      </c>
      <c r="B733">
        <v>197.53</v>
      </c>
      <c r="C733" s="19">
        <v>3560706</v>
      </c>
    </row>
    <row r="734" spans="1:3" x14ac:dyDescent="0.25">
      <c r="A734" s="1">
        <v>40968</v>
      </c>
      <c r="B734">
        <v>196.73</v>
      </c>
      <c r="C734" s="19">
        <v>5120543</v>
      </c>
    </row>
    <row r="735" spans="1:3" x14ac:dyDescent="0.25">
      <c r="A735" s="1">
        <v>40967</v>
      </c>
      <c r="B735">
        <v>197.98</v>
      </c>
      <c r="C735" s="19">
        <v>3167481</v>
      </c>
    </row>
    <row r="736" spans="1:3" x14ac:dyDescent="0.25">
      <c r="A736" s="1">
        <v>40966</v>
      </c>
      <c r="B736">
        <v>197.53</v>
      </c>
      <c r="C736" s="19">
        <v>3758585</v>
      </c>
    </row>
    <row r="737" spans="1:3" x14ac:dyDescent="0.25">
      <c r="A737" s="1">
        <v>40963</v>
      </c>
      <c r="B737">
        <v>197.76</v>
      </c>
      <c r="C737" s="19">
        <v>3353242</v>
      </c>
    </row>
    <row r="738" spans="1:3" x14ac:dyDescent="0.25">
      <c r="A738" s="1">
        <v>40962</v>
      </c>
      <c r="B738">
        <v>197.61</v>
      </c>
      <c r="C738" s="19">
        <v>8034535</v>
      </c>
    </row>
    <row r="739" spans="1:3" x14ac:dyDescent="0.25">
      <c r="A739" s="1">
        <v>40961</v>
      </c>
      <c r="B739">
        <v>193.87</v>
      </c>
      <c r="C739" s="19">
        <v>3276029</v>
      </c>
    </row>
    <row r="740" spans="1:3" x14ac:dyDescent="0.25">
      <c r="A740" s="1">
        <v>40960</v>
      </c>
      <c r="B740">
        <v>193.39</v>
      </c>
      <c r="C740" s="19">
        <v>3294073</v>
      </c>
    </row>
    <row r="741" spans="1:3" x14ac:dyDescent="0.25">
      <c r="A741" s="1">
        <v>40956</v>
      </c>
      <c r="B741">
        <v>193.42</v>
      </c>
      <c r="C741" s="19">
        <v>3746679</v>
      </c>
    </row>
    <row r="742" spans="1:3" x14ac:dyDescent="0.25">
      <c r="A742" s="1">
        <v>40955</v>
      </c>
      <c r="B742">
        <v>193.02</v>
      </c>
      <c r="C742" s="19">
        <v>3525728</v>
      </c>
    </row>
    <row r="743" spans="1:3" x14ac:dyDescent="0.25">
      <c r="A743" s="1">
        <v>40954</v>
      </c>
      <c r="B743">
        <v>192.25</v>
      </c>
      <c r="C743" s="19">
        <v>4021139</v>
      </c>
    </row>
    <row r="744" spans="1:3" x14ac:dyDescent="0.25">
      <c r="A744" s="1">
        <v>40953</v>
      </c>
      <c r="B744">
        <v>192.22</v>
      </c>
      <c r="C744" s="19">
        <v>3398364</v>
      </c>
    </row>
    <row r="745" spans="1:3" x14ac:dyDescent="0.25">
      <c r="A745" s="1">
        <v>40952</v>
      </c>
      <c r="B745">
        <v>192.62</v>
      </c>
      <c r="C745" s="19">
        <v>2458889</v>
      </c>
    </row>
    <row r="746" spans="1:3" x14ac:dyDescent="0.25">
      <c r="A746" s="1">
        <v>40949</v>
      </c>
      <c r="B746">
        <v>192.42</v>
      </c>
      <c r="C746" s="19">
        <v>3391177</v>
      </c>
    </row>
    <row r="747" spans="1:3" x14ac:dyDescent="0.25">
      <c r="A747" s="1">
        <v>40948</v>
      </c>
      <c r="B747">
        <v>193.13</v>
      </c>
      <c r="C747" s="19">
        <v>3876530</v>
      </c>
    </row>
    <row r="748" spans="1:3" x14ac:dyDescent="0.25">
      <c r="A748" s="1">
        <v>40947</v>
      </c>
      <c r="B748">
        <v>192.95</v>
      </c>
      <c r="C748" s="19">
        <v>3804288</v>
      </c>
    </row>
    <row r="749" spans="1:3" x14ac:dyDescent="0.25">
      <c r="A749" s="1">
        <v>40946</v>
      </c>
      <c r="B749">
        <v>193.35</v>
      </c>
      <c r="C749" s="19">
        <v>3432953</v>
      </c>
    </row>
    <row r="750" spans="1:3" x14ac:dyDescent="0.25">
      <c r="A750" s="1">
        <v>40945</v>
      </c>
      <c r="B750">
        <v>192.82</v>
      </c>
      <c r="C750" s="19">
        <v>3639807</v>
      </c>
    </row>
    <row r="751" spans="1:3" x14ac:dyDescent="0.25">
      <c r="A751" s="1">
        <v>40942</v>
      </c>
      <c r="B751">
        <v>193.64</v>
      </c>
      <c r="C751" s="19">
        <v>4521636</v>
      </c>
    </row>
    <row r="752" spans="1:3" x14ac:dyDescent="0.25">
      <c r="A752" s="1">
        <v>40941</v>
      </c>
      <c r="B752">
        <v>191.53</v>
      </c>
      <c r="C752" s="19">
        <v>3907360</v>
      </c>
    </row>
    <row r="753" spans="1:3" x14ac:dyDescent="0.25">
      <c r="A753" s="1">
        <v>40940</v>
      </c>
      <c r="B753">
        <v>192.62</v>
      </c>
      <c r="C753" s="19">
        <v>5089251</v>
      </c>
    </row>
    <row r="754" spans="1:3" x14ac:dyDescent="0.25">
      <c r="A754" s="1">
        <v>40939</v>
      </c>
      <c r="B754">
        <v>192.6</v>
      </c>
      <c r="C754" s="19">
        <v>4827924</v>
      </c>
    </row>
    <row r="755" spans="1:3" x14ac:dyDescent="0.25">
      <c r="A755" s="1">
        <v>40938</v>
      </c>
      <c r="B755">
        <v>192.5</v>
      </c>
      <c r="C755" s="19">
        <v>4359045</v>
      </c>
    </row>
    <row r="756" spans="1:3" x14ac:dyDescent="0.25">
      <c r="A756" s="1">
        <v>40935</v>
      </c>
      <c r="B756">
        <v>190.46</v>
      </c>
      <c r="C756" s="19">
        <v>3360521</v>
      </c>
    </row>
    <row r="757" spans="1:3" x14ac:dyDescent="0.25">
      <c r="A757" s="1">
        <v>40934</v>
      </c>
      <c r="B757">
        <v>190.98</v>
      </c>
      <c r="C757" s="19">
        <v>4004615</v>
      </c>
    </row>
    <row r="758" spans="1:3" x14ac:dyDescent="0.25">
      <c r="A758" s="1">
        <v>40933</v>
      </c>
      <c r="B758">
        <v>191.73</v>
      </c>
      <c r="C758" s="19">
        <v>4360603</v>
      </c>
    </row>
    <row r="759" spans="1:3" x14ac:dyDescent="0.25">
      <c r="A759" s="1">
        <v>40932</v>
      </c>
      <c r="B759">
        <v>191.93</v>
      </c>
      <c r="C759" s="19">
        <v>5349750</v>
      </c>
    </row>
    <row r="760" spans="1:3" x14ac:dyDescent="0.25">
      <c r="A760" s="1">
        <v>40931</v>
      </c>
      <c r="B760">
        <v>189.98</v>
      </c>
      <c r="C760" s="19">
        <v>5751748</v>
      </c>
    </row>
    <row r="761" spans="1:3" x14ac:dyDescent="0.25">
      <c r="A761" s="1">
        <v>40928</v>
      </c>
      <c r="B761">
        <v>188.52</v>
      </c>
      <c r="C761" s="19">
        <v>12850230</v>
      </c>
    </row>
    <row r="762" spans="1:3" x14ac:dyDescent="0.25">
      <c r="A762" s="1">
        <v>40927</v>
      </c>
      <c r="B762">
        <v>180.52</v>
      </c>
      <c r="C762" s="19">
        <v>8575901</v>
      </c>
    </row>
    <row r="763" spans="1:3" x14ac:dyDescent="0.25">
      <c r="A763" s="1">
        <v>40926</v>
      </c>
      <c r="B763">
        <v>181.07</v>
      </c>
      <c r="C763" s="19">
        <v>4601271</v>
      </c>
    </row>
    <row r="764" spans="1:3" x14ac:dyDescent="0.25">
      <c r="A764" s="1">
        <v>40925</v>
      </c>
      <c r="B764">
        <v>180</v>
      </c>
      <c r="C764" s="19">
        <v>6003399</v>
      </c>
    </row>
    <row r="765" spans="1:3" x14ac:dyDescent="0.25">
      <c r="A765" s="1">
        <v>40921</v>
      </c>
      <c r="B765">
        <v>179.16</v>
      </c>
      <c r="C765" s="19">
        <v>5279348</v>
      </c>
    </row>
    <row r="766" spans="1:3" x14ac:dyDescent="0.25">
      <c r="A766" s="1">
        <v>40920</v>
      </c>
      <c r="B766">
        <v>180.55</v>
      </c>
      <c r="C766" s="19">
        <v>6880962</v>
      </c>
    </row>
    <row r="767" spans="1:3" x14ac:dyDescent="0.25">
      <c r="A767" s="1">
        <v>40919</v>
      </c>
      <c r="B767">
        <v>182.32</v>
      </c>
      <c r="C767" s="19">
        <v>4110952</v>
      </c>
    </row>
    <row r="768" spans="1:3" x14ac:dyDescent="0.25">
      <c r="A768" s="1">
        <v>40918</v>
      </c>
      <c r="B768">
        <v>181.31</v>
      </c>
      <c r="C768" s="19">
        <v>5161696</v>
      </c>
    </row>
    <row r="769" spans="1:3" x14ac:dyDescent="0.25">
      <c r="A769" s="1">
        <v>40917</v>
      </c>
      <c r="B769">
        <v>181.59</v>
      </c>
      <c r="C769" s="19">
        <v>5201266</v>
      </c>
    </row>
    <row r="770" spans="1:3" x14ac:dyDescent="0.25">
      <c r="A770" s="1">
        <v>40914</v>
      </c>
      <c r="B770">
        <v>182.54</v>
      </c>
      <c r="C770" s="19">
        <v>4897057</v>
      </c>
    </row>
    <row r="771" spans="1:3" x14ac:dyDescent="0.25">
      <c r="A771" s="1">
        <v>40913</v>
      </c>
      <c r="B771">
        <v>184.66</v>
      </c>
      <c r="C771" s="19">
        <v>4463267</v>
      </c>
    </row>
    <row r="772" spans="1:3" x14ac:dyDescent="0.25">
      <c r="A772" s="1">
        <v>40912</v>
      </c>
      <c r="B772">
        <v>185.54</v>
      </c>
      <c r="C772" s="19">
        <v>4346651</v>
      </c>
    </row>
    <row r="773" spans="1:3" x14ac:dyDescent="0.25">
      <c r="A773" s="1">
        <v>40911</v>
      </c>
      <c r="B773">
        <v>186.3</v>
      </c>
      <c r="C773" s="19">
        <v>5645999</v>
      </c>
    </row>
    <row r="774" spans="1:3" x14ac:dyDescent="0.25">
      <c r="A774" s="1">
        <v>40907</v>
      </c>
      <c r="B774">
        <v>183.88</v>
      </c>
      <c r="C774" s="19">
        <v>3531804</v>
      </c>
    </row>
    <row r="775" spans="1:3" x14ac:dyDescent="0.25">
      <c r="A775" s="1">
        <v>40906</v>
      </c>
      <c r="B775">
        <v>186.18</v>
      </c>
      <c r="C775" s="19">
        <v>2941990</v>
      </c>
    </row>
    <row r="776" spans="1:3" x14ac:dyDescent="0.25">
      <c r="A776" s="1">
        <v>40905</v>
      </c>
      <c r="B776">
        <v>183.99</v>
      </c>
      <c r="C776" s="19">
        <v>2873438</v>
      </c>
    </row>
    <row r="777" spans="1:3" x14ac:dyDescent="0.25">
      <c r="A777" s="1">
        <v>40904</v>
      </c>
      <c r="B777">
        <v>184.95</v>
      </c>
      <c r="C777" s="19">
        <v>2775314</v>
      </c>
    </row>
    <row r="778" spans="1:3" x14ac:dyDescent="0.25">
      <c r="A778" s="1">
        <v>40900</v>
      </c>
      <c r="B778">
        <v>184.75</v>
      </c>
      <c r="C778" s="19">
        <v>3052791</v>
      </c>
    </row>
    <row r="779" spans="1:3" x14ac:dyDescent="0.25">
      <c r="A779" s="1">
        <v>40899</v>
      </c>
      <c r="B779">
        <v>182.04</v>
      </c>
      <c r="C779" s="19">
        <v>5052410</v>
      </c>
    </row>
    <row r="780" spans="1:3" x14ac:dyDescent="0.25">
      <c r="A780" s="1">
        <v>40898</v>
      </c>
      <c r="B780">
        <v>181.47</v>
      </c>
      <c r="C780" s="19">
        <v>9284370</v>
      </c>
    </row>
    <row r="781" spans="1:3" x14ac:dyDescent="0.25">
      <c r="A781" s="1">
        <v>40897</v>
      </c>
      <c r="B781">
        <v>187.24</v>
      </c>
      <c r="C781" s="19">
        <v>4742825</v>
      </c>
    </row>
    <row r="782" spans="1:3" x14ac:dyDescent="0.25">
      <c r="A782" s="1">
        <v>40896</v>
      </c>
      <c r="B782">
        <v>182.89</v>
      </c>
      <c r="C782" s="19">
        <v>5039846</v>
      </c>
    </row>
    <row r="783" spans="1:3" x14ac:dyDescent="0.25">
      <c r="A783" s="1">
        <v>40893</v>
      </c>
      <c r="B783">
        <v>183.57</v>
      </c>
      <c r="C783" s="19">
        <v>11849740</v>
      </c>
    </row>
    <row r="784" spans="1:3" x14ac:dyDescent="0.25">
      <c r="A784" s="1">
        <v>40892</v>
      </c>
      <c r="B784">
        <v>187.48</v>
      </c>
      <c r="C784" s="19">
        <v>4475149</v>
      </c>
    </row>
    <row r="785" spans="1:3" x14ac:dyDescent="0.25">
      <c r="A785" s="1">
        <v>40891</v>
      </c>
      <c r="B785">
        <v>188.72</v>
      </c>
      <c r="C785" s="19">
        <v>5058143</v>
      </c>
    </row>
    <row r="786" spans="1:3" x14ac:dyDescent="0.25">
      <c r="A786" s="1">
        <v>40890</v>
      </c>
      <c r="B786">
        <v>191.15</v>
      </c>
      <c r="C786" s="19">
        <v>5009540</v>
      </c>
    </row>
    <row r="787" spans="1:3" x14ac:dyDescent="0.25">
      <c r="A787" s="1">
        <v>40889</v>
      </c>
      <c r="B787">
        <v>192.18</v>
      </c>
      <c r="C787" s="19">
        <v>3797497</v>
      </c>
    </row>
    <row r="788" spans="1:3" x14ac:dyDescent="0.25">
      <c r="A788" s="1">
        <v>40886</v>
      </c>
      <c r="B788">
        <v>194.56</v>
      </c>
      <c r="C788" s="19">
        <v>4848770</v>
      </c>
    </row>
    <row r="789" spans="1:3" x14ac:dyDescent="0.25">
      <c r="A789" s="1">
        <v>40885</v>
      </c>
      <c r="B789">
        <v>191.58</v>
      </c>
      <c r="C789" s="19">
        <v>4369089</v>
      </c>
    </row>
    <row r="790" spans="1:3" x14ac:dyDescent="0.25">
      <c r="A790" s="1">
        <v>40884</v>
      </c>
      <c r="B790">
        <v>194.05</v>
      </c>
      <c r="C790" s="19">
        <v>5083228</v>
      </c>
    </row>
    <row r="791" spans="1:3" x14ac:dyDescent="0.25">
      <c r="A791" s="1">
        <v>40883</v>
      </c>
      <c r="B791">
        <v>192.94</v>
      </c>
      <c r="C791" s="19">
        <v>4145053</v>
      </c>
    </row>
    <row r="792" spans="1:3" x14ac:dyDescent="0.25">
      <c r="A792" s="1">
        <v>40882</v>
      </c>
      <c r="B792">
        <v>190.84</v>
      </c>
      <c r="C792" s="19">
        <v>5699392</v>
      </c>
    </row>
    <row r="793" spans="1:3" x14ac:dyDescent="0.25">
      <c r="A793" s="1">
        <v>40879</v>
      </c>
      <c r="B793">
        <v>189.66</v>
      </c>
      <c r="C793" s="19">
        <v>4962414</v>
      </c>
    </row>
    <row r="794" spans="1:3" x14ac:dyDescent="0.25">
      <c r="A794" s="1">
        <v>40878</v>
      </c>
      <c r="B794">
        <v>189.45</v>
      </c>
      <c r="C794" s="19">
        <v>4862618</v>
      </c>
    </row>
    <row r="795" spans="1:3" x14ac:dyDescent="0.25">
      <c r="A795" s="1">
        <v>40877</v>
      </c>
      <c r="B795">
        <v>188</v>
      </c>
      <c r="C795" s="19">
        <v>7836882</v>
      </c>
    </row>
    <row r="796" spans="1:3" x14ac:dyDescent="0.25">
      <c r="A796" s="1">
        <v>40876</v>
      </c>
      <c r="B796">
        <v>180.94</v>
      </c>
      <c r="C796" s="19">
        <v>3662066</v>
      </c>
    </row>
    <row r="797" spans="1:3" x14ac:dyDescent="0.25">
      <c r="A797" s="1">
        <v>40875</v>
      </c>
      <c r="B797">
        <v>182.21</v>
      </c>
      <c r="C797" s="19">
        <v>4524289</v>
      </c>
    </row>
    <row r="798" spans="1:3" x14ac:dyDescent="0.25">
      <c r="A798" s="1">
        <v>40872</v>
      </c>
      <c r="B798">
        <v>177.06</v>
      </c>
      <c r="C798" s="19">
        <v>2232713</v>
      </c>
    </row>
    <row r="799" spans="1:3" x14ac:dyDescent="0.25">
      <c r="A799" s="1">
        <v>40870</v>
      </c>
      <c r="B799">
        <v>177.95</v>
      </c>
      <c r="C799" s="19">
        <v>4802040</v>
      </c>
    </row>
    <row r="800" spans="1:3" x14ac:dyDescent="0.25">
      <c r="A800" s="1">
        <v>40869</v>
      </c>
      <c r="B800">
        <v>181.31</v>
      </c>
      <c r="C800" s="19">
        <v>4179063</v>
      </c>
    </row>
    <row r="801" spans="1:3" x14ac:dyDescent="0.25">
      <c r="A801" s="1">
        <v>40868</v>
      </c>
      <c r="B801">
        <v>181.48</v>
      </c>
      <c r="C801" s="19">
        <v>5145072</v>
      </c>
    </row>
    <row r="802" spans="1:3" x14ac:dyDescent="0.25">
      <c r="A802" s="1">
        <v>40865</v>
      </c>
      <c r="B802">
        <v>185.24</v>
      </c>
      <c r="C802" s="19">
        <v>4441334</v>
      </c>
    </row>
    <row r="803" spans="1:3" x14ac:dyDescent="0.25">
      <c r="A803" s="1">
        <v>40864</v>
      </c>
      <c r="B803">
        <v>185.73</v>
      </c>
      <c r="C803" s="19">
        <v>5840520</v>
      </c>
    </row>
    <row r="804" spans="1:3" x14ac:dyDescent="0.25">
      <c r="A804" s="1">
        <v>40863</v>
      </c>
      <c r="B804">
        <v>186.62</v>
      </c>
      <c r="C804" s="19">
        <v>4619536</v>
      </c>
    </row>
    <row r="805" spans="1:3" x14ac:dyDescent="0.25">
      <c r="A805" s="1">
        <v>40862</v>
      </c>
      <c r="B805">
        <v>188.75</v>
      </c>
      <c r="C805" s="19">
        <v>4585232</v>
      </c>
    </row>
    <row r="806" spans="1:3" x14ac:dyDescent="0.25">
      <c r="A806" s="1">
        <v>40861</v>
      </c>
      <c r="B806">
        <v>187.35</v>
      </c>
      <c r="C806" s="19">
        <v>6047079</v>
      </c>
    </row>
    <row r="807" spans="1:3" x14ac:dyDescent="0.25">
      <c r="A807" s="1">
        <v>40858</v>
      </c>
      <c r="B807">
        <v>187.38</v>
      </c>
      <c r="C807" s="19">
        <v>3665309</v>
      </c>
    </row>
    <row r="808" spans="1:3" x14ac:dyDescent="0.25">
      <c r="A808" s="1">
        <v>40857</v>
      </c>
      <c r="B808">
        <v>183.35</v>
      </c>
      <c r="C808" s="19">
        <v>3881958</v>
      </c>
    </row>
    <row r="809" spans="1:3" x14ac:dyDescent="0.25">
      <c r="A809" s="1">
        <v>40856</v>
      </c>
      <c r="B809">
        <v>182.24</v>
      </c>
      <c r="C809" s="19">
        <v>5495014</v>
      </c>
    </row>
    <row r="810" spans="1:3" x14ac:dyDescent="0.25">
      <c r="A810" s="1">
        <v>40855</v>
      </c>
      <c r="B810">
        <v>187.25</v>
      </c>
      <c r="C810" s="19">
        <v>4331568</v>
      </c>
    </row>
    <row r="811" spans="1:3" x14ac:dyDescent="0.25">
      <c r="A811" s="1">
        <v>40854</v>
      </c>
      <c r="B811">
        <v>187.32</v>
      </c>
      <c r="C811" s="19">
        <v>3531095</v>
      </c>
    </row>
    <row r="812" spans="1:3" x14ac:dyDescent="0.25">
      <c r="A812" s="1">
        <v>40851</v>
      </c>
      <c r="B812">
        <v>186.38</v>
      </c>
      <c r="C812" s="19">
        <v>3237874</v>
      </c>
    </row>
    <row r="813" spans="1:3" x14ac:dyDescent="0.25">
      <c r="A813" s="1">
        <v>40850</v>
      </c>
      <c r="B813">
        <v>187.3</v>
      </c>
      <c r="C813" s="19">
        <v>4953637</v>
      </c>
    </row>
    <row r="814" spans="1:3" x14ac:dyDescent="0.25">
      <c r="A814" s="1">
        <v>40849</v>
      </c>
      <c r="B814">
        <v>183.92</v>
      </c>
      <c r="C814" s="19">
        <v>4136703</v>
      </c>
    </row>
    <row r="815" spans="1:3" x14ac:dyDescent="0.25">
      <c r="A815" s="1">
        <v>40848</v>
      </c>
      <c r="B815">
        <v>181.35</v>
      </c>
      <c r="C815" s="19">
        <v>5883336</v>
      </c>
    </row>
    <row r="816" spans="1:3" x14ac:dyDescent="0.25">
      <c r="A816" s="1">
        <v>40847</v>
      </c>
      <c r="B816">
        <v>184.63</v>
      </c>
      <c r="C816" s="19">
        <v>4709968</v>
      </c>
    </row>
    <row r="817" spans="1:3" x14ac:dyDescent="0.25">
      <c r="A817" s="1">
        <v>40844</v>
      </c>
      <c r="B817">
        <v>187.45</v>
      </c>
      <c r="C817" s="19">
        <v>5009820</v>
      </c>
    </row>
    <row r="818" spans="1:3" x14ac:dyDescent="0.25">
      <c r="A818" s="1">
        <v>40843</v>
      </c>
      <c r="B818">
        <v>185.88</v>
      </c>
      <c r="C818" s="19">
        <v>7057876</v>
      </c>
    </row>
    <row r="819" spans="1:3" x14ac:dyDescent="0.25">
      <c r="A819" s="1">
        <v>40842</v>
      </c>
      <c r="B819">
        <v>181.97</v>
      </c>
      <c r="C819" s="19">
        <v>5387883</v>
      </c>
    </row>
    <row r="820" spans="1:3" x14ac:dyDescent="0.25">
      <c r="A820" s="1">
        <v>40841</v>
      </c>
      <c r="B820">
        <v>180.36</v>
      </c>
      <c r="C820" s="19">
        <v>5374054</v>
      </c>
    </row>
    <row r="821" spans="1:3" x14ac:dyDescent="0.25">
      <c r="A821" s="1">
        <v>40840</v>
      </c>
      <c r="B821">
        <v>182.25</v>
      </c>
      <c r="C821" s="19">
        <v>5891258</v>
      </c>
    </row>
    <row r="822" spans="1:3" x14ac:dyDescent="0.25">
      <c r="A822" s="1">
        <v>40837</v>
      </c>
      <c r="B822">
        <v>181.63</v>
      </c>
      <c r="C822" s="19">
        <v>8055801</v>
      </c>
    </row>
    <row r="823" spans="1:3" x14ac:dyDescent="0.25">
      <c r="A823" s="1">
        <v>40836</v>
      </c>
      <c r="B823">
        <v>177.25</v>
      </c>
      <c r="C823" s="19">
        <v>7514283</v>
      </c>
    </row>
    <row r="824" spans="1:3" x14ac:dyDescent="0.25">
      <c r="A824" s="1">
        <v>40835</v>
      </c>
      <c r="B824">
        <v>177.39</v>
      </c>
      <c r="C824" s="19">
        <v>6708371</v>
      </c>
    </row>
    <row r="825" spans="1:3" x14ac:dyDescent="0.25">
      <c r="A825" s="1">
        <v>40834</v>
      </c>
      <c r="B825">
        <v>178.9</v>
      </c>
      <c r="C825" s="19">
        <v>15729690</v>
      </c>
    </row>
    <row r="826" spans="1:3" x14ac:dyDescent="0.25">
      <c r="A826" s="1">
        <v>40833</v>
      </c>
      <c r="B826">
        <v>186.59</v>
      </c>
      <c r="C826" s="19">
        <v>8790278</v>
      </c>
    </row>
    <row r="827" spans="1:3" x14ac:dyDescent="0.25">
      <c r="A827" s="1">
        <v>40830</v>
      </c>
      <c r="B827">
        <v>190.53</v>
      </c>
      <c r="C827" s="19">
        <v>5368616</v>
      </c>
    </row>
    <row r="828" spans="1:3" x14ac:dyDescent="0.25">
      <c r="A828" s="1">
        <v>40829</v>
      </c>
      <c r="B828">
        <v>186.82</v>
      </c>
      <c r="C828" s="19">
        <v>4399267</v>
      </c>
    </row>
    <row r="829" spans="1:3" x14ac:dyDescent="0.25">
      <c r="A829" s="1">
        <v>40828</v>
      </c>
      <c r="B829">
        <v>186.12</v>
      </c>
      <c r="C829" s="19">
        <v>5338149</v>
      </c>
    </row>
    <row r="830" spans="1:3" x14ac:dyDescent="0.25">
      <c r="A830" s="1">
        <v>40827</v>
      </c>
      <c r="B830">
        <v>185</v>
      </c>
      <c r="C830" s="19">
        <v>5330581</v>
      </c>
    </row>
    <row r="831" spans="1:3" x14ac:dyDescent="0.25">
      <c r="A831" s="1">
        <v>40826</v>
      </c>
      <c r="B831">
        <v>186.62</v>
      </c>
      <c r="C831" s="19">
        <v>5786341</v>
      </c>
    </row>
    <row r="832" spans="1:3" x14ac:dyDescent="0.25">
      <c r="A832" s="1">
        <v>40823</v>
      </c>
      <c r="B832">
        <v>182.39</v>
      </c>
      <c r="C832" s="19">
        <v>6842567</v>
      </c>
    </row>
    <row r="833" spans="1:3" x14ac:dyDescent="0.25">
      <c r="A833" s="1">
        <v>40822</v>
      </c>
      <c r="B833">
        <v>181.69</v>
      </c>
      <c r="C833" s="19">
        <v>7181124</v>
      </c>
    </row>
    <row r="834" spans="1:3" x14ac:dyDescent="0.25">
      <c r="A834" s="1">
        <v>40821</v>
      </c>
      <c r="B834">
        <v>176.85</v>
      </c>
      <c r="C834" s="19">
        <v>5851856</v>
      </c>
    </row>
    <row r="835" spans="1:3" x14ac:dyDescent="0.25">
      <c r="A835" s="1">
        <v>40820</v>
      </c>
      <c r="B835">
        <v>174.74</v>
      </c>
      <c r="C835" s="19">
        <v>9175346</v>
      </c>
    </row>
    <row r="836" spans="1:3" x14ac:dyDescent="0.25">
      <c r="A836" s="1">
        <v>40819</v>
      </c>
      <c r="B836">
        <v>173.29</v>
      </c>
      <c r="C836" s="19">
        <v>9043214</v>
      </c>
    </row>
    <row r="837" spans="1:3" x14ac:dyDescent="0.25">
      <c r="A837" s="1">
        <v>40816</v>
      </c>
      <c r="B837">
        <v>174.87</v>
      </c>
      <c r="C837" s="19">
        <v>7851584</v>
      </c>
    </row>
    <row r="838" spans="1:3" x14ac:dyDescent="0.25">
      <c r="A838" s="1">
        <v>40815</v>
      </c>
      <c r="B838">
        <v>179.17</v>
      </c>
      <c r="C838" s="19">
        <v>6944293</v>
      </c>
    </row>
    <row r="839" spans="1:3" x14ac:dyDescent="0.25">
      <c r="A839" s="1">
        <v>40814</v>
      </c>
      <c r="B839">
        <v>177.55</v>
      </c>
      <c r="C839" s="19">
        <v>7732274</v>
      </c>
    </row>
    <row r="840" spans="1:3" x14ac:dyDescent="0.25">
      <c r="A840" s="1">
        <v>40813</v>
      </c>
      <c r="B840">
        <v>177.71</v>
      </c>
      <c r="C840" s="19">
        <v>7640243</v>
      </c>
    </row>
    <row r="841" spans="1:3" x14ac:dyDescent="0.25">
      <c r="A841" s="1">
        <v>40812</v>
      </c>
      <c r="B841">
        <v>174.51</v>
      </c>
      <c r="C841" s="19">
        <v>6745650</v>
      </c>
    </row>
    <row r="842" spans="1:3" x14ac:dyDescent="0.25">
      <c r="A842" s="1">
        <v>40809</v>
      </c>
      <c r="B842">
        <v>169.34</v>
      </c>
      <c r="C842" s="19">
        <v>5586589</v>
      </c>
    </row>
    <row r="843" spans="1:3" x14ac:dyDescent="0.25">
      <c r="A843" s="1">
        <v>40808</v>
      </c>
      <c r="B843">
        <v>168.62</v>
      </c>
      <c r="C843" s="19">
        <v>8195806</v>
      </c>
    </row>
    <row r="844" spans="1:3" x14ac:dyDescent="0.25">
      <c r="A844" s="1">
        <v>40807</v>
      </c>
      <c r="B844">
        <v>173.02</v>
      </c>
      <c r="C844" s="19">
        <v>7043250</v>
      </c>
    </row>
    <row r="845" spans="1:3" x14ac:dyDescent="0.25">
      <c r="A845" s="1">
        <v>40806</v>
      </c>
      <c r="B845">
        <v>174.72</v>
      </c>
      <c r="C845" s="19">
        <v>6209893</v>
      </c>
    </row>
    <row r="846" spans="1:3" x14ac:dyDescent="0.25">
      <c r="A846" s="1">
        <v>40805</v>
      </c>
      <c r="B846">
        <v>173.13</v>
      </c>
      <c r="C846" s="19">
        <v>4757407</v>
      </c>
    </row>
    <row r="847" spans="1:3" x14ac:dyDescent="0.25">
      <c r="A847" s="1">
        <v>40802</v>
      </c>
      <c r="B847">
        <v>172.99</v>
      </c>
      <c r="C847" s="19">
        <v>11049060</v>
      </c>
    </row>
    <row r="848" spans="1:3" x14ac:dyDescent="0.25">
      <c r="A848" s="1">
        <v>40801</v>
      </c>
      <c r="B848">
        <v>170.09</v>
      </c>
      <c r="C848" s="19">
        <v>5464433</v>
      </c>
    </row>
    <row r="849" spans="1:3" x14ac:dyDescent="0.25">
      <c r="A849" s="1">
        <v>40800</v>
      </c>
      <c r="B849">
        <v>167.24</v>
      </c>
      <c r="C849" s="19">
        <v>6981043</v>
      </c>
    </row>
    <row r="850" spans="1:3" x14ac:dyDescent="0.25">
      <c r="A850" s="1">
        <v>40799</v>
      </c>
      <c r="B850">
        <v>163.43</v>
      </c>
      <c r="C850" s="19">
        <v>4723740</v>
      </c>
    </row>
    <row r="851" spans="1:3" x14ac:dyDescent="0.25">
      <c r="A851" s="1">
        <v>40798</v>
      </c>
      <c r="B851">
        <v>162.41999999999999</v>
      </c>
      <c r="C851" s="19">
        <v>5247581</v>
      </c>
    </row>
    <row r="852" spans="1:3" x14ac:dyDescent="0.25">
      <c r="A852" s="1">
        <v>40795</v>
      </c>
      <c r="B852">
        <v>161.37</v>
      </c>
      <c r="C852" s="19">
        <v>6743810</v>
      </c>
    </row>
    <row r="853" spans="1:3" x14ac:dyDescent="0.25">
      <c r="A853" s="1">
        <v>40794</v>
      </c>
      <c r="B853">
        <v>165.25</v>
      </c>
      <c r="C853" s="19">
        <v>6028321</v>
      </c>
    </row>
    <row r="854" spans="1:3" x14ac:dyDescent="0.25">
      <c r="A854" s="1">
        <v>40793</v>
      </c>
      <c r="B854">
        <v>167.31</v>
      </c>
      <c r="C854" s="19">
        <v>6798585</v>
      </c>
    </row>
    <row r="855" spans="1:3" x14ac:dyDescent="0.25">
      <c r="A855" s="1">
        <v>40792</v>
      </c>
      <c r="B855">
        <v>165.11</v>
      </c>
      <c r="C855" s="19">
        <v>5761373</v>
      </c>
    </row>
    <row r="856" spans="1:3" x14ac:dyDescent="0.25">
      <c r="A856" s="1">
        <v>40788</v>
      </c>
      <c r="B856">
        <v>166.98</v>
      </c>
      <c r="C856" s="19">
        <v>4979011</v>
      </c>
    </row>
    <row r="857" spans="1:3" x14ac:dyDescent="0.25">
      <c r="A857" s="1">
        <v>40787</v>
      </c>
      <c r="B857">
        <v>170.33</v>
      </c>
      <c r="C857" s="19">
        <v>5463880</v>
      </c>
    </row>
    <row r="858" spans="1:3" x14ac:dyDescent="0.25">
      <c r="A858" s="1">
        <v>40786</v>
      </c>
      <c r="B858">
        <v>171.91</v>
      </c>
      <c r="C858" s="19">
        <v>6074660</v>
      </c>
    </row>
    <row r="859" spans="1:3" x14ac:dyDescent="0.25">
      <c r="A859" s="1">
        <v>40785</v>
      </c>
      <c r="B859">
        <v>172.51</v>
      </c>
      <c r="C859" s="19">
        <v>4478665</v>
      </c>
    </row>
    <row r="860" spans="1:3" x14ac:dyDescent="0.25">
      <c r="A860" s="1">
        <v>40784</v>
      </c>
      <c r="B860">
        <v>172.62</v>
      </c>
      <c r="C860" s="19">
        <v>5294197</v>
      </c>
    </row>
    <row r="861" spans="1:3" x14ac:dyDescent="0.25">
      <c r="A861" s="1">
        <v>40781</v>
      </c>
      <c r="B861">
        <v>169.14</v>
      </c>
      <c r="C861" s="19">
        <v>6438785</v>
      </c>
    </row>
    <row r="862" spans="1:3" x14ac:dyDescent="0.25">
      <c r="A862" s="1">
        <v>40780</v>
      </c>
      <c r="B862">
        <v>165.58</v>
      </c>
      <c r="C862" s="19">
        <v>6759181</v>
      </c>
    </row>
    <row r="863" spans="1:3" x14ac:dyDescent="0.25">
      <c r="A863" s="1">
        <v>40779</v>
      </c>
      <c r="B863">
        <v>166.76</v>
      </c>
      <c r="C863" s="19">
        <v>6427240</v>
      </c>
    </row>
    <row r="864" spans="1:3" x14ac:dyDescent="0.25">
      <c r="A864" s="1">
        <v>40778</v>
      </c>
      <c r="B864">
        <v>164.32</v>
      </c>
      <c r="C864" s="19">
        <v>6924129</v>
      </c>
    </row>
    <row r="865" spans="1:3" x14ac:dyDescent="0.25">
      <c r="A865" s="1">
        <v>40777</v>
      </c>
      <c r="B865">
        <v>158.97999999999999</v>
      </c>
      <c r="C865" s="19">
        <v>7253910</v>
      </c>
    </row>
    <row r="866" spans="1:3" x14ac:dyDescent="0.25">
      <c r="A866" s="1">
        <v>40774</v>
      </c>
      <c r="B866">
        <v>157.54</v>
      </c>
      <c r="C866" s="19">
        <v>14072340</v>
      </c>
    </row>
    <row r="867" spans="1:3" x14ac:dyDescent="0.25">
      <c r="A867" s="1">
        <v>40773</v>
      </c>
      <c r="B867">
        <v>163.83000000000001</v>
      </c>
      <c r="C867" s="19">
        <v>15083690</v>
      </c>
    </row>
    <row r="868" spans="1:3" x14ac:dyDescent="0.25">
      <c r="A868" s="1">
        <v>40772</v>
      </c>
      <c r="B868">
        <v>171.48</v>
      </c>
      <c r="C868" s="19">
        <v>5130785</v>
      </c>
    </row>
    <row r="869" spans="1:3" x14ac:dyDescent="0.25">
      <c r="A869" s="1">
        <v>40771</v>
      </c>
      <c r="B869">
        <v>171.24</v>
      </c>
      <c r="C869" s="19">
        <v>5585496</v>
      </c>
    </row>
    <row r="870" spans="1:3" x14ac:dyDescent="0.25">
      <c r="A870" s="1">
        <v>40770</v>
      </c>
      <c r="B870">
        <v>172.99</v>
      </c>
      <c r="C870" s="19">
        <v>7645358</v>
      </c>
    </row>
    <row r="871" spans="1:3" x14ac:dyDescent="0.25">
      <c r="A871" s="1">
        <v>40767</v>
      </c>
      <c r="B871">
        <v>168.2</v>
      </c>
      <c r="C871" s="19">
        <v>5186931</v>
      </c>
    </row>
    <row r="872" spans="1:3" x14ac:dyDescent="0.25">
      <c r="A872" s="1">
        <v>40766</v>
      </c>
      <c r="B872">
        <v>166.73</v>
      </c>
      <c r="C872" s="19">
        <v>9176528</v>
      </c>
    </row>
    <row r="873" spans="1:3" x14ac:dyDescent="0.25">
      <c r="A873" s="1">
        <v>40765</v>
      </c>
      <c r="B873">
        <v>162.54</v>
      </c>
      <c r="C873" s="19">
        <v>13994800</v>
      </c>
    </row>
    <row r="874" spans="1:3" x14ac:dyDescent="0.25">
      <c r="A874" s="1">
        <v>40764</v>
      </c>
      <c r="B874">
        <v>170.61</v>
      </c>
      <c r="C874" s="19">
        <v>12517920</v>
      </c>
    </row>
    <row r="875" spans="1:3" x14ac:dyDescent="0.25">
      <c r="A875" s="1">
        <v>40763</v>
      </c>
      <c r="B875">
        <v>166.22</v>
      </c>
      <c r="C875" s="19">
        <v>15805890</v>
      </c>
    </row>
    <row r="876" spans="1:3" x14ac:dyDescent="0.25">
      <c r="A876" s="1">
        <v>40760</v>
      </c>
      <c r="B876">
        <v>172.98</v>
      </c>
      <c r="C876" s="19">
        <v>11872200</v>
      </c>
    </row>
    <row r="877" spans="1:3" x14ac:dyDescent="0.25">
      <c r="A877" s="1">
        <v>40759</v>
      </c>
      <c r="B877">
        <v>171.48</v>
      </c>
      <c r="C877" s="19">
        <v>11023190</v>
      </c>
    </row>
    <row r="878" spans="1:3" x14ac:dyDescent="0.25">
      <c r="A878" s="1">
        <v>40758</v>
      </c>
      <c r="B878">
        <v>178.83</v>
      </c>
      <c r="C878" s="19">
        <v>6724029</v>
      </c>
    </row>
    <row r="879" spans="1:3" x14ac:dyDescent="0.25">
      <c r="A879" s="1">
        <v>40757</v>
      </c>
      <c r="B879">
        <v>178.05</v>
      </c>
      <c r="C879" s="19">
        <v>5770372</v>
      </c>
    </row>
    <row r="880" spans="1:3" x14ac:dyDescent="0.25">
      <c r="A880" s="1">
        <v>40756</v>
      </c>
      <c r="B880">
        <v>180.75</v>
      </c>
      <c r="C880" s="19">
        <v>5845944</v>
      </c>
    </row>
    <row r="881" spans="1:3" x14ac:dyDescent="0.25">
      <c r="A881" s="1">
        <v>40753</v>
      </c>
      <c r="B881">
        <v>181.85</v>
      </c>
      <c r="C881" s="19">
        <v>6667438</v>
      </c>
    </row>
    <row r="882" spans="1:3" x14ac:dyDescent="0.25">
      <c r="A882" s="1">
        <v>40752</v>
      </c>
      <c r="B882">
        <v>181.8</v>
      </c>
      <c r="C882" s="19">
        <v>4478779</v>
      </c>
    </row>
    <row r="883" spans="1:3" x14ac:dyDescent="0.25">
      <c r="A883" s="1">
        <v>40751</v>
      </c>
      <c r="B883">
        <v>181.35</v>
      </c>
      <c r="C883" s="19">
        <v>5806806</v>
      </c>
    </row>
    <row r="884" spans="1:3" x14ac:dyDescent="0.25">
      <c r="A884" s="1">
        <v>40750</v>
      </c>
      <c r="B884">
        <v>182.93</v>
      </c>
      <c r="C884" s="19">
        <v>4356291</v>
      </c>
    </row>
    <row r="885" spans="1:3" x14ac:dyDescent="0.25">
      <c r="A885" s="1">
        <v>40749</v>
      </c>
      <c r="B885">
        <v>183.7</v>
      </c>
      <c r="C885" s="19">
        <v>4988243</v>
      </c>
    </row>
    <row r="886" spans="1:3" x14ac:dyDescent="0.25">
      <c r="A886" s="1">
        <v>40746</v>
      </c>
      <c r="B886">
        <v>185.18</v>
      </c>
      <c r="C886" s="19">
        <v>4517396</v>
      </c>
    </row>
    <row r="887" spans="1:3" x14ac:dyDescent="0.25">
      <c r="A887" s="1">
        <v>40745</v>
      </c>
      <c r="B887">
        <v>184.9</v>
      </c>
      <c r="C887" s="19">
        <v>4959316</v>
      </c>
    </row>
    <row r="888" spans="1:3" x14ac:dyDescent="0.25">
      <c r="A888" s="1">
        <v>40744</v>
      </c>
      <c r="B888">
        <v>183.65</v>
      </c>
      <c r="C888" s="19">
        <v>5902862</v>
      </c>
    </row>
    <row r="889" spans="1:3" x14ac:dyDescent="0.25">
      <c r="A889" s="1">
        <v>40743</v>
      </c>
      <c r="B889">
        <v>185.21</v>
      </c>
      <c r="C889" s="19">
        <v>13248770</v>
      </c>
    </row>
    <row r="890" spans="1:3" x14ac:dyDescent="0.25">
      <c r="A890" s="1">
        <v>40742</v>
      </c>
      <c r="B890">
        <v>175.28</v>
      </c>
      <c r="C890" s="19">
        <v>8879640</v>
      </c>
    </row>
    <row r="891" spans="1:3" x14ac:dyDescent="0.25">
      <c r="A891" s="1">
        <v>40739</v>
      </c>
      <c r="B891">
        <v>175.54</v>
      </c>
      <c r="C891" s="19">
        <v>5350142</v>
      </c>
    </row>
    <row r="892" spans="1:3" x14ac:dyDescent="0.25">
      <c r="A892" s="1">
        <v>40738</v>
      </c>
      <c r="B892">
        <v>174.23</v>
      </c>
      <c r="C892" s="19">
        <v>4613459</v>
      </c>
    </row>
    <row r="893" spans="1:3" x14ac:dyDescent="0.25">
      <c r="A893" s="1">
        <v>40737</v>
      </c>
      <c r="B893">
        <v>174.32</v>
      </c>
      <c r="C893" s="19">
        <v>4074888</v>
      </c>
    </row>
    <row r="894" spans="1:3" x14ac:dyDescent="0.25">
      <c r="A894" s="1">
        <v>40736</v>
      </c>
      <c r="B894">
        <v>174.05</v>
      </c>
      <c r="C894" s="19">
        <v>5036955</v>
      </c>
    </row>
    <row r="895" spans="1:3" x14ac:dyDescent="0.25">
      <c r="A895" s="1">
        <v>40735</v>
      </c>
      <c r="B895">
        <v>174.99</v>
      </c>
      <c r="C895" s="19">
        <v>4766847</v>
      </c>
    </row>
    <row r="896" spans="1:3" x14ac:dyDescent="0.25">
      <c r="A896" s="1">
        <v>40732</v>
      </c>
      <c r="B896">
        <v>176.49</v>
      </c>
      <c r="C896" s="19">
        <v>4400429</v>
      </c>
    </row>
    <row r="897" spans="1:3" x14ac:dyDescent="0.25">
      <c r="A897" s="1">
        <v>40731</v>
      </c>
      <c r="B897">
        <v>176.48</v>
      </c>
      <c r="C897" s="19">
        <v>5907150</v>
      </c>
    </row>
    <row r="898" spans="1:3" x14ac:dyDescent="0.25">
      <c r="A898" s="1">
        <v>40730</v>
      </c>
      <c r="B898">
        <v>177.71</v>
      </c>
      <c r="C898" s="19">
        <v>5887048</v>
      </c>
    </row>
    <row r="899" spans="1:3" x14ac:dyDescent="0.25">
      <c r="A899" s="1">
        <v>40729</v>
      </c>
      <c r="B899">
        <v>175.43</v>
      </c>
      <c r="C899" s="19">
        <v>4586423</v>
      </c>
    </row>
    <row r="900" spans="1:3" x14ac:dyDescent="0.25">
      <c r="A900" s="1">
        <v>40725</v>
      </c>
      <c r="B900">
        <v>174.54</v>
      </c>
      <c r="C900" s="19">
        <v>5181660</v>
      </c>
    </row>
    <row r="901" spans="1:3" x14ac:dyDescent="0.25">
      <c r="A901" s="1">
        <v>40724</v>
      </c>
      <c r="B901">
        <v>171.55</v>
      </c>
      <c r="C901" s="19">
        <v>5105362</v>
      </c>
    </row>
    <row r="902" spans="1:3" x14ac:dyDescent="0.25">
      <c r="A902" s="1">
        <v>40723</v>
      </c>
      <c r="B902">
        <v>170.54</v>
      </c>
      <c r="C902" s="19">
        <v>3817296</v>
      </c>
    </row>
    <row r="903" spans="1:3" x14ac:dyDescent="0.25">
      <c r="A903" s="1">
        <v>40722</v>
      </c>
      <c r="B903">
        <v>170.01</v>
      </c>
      <c r="C903" s="19">
        <v>4850127</v>
      </c>
    </row>
    <row r="904" spans="1:3" x14ac:dyDescent="0.25">
      <c r="A904" s="1">
        <v>40721</v>
      </c>
      <c r="B904">
        <v>167.62</v>
      </c>
      <c r="C904" s="19">
        <v>4446954</v>
      </c>
    </row>
    <row r="905" spans="1:3" x14ac:dyDescent="0.25">
      <c r="A905" s="1">
        <v>40718</v>
      </c>
      <c r="B905">
        <v>165.07</v>
      </c>
      <c r="C905" s="19">
        <v>4405237</v>
      </c>
    </row>
    <row r="906" spans="1:3" x14ac:dyDescent="0.25">
      <c r="A906" s="1">
        <v>40717</v>
      </c>
      <c r="B906">
        <v>166.12</v>
      </c>
      <c r="C906" s="19">
        <v>5271671</v>
      </c>
    </row>
    <row r="907" spans="1:3" x14ac:dyDescent="0.25">
      <c r="A907" s="1">
        <v>40716</v>
      </c>
      <c r="B907">
        <v>165.68</v>
      </c>
      <c r="C907" s="19">
        <v>3963254</v>
      </c>
    </row>
    <row r="908" spans="1:3" x14ac:dyDescent="0.25">
      <c r="A908" s="1">
        <v>40715</v>
      </c>
      <c r="B908">
        <v>166.22</v>
      </c>
      <c r="C908" s="19">
        <v>5388285</v>
      </c>
    </row>
    <row r="909" spans="1:3" x14ac:dyDescent="0.25">
      <c r="A909" s="1">
        <v>40714</v>
      </c>
      <c r="B909">
        <v>165.02</v>
      </c>
      <c r="C909" s="19">
        <v>3956099</v>
      </c>
    </row>
    <row r="910" spans="1:3" x14ac:dyDescent="0.25">
      <c r="A910" s="1">
        <v>40711</v>
      </c>
      <c r="B910">
        <v>164.44</v>
      </c>
      <c r="C910" s="19">
        <v>7153383</v>
      </c>
    </row>
    <row r="911" spans="1:3" x14ac:dyDescent="0.25">
      <c r="A911" s="1">
        <v>40710</v>
      </c>
      <c r="B911">
        <v>162.66999999999999</v>
      </c>
      <c r="C911" s="19">
        <v>4861065</v>
      </c>
    </row>
    <row r="912" spans="1:3" x14ac:dyDescent="0.25">
      <c r="A912" s="1">
        <v>40709</v>
      </c>
      <c r="B912">
        <v>162.33000000000001</v>
      </c>
      <c r="C912" s="19">
        <v>5225995</v>
      </c>
    </row>
    <row r="913" spans="1:3" x14ac:dyDescent="0.25">
      <c r="A913" s="1">
        <v>40708</v>
      </c>
      <c r="B913">
        <v>164.12</v>
      </c>
      <c r="C913" s="19">
        <v>7050074</v>
      </c>
    </row>
    <row r="914" spans="1:3" x14ac:dyDescent="0.25">
      <c r="A914" s="1">
        <v>40707</v>
      </c>
      <c r="B914">
        <v>163.16999999999999</v>
      </c>
      <c r="C914" s="19">
        <v>5099508</v>
      </c>
    </row>
    <row r="915" spans="1:3" x14ac:dyDescent="0.25">
      <c r="A915" s="1">
        <v>40704</v>
      </c>
      <c r="B915">
        <v>163.18</v>
      </c>
      <c r="C915" s="19">
        <v>4686370</v>
      </c>
    </row>
    <row r="916" spans="1:3" x14ac:dyDescent="0.25">
      <c r="A916" s="1">
        <v>40703</v>
      </c>
      <c r="B916">
        <v>164.84</v>
      </c>
      <c r="C916" s="19">
        <v>4299799</v>
      </c>
    </row>
    <row r="917" spans="1:3" x14ac:dyDescent="0.25">
      <c r="A917" s="1">
        <v>40702</v>
      </c>
      <c r="B917">
        <v>164.34</v>
      </c>
      <c r="C917" s="19">
        <v>3850732</v>
      </c>
    </row>
    <row r="918" spans="1:3" x14ac:dyDescent="0.25">
      <c r="A918" s="1">
        <v>40701</v>
      </c>
      <c r="B918">
        <v>163.69</v>
      </c>
      <c r="C918" s="19">
        <v>4189497</v>
      </c>
    </row>
    <row r="919" spans="1:3" x14ac:dyDescent="0.25">
      <c r="A919" s="1">
        <v>40700</v>
      </c>
      <c r="B919">
        <v>164.75</v>
      </c>
      <c r="C919" s="19">
        <v>3619681</v>
      </c>
    </row>
    <row r="920" spans="1:3" x14ac:dyDescent="0.25">
      <c r="A920" s="1">
        <v>40697</v>
      </c>
      <c r="B920">
        <v>165.05</v>
      </c>
      <c r="C920" s="19">
        <v>5230500</v>
      </c>
    </row>
    <row r="921" spans="1:3" x14ac:dyDescent="0.25">
      <c r="A921" s="1">
        <v>40696</v>
      </c>
      <c r="B921">
        <v>166.09</v>
      </c>
      <c r="C921" s="19">
        <v>3854020</v>
      </c>
    </row>
    <row r="922" spans="1:3" x14ac:dyDescent="0.25">
      <c r="A922" s="1">
        <v>40695</v>
      </c>
      <c r="B922">
        <v>166.56</v>
      </c>
      <c r="C922" s="19">
        <v>5134779</v>
      </c>
    </row>
    <row r="923" spans="1:3" x14ac:dyDescent="0.25">
      <c r="A923" s="1">
        <v>40694</v>
      </c>
      <c r="B923">
        <v>168.93</v>
      </c>
      <c r="C923" s="19">
        <v>9130673</v>
      </c>
    </row>
    <row r="924" spans="1:3" x14ac:dyDescent="0.25">
      <c r="A924" s="1">
        <v>40690</v>
      </c>
      <c r="B924">
        <v>167.5</v>
      </c>
      <c r="C924" s="19">
        <v>3277507</v>
      </c>
    </row>
    <row r="925" spans="1:3" x14ac:dyDescent="0.25">
      <c r="A925" s="1">
        <v>40689</v>
      </c>
      <c r="B925">
        <v>167.18</v>
      </c>
      <c r="C925" s="19">
        <v>5775929</v>
      </c>
    </row>
    <row r="926" spans="1:3" x14ac:dyDescent="0.25">
      <c r="A926" s="1">
        <v>40688</v>
      </c>
      <c r="B926">
        <v>167.75</v>
      </c>
      <c r="C926" s="19">
        <v>3884049</v>
      </c>
    </row>
    <row r="927" spans="1:3" x14ac:dyDescent="0.25">
      <c r="A927" s="1">
        <v>40687</v>
      </c>
      <c r="B927">
        <v>167.99</v>
      </c>
      <c r="C927" s="19">
        <v>4643753</v>
      </c>
    </row>
    <row r="928" spans="1:3" x14ac:dyDescent="0.25">
      <c r="A928" s="1">
        <v>40686</v>
      </c>
      <c r="B928">
        <v>168.26</v>
      </c>
      <c r="C928" s="19">
        <v>5150032</v>
      </c>
    </row>
    <row r="929" spans="1:3" x14ac:dyDescent="0.25">
      <c r="A929" s="1">
        <v>40683</v>
      </c>
      <c r="B929">
        <v>170.16</v>
      </c>
      <c r="C929" s="19">
        <v>4873602</v>
      </c>
    </row>
    <row r="930" spans="1:3" x14ac:dyDescent="0.25">
      <c r="A930" s="1">
        <v>40682</v>
      </c>
      <c r="B930">
        <v>170.59</v>
      </c>
      <c r="C930" s="19">
        <v>3540005</v>
      </c>
    </row>
    <row r="931" spans="1:3" x14ac:dyDescent="0.25">
      <c r="A931" s="1">
        <v>40681</v>
      </c>
      <c r="B931">
        <v>170.44</v>
      </c>
      <c r="C931" s="19">
        <v>4157195</v>
      </c>
    </row>
    <row r="932" spans="1:3" x14ac:dyDescent="0.25">
      <c r="A932" s="1">
        <v>40680</v>
      </c>
      <c r="B932">
        <v>170.5</v>
      </c>
      <c r="C932" s="19">
        <v>8793885</v>
      </c>
    </row>
    <row r="933" spans="1:3" x14ac:dyDescent="0.25">
      <c r="A933" s="1">
        <v>40679</v>
      </c>
      <c r="B933">
        <v>168.86</v>
      </c>
      <c r="C933" s="19">
        <v>4662973</v>
      </c>
    </row>
    <row r="934" spans="1:3" x14ac:dyDescent="0.25">
      <c r="A934" s="1">
        <v>40676</v>
      </c>
      <c r="B934">
        <v>169.92</v>
      </c>
      <c r="C934" s="19">
        <v>5168995</v>
      </c>
    </row>
    <row r="935" spans="1:3" x14ac:dyDescent="0.25">
      <c r="A935" s="1">
        <v>40675</v>
      </c>
      <c r="B935">
        <v>172.24</v>
      </c>
      <c r="C935" s="19">
        <v>5142809</v>
      </c>
    </row>
    <row r="936" spans="1:3" x14ac:dyDescent="0.25">
      <c r="A936" s="1">
        <v>40674</v>
      </c>
      <c r="B936">
        <v>169.5</v>
      </c>
      <c r="C936" s="19">
        <v>4665303</v>
      </c>
    </row>
    <row r="937" spans="1:3" x14ac:dyDescent="0.25">
      <c r="A937" s="1">
        <v>40673</v>
      </c>
      <c r="B937">
        <v>170.38</v>
      </c>
      <c r="C937" s="19">
        <v>4936698</v>
      </c>
    </row>
    <row r="938" spans="1:3" x14ac:dyDescent="0.25">
      <c r="A938" s="1">
        <v>40672</v>
      </c>
      <c r="B938">
        <v>169.1</v>
      </c>
      <c r="C938" s="19">
        <v>3591728</v>
      </c>
    </row>
    <row r="939" spans="1:3" x14ac:dyDescent="0.25">
      <c r="A939" s="1">
        <v>40669</v>
      </c>
      <c r="B939">
        <v>168.89</v>
      </c>
      <c r="C939" s="19">
        <v>4839438</v>
      </c>
    </row>
    <row r="940" spans="1:3" x14ac:dyDescent="0.25">
      <c r="A940" s="1">
        <v>40668</v>
      </c>
      <c r="B940">
        <v>168.46</v>
      </c>
      <c r="C940" s="19">
        <v>7338670</v>
      </c>
    </row>
    <row r="941" spans="1:3" x14ac:dyDescent="0.25">
      <c r="A941" s="1">
        <v>40667</v>
      </c>
      <c r="B941">
        <v>170.62</v>
      </c>
      <c r="C941" s="19">
        <v>6894585</v>
      </c>
    </row>
    <row r="942" spans="1:3" x14ac:dyDescent="0.25">
      <c r="A942" s="1">
        <v>40666</v>
      </c>
      <c r="B942">
        <v>172.87</v>
      </c>
      <c r="C942" s="19">
        <v>5009923</v>
      </c>
    </row>
    <row r="943" spans="1:3" x14ac:dyDescent="0.25">
      <c r="A943" s="1">
        <v>40665</v>
      </c>
      <c r="B943">
        <v>172.15</v>
      </c>
      <c r="C943" s="19">
        <v>5397951</v>
      </c>
    </row>
    <row r="944" spans="1:3" x14ac:dyDescent="0.25">
      <c r="A944" s="1">
        <v>40662</v>
      </c>
      <c r="B944">
        <v>170.58</v>
      </c>
      <c r="C944" s="19">
        <v>5588010</v>
      </c>
    </row>
    <row r="945" spans="1:3" x14ac:dyDescent="0.25">
      <c r="A945" s="1">
        <v>40661</v>
      </c>
      <c r="B945">
        <v>170.78</v>
      </c>
      <c r="C945" s="19">
        <v>5090377</v>
      </c>
    </row>
    <row r="946" spans="1:3" x14ac:dyDescent="0.25">
      <c r="A946" s="1">
        <v>40660</v>
      </c>
      <c r="B946">
        <v>170.37</v>
      </c>
      <c r="C946" s="19">
        <v>5299720</v>
      </c>
    </row>
    <row r="947" spans="1:3" x14ac:dyDescent="0.25">
      <c r="A947" s="1">
        <v>40659</v>
      </c>
      <c r="B947">
        <v>168.49</v>
      </c>
      <c r="C947" s="19">
        <v>7267376</v>
      </c>
    </row>
    <row r="948" spans="1:3" x14ac:dyDescent="0.25">
      <c r="A948" s="1">
        <v>40658</v>
      </c>
      <c r="B948">
        <v>167.67</v>
      </c>
      <c r="C948" s="19">
        <v>3582142</v>
      </c>
    </row>
    <row r="949" spans="1:3" x14ac:dyDescent="0.25">
      <c r="A949" s="1">
        <v>40654</v>
      </c>
      <c r="B949">
        <v>168.28</v>
      </c>
      <c r="C949" s="19">
        <v>6171786</v>
      </c>
    </row>
    <row r="950" spans="1:3" x14ac:dyDescent="0.25">
      <c r="A950" s="1">
        <v>40653</v>
      </c>
      <c r="B950">
        <v>164.75</v>
      </c>
      <c r="C950" s="19">
        <v>10901120</v>
      </c>
    </row>
    <row r="951" spans="1:3" x14ac:dyDescent="0.25">
      <c r="A951" s="1">
        <v>40652</v>
      </c>
      <c r="B951">
        <v>165.4</v>
      </c>
      <c r="C951" s="19">
        <v>6597435</v>
      </c>
    </row>
    <row r="952" spans="1:3" x14ac:dyDescent="0.25">
      <c r="A952" s="1">
        <v>40651</v>
      </c>
      <c r="B952">
        <v>165.94</v>
      </c>
      <c r="C952" s="19">
        <v>6164069</v>
      </c>
    </row>
    <row r="953" spans="1:3" x14ac:dyDescent="0.25">
      <c r="A953" s="1">
        <v>40648</v>
      </c>
      <c r="B953">
        <v>166.21</v>
      </c>
      <c r="C953" s="19">
        <v>5291077</v>
      </c>
    </row>
    <row r="954" spans="1:3" x14ac:dyDescent="0.25">
      <c r="A954" s="1">
        <v>40647</v>
      </c>
      <c r="B954">
        <v>164.97</v>
      </c>
      <c r="C954" s="19">
        <v>4702262</v>
      </c>
    </row>
    <row r="955" spans="1:3" x14ac:dyDescent="0.25">
      <c r="A955" s="1">
        <v>40646</v>
      </c>
      <c r="B955">
        <v>163.95</v>
      </c>
      <c r="C955" s="19">
        <v>4185429</v>
      </c>
    </row>
    <row r="956" spans="1:3" x14ac:dyDescent="0.25">
      <c r="A956" s="1">
        <v>40645</v>
      </c>
      <c r="B956">
        <v>163.25</v>
      </c>
      <c r="C956" s="19">
        <v>3863367</v>
      </c>
    </row>
    <row r="957" spans="1:3" x14ac:dyDescent="0.25">
      <c r="A957" s="1">
        <v>40644</v>
      </c>
      <c r="B957">
        <v>163.95</v>
      </c>
      <c r="C957" s="19">
        <v>4141248</v>
      </c>
    </row>
    <row r="958" spans="1:3" x14ac:dyDescent="0.25">
      <c r="A958" s="1">
        <v>40641</v>
      </c>
      <c r="B958">
        <v>164.05</v>
      </c>
      <c r="C958" s="19">
        <v>3326158</v>
      </c>
    </row>
    <row r="959" spans="1:3" x14ac:dyDescent="0.25">
      <c r="A959" s="1">
        <v>40640</v>
      </c>
      <c r="B959">
        <v>164.38</v>
      </c>
      <c r="C959" s="19">
        <v>3670064</v>
      </c>
    </row>
    <row r="960" spans="1:3" x14ac:dyDescent="0.25">
      <c r="A960" s="1">
        <v>40639</v>
      </c>
      <c r="B960">
        <v>164.04</v>
      </c>
      <c r="C960" s="19">
        <v>3776524</v>
      </c>
    </row>
    <row r="961" spans="1:3" x14ac:dyDescent="0.25">
      <c r="A961" s="1">
        <v>40638</v>
      </c>
      <c r="B961">
        <v>163.99</v>
      </c>
      <c r="C961" s="19">
        <v>3616188</v>
      </c>
    </row>
    <row r="962" spans="1:3" x14ac:dyDescent="0.25">
      <c r="A962" s="1">
        <v>40637</v>
      </c>
      <c r="B962">
        <v>164.25</v>
      </c>
      <c r="C962" s="19">
        <v>3226474</v>
      </c>
    </row>
    <row r="963" spans="1:3" x14ac:dyDescent="0.25">
      <c r="A963" s="1">
        <v>40634</v>
      </c>
      <c r="B963">
        <v>164.27</v>
      </c>
      <c r="C963" s="19">
        <v>4388206</v>
      </c>
    </row>
    <row r="964" spans="1:3" x14ac:dyDescent="0.25">
      <c r="A964" s="1">
        <v>40633</v>
      </c>
      <c r="B964">
        <v>163.07</v>
      </c>
      <c r="C964" s="19">
        <v>3862368</v>
      </c>
    </row>
    <row r="965" spans="1:3" x14ac:dyDescent="0.25">
      <c r="A965" s="1">
        <v>40632</v>
      </c>
      <c r="B965">
        <v>163.6</v>
      </c>
      <c r="C965" s="19">
        <v>3396852</v>
      </c>
    </row>
    <row r="966" spans="1:3" x14ac:dyDescent="0.25">
      <c r="A966" s="1">
        <v>40631</v>
      </c>
      <c r="B966">
        <v>162.88</v>
      </c>
      <c r="C966" s="19">
        <v>3460830</v>
      </c>
    </row>
    <row r="967" spans="1:3" x14ac:dyDescent="0.25">
      <c r="A967" s="1">
        <v>40630</v>
      </c>
      <c r="B967">
        <v>161.37</v>
      </c>
      <c r="C967" s="19">
        <v>3973680</v>
      </c>
    </row>
    <row r="968" spans="1:3" x14ac:dyDescent="0.25">
      <c r="A968" s="1">
        <v>40627</v>
      </c>
      <c r="B968">
        <v>162.18</v>
      </c>
      <c r="C968" s="19">
        <v>5351526</v>
      </c>
    </row>
    <row r="969" spans="1:3" x14ac:dyDescent="0.25">
      <c r="A969" s="1">
        <v>40626</v>
      </c>
      <c r="B969">
        <v>160.04</v>
      </c>
      <c r="C969" s="19">
        <v>5150081</v>
      </c>
    </row>
    <row r="970" spans="1:3" x14ac:dyDescent="0.25">
      <c r="A970" s="1">
        <v>40625</v>
      </c>
      <c r="B970">
        <v>159.53</v>
      </c>
      <c r="C970" s="19">
        <v>4783305</v>
      </c>
    </row>
    <row r="971" spans="1:3" x14ac:dyDescent="0.25">
      <c r="A971" s="1">
        <v>40624</v>
      </c>
      <c r="B971">
        <v>158</v>
      </c>
      <c r="C971" s="19">
        <v>4312353</v>
      </c>
    </row>
    <row r="972" spans="1:3" x14ac:dyDescent="0.25">
      <c r="A972" s="1">
        <v>40623</v>
      </c>
      <c r="B972">
        <v>157.68</v>
      </c>
      <c r="C972" s="19">
        <v>5784527</v>
      </c>
    </row>
    <row r="973" spans="1:3" x14ac:dyDescent="0.25">
      <c r="A973" s="1">
        <v>40620</v>
      </c>
      <c r="B973">
        <v>155.88999999999999</v>
      </c>
      <c r="C973" s="19">
        <v>11454320</v>
      </c>
    </row>
    <row r="974" spans="1:3" x14ac:dyDescent="0.25">
      <c r="A974" s="1">
        <v>40619</v>
      </c>
      <c r="B974">
        <v>154.18</v>
      </c>
      <c r="C974" s="19">
        <v>7378767</v>
      </c>
    </row>
    <row r="975" spans="1:3" x14ac:dyDescent="0.25">
      <c r="A975" s="1">
        <v>40618</v>
      </c>
      <c r="B975">
        <v>153</v>
      </c>
      <c r="C975" s="19">
        <v>12204870</v>
      </c>
    </row>
    <row r="976" spans="1:3" x14ac:dyDescent="0.25">
      <c r="A976" s="1">
        <v>40617</v>
      </c>
      <c r="B976">
        <v>159.02000000000001</v>
      </c>
      <c r="C976" s="19">
        <v>6485554</v>
      </c>
    </row>
    <row r="977" spans="1:3" x14ac:dyDescent="0.25">
      <c r="A977" s="1">
        <v>40616</v>
      </c>
      <c r="B977">
        <v>161.38999999999999</v>
      </c>
      <c r="C977" s="19">
        <v>4304870</v>
      </c>
    </row>
    <row r="978" spans="1:3" x14ac:dyDescent="0.25">
      <c r="A978" s="1">
        <v>40613</v>
      </c>
      <c r="B978">
        <v>162.43</v>
      </c>
      <c r="C978" s="19">
        <v>4271968</v>
      </c>
    </row>
    <row r="979" spans="1:3" x14ac:dyDescent="0.25">
      <c r="A979" s="1">
        <v>40612</v>
      </c>
      <c r="B979">
        <v>162.02000000000001</v>
      </c>
      <c r="C979" s="19">
        <v>7052811</v>
      </c>
    </row>
    <row r="980" spans="1:3" x14ac:dyDescent="0.25">
      <c r="A980" s="1">
        <v>40611</v>
      </c>
      <c r="B980">
        <v>165.86</v>
      </c>
      <c r="C980" s="19">
        <v>9084892</v>
      </c>
    </row>
    <row r="981" spans="1:3" x14ac:dyDescent="0.25">
      <c r="A981" s="1">
        <v>40610</v>
      </c>
      <c r="B981">
        <v>162.28</v>
      </c>
      <c r="C981" s="19">
        <v>5392122</v>
      </c>
    </row>
    <row r="982" spans="1:3" x14ac:dyDescent="0.25">
      <c r="A982" s="1">
        <v>40609</v>
      </c>
      <c r="B982">
        <v>159.93</v>
      </c>
      <c r="C982" s="19">
        <v>5318064</v>
      </c>
    </row>
    <row r="983" spans="1:3" x14ac:dyDescent="0.25">
      <c r="A983" s="1">
        <v>40606</v>
      </c>
      <c r="B983">
        <v>161.83000000000001</v>
      </c>
      <c r="C983" s="19">
        <v>4913666</v>
      </c>
    </row>
    <row r="984" spans="1:3" x14ac:dyDescent="0.25">
      <c r="A984" s="1">
        <v>40605</v>
      </c>
      <c r="B984">
        <v>163.47999999999999</v>
      </c>
      <c r="C984" s="19">
        <v>4065346</v>
      </c>
    </row>
    <row r="985" spans="1:3" x14ac:dyDescent="0.25">
      <c r="A985" s="1">
        <v>40604</v>
      </c>
      <c r="B985">
        <v>160.16</v>
      </c>
      <c r="C985" s="19">
        <v>3413127</v>
      </c>
    </row>
    <row r="986" spans="1:3" x14ac:dyDescent="0.25">
      <c r="A986" s="1">
        <v>40603</v>
      </c>
      <c r="B986">
        <v>159.97</v>
      </c>
      <c r="C986" s="19">
        <v>4383043</v>
      </c>
    </row>
    <row r="987" spans="1:3" x14ac:dyDescent="0.25">
      <c r="A987" s="1">
        <v>40602</v>
      </c>
      <c r="B987">
        <v>161.88</v>
      </c>
      <c r="C987" s="19">
        <v>4773936</v>
      </c>
    </row>
    <row r="988" spans="1:3" x14ac:dyDescent="0.25">
      <c r="A988" s="1">
        <v>40599</v>
      </c>
      <c r="B988">
        <v>162.28</v>
      </c>
      <c r="C988" s="19">
        <v>4522003</v>
      </c>
    </row>
    <row r="989" spans="1:3" x14ac:dyDescent="0.25">
      <c r="A989" s="1">
        <v>40598</v>
      </c>
      <c r="B989">
        <v>160.77000000000001</v>
      </c>
      <c r="C989" s="19">
        <v>5709476</v>
      </c>
    </row>
    <row r="990" spans="1:3" x14ac:dyDescent="0.25">
      <c r="A990" s="1">
        <v>40597</v>
      </c>
      <c r="B990">
        <v>160.18</v>
      </c>
      <c r="C990" s="19">
        <v>6001475</v>
      </c>
    </row>
    <row r="991" spans="1:3" x14ac:dyDescent="0.25">
      <c r="A991" s="1">
        <v>40596</v>
      </c>
      <c r="B991">
        <v>161.94999999999999</v>
      </c>
      <c r="C991" s="19">
        <v>5210857</v>
      </c>
    </row>
    <row r="992" spans="1:3" x14ac:dyDescent="0.25">
      <c r="A992" s="1">
        <v>40592</v>
      </c>
      <c r="B992">
        <v>164.84</v>
      </c>
      <c r="C992" s="19">
        <v>4245059</v>
      </c>
    </row>
    <row r="993" spans="1:3" x14ac:dyDescent="0.25">
      <c r="A993" s="1">
        <v>40591</v>
      </c>
      <c r="B993">
        <v>164.24</v>
      </c>
      <c r="C993" s="19">
        <v>3231171</v>
      </c>
    </row>
    <row r="994" spans="1:3" x14ac:dyDescent="0.25">
      <c r="A994" s="1">
        <v>40590</v>
      </c>
      <c r="B994">
        <v>163.4</v>
      </c>
      <c r="C994" s="19">
        <v>3221301</v>
      </c>
    </row>
    <row r="995" spans="1:3" x14ac:dyDescent="0.25">
      <c r="A995" s="1">
        <v>40589</v>
      </c>
      <c r="B995">
        <v>162.84</v>
      </c>
      <c r="C995" s="19">
        <v>3768703</v>
      </c>
    </row>
    <row r="996" spans="1:3" x14ac:dyDescent="0.25">
      <c r="A996" s="1">
        <v>40588</v>
      </c>
      <c r="B996">
        <v>163.22</v>
      </c>
      <c r="C996" s="19">
        <v>4131438</v>
      </c>
    </row>
    <row r="997" spans="1:3" x14ac:dyDescent="0.25">
      <c r="A997" s="1">
        <v>40585</v>
      </c>
      <c r="B997">
        <v>163.85</v>
      </c>
      <c r="C997" s="19">
        <v>5185697</v>
      </c>
    </row>
    <row r="998" spans="1:3" x14ac:dyDescent="0.25">
      <c r="A998" s="1">
        <v>40584</v>
      </c>
      <c r="B998">
        <v>164.09</v>
      </c>
      <c r="C998" s="19">
        <v>5737806</v>
      </c>
    </row>
    <row r="999" spans="1:3" x14ac:dyDescent="0.25">
      <c r="A999" s="1">
        <v>40583</v>
      </c>
      <c r="B999">
        <v>164.65</v>
      </c>
      <c r="C999" s="19">
        <v>4635303</v>
      </c>
    </row>
    <row r="1000" spans="1:3" x14ac:dyDescent="0.25">
      <c r="A1000" s="1">
        <v>40582</v>
      </c>
      <c r="B1000">
        <v>166.05</v>
      </c>
      <c r="C1000" s="19">
        <v>5615348</v>
      </c>
    </row>
    <row r="1001" spans="1:3" x14ac:dyDescent="0.25">
      <c r="A1001" s="1">
        <v>40581</v>
      </c>
      <c r="B1001">
        <v>164.82</v>
      </c>
      <c r="C1001" s="19">
        <v>4932599</v>
      </c>
    </row>
    <row r="1002" spans="1:3" x14ac:dyDescent="0.25">
      <c r="A1002" s="1">
        <v>40578</v>
      </c>
      <c r="B1002">
        <v>164</v>
      </c>
      <c r="C1002" s="19">
        <v>3755814</v>
      </c>
    </row>
    <row r="1003" spans="1:3" x14ac:dyDescent="0.25">
      <c r="A1003" s="1">
        <v>40577</v>
      </c>
      <c r="B1003">
        <v>163.53</v>
      </c>
      <c r="C1003" s="19">
        <v>4685095</v>
      </c>
    </row>
    <row r="1004" spans="1:3" x14ac:dyDescent="0.25">
      <c r="A1004" s="1">
        <v>40576</v>
      </c>
      <c r="B1004">
        <v>163.30000000000001</v>
      </c>
      <c r="C1004" s="19">
        <v>3904892</v>
      </c>
    </row>
    <row r="1005" spans="1:3" x14ac:dyDescent="0.25">
      <c r="A1005" s="1">
        <v>40575</v>
      </c>
      <c r="B1005">
        <v>163.56</v>
      </c>
      <c r="C1005" s="19">
        <v>5834162</v>
      </c>
    </row>
    <row r="1006" spans="1:3" x14ac:dyDescent="0.25">
      <c r="A1006" s="1">
        <v>40574</v>
      </c>
      <c r="B1006">
        <v>162</v>
      </c>
      <c r="C1006" s="19">
        <v>7197200</v>
      </c>
    </row>
    <row r="1007" spans="1:3" x14ac:dyDescent="0.25">
      <c r="A1007" s="1">
        <v>40571</v>
      </c>
      <c r="B1007">
        <v>159.21</v>
      </c>
      <c r="C1007" s="19">
        <v>6725708</v>
      </c>
    </row>
    <row r="1008" spans="1:3" x14ac:dyDescent="0.25">
      <c r="A1008" s="1">
        <v>40570</v>
      </c>
      <c r="B1008">
        <v>161.07</v>
      </c>
      <c r="C1008" s="19">
        <v>4879977</v>
      </c>
    </row>
    <row r="1009" spans="1:3" x14ac:dyDescent="0.25">
      <c r="A1009" s="1">
        <v>40569</v>
      </c>
      <c r="B1009">
        <v>161.04</v>
      </c>
      <c r="C1009" s="19">
        <v>5353895</v>
      </c>
    </row>
    <row r="1010" spans="1:3" x14ac:dyDescent="0.25">
      <c r="A1010" s="1">
        <v>40568</v>
      </c>
      <c r="B1010">
        <v>161.44</v>
      </c>
      <c r="C1010" s="19">
        <v>8262242</v>
      </c>
    </row>
    <row r="1011" spans="1:3" x14ac:dyDescent="0.25">
      <c r="A1011" s="1">
        <v>40567</v>
      </c>
      <c r="B1011">
        <v>159.63</v>
      </c>
      <c r="C1011" s="19">
        <v>7288661</v>
      </c>
    </row>
    <row r="1012" spans="1:3" x14ac:dyDescent="0.25">
      <c r="A1012" s="1">
        <v>40564</v>
      </c>
      <c r="B1012">
        <v>155.5</v>
      </c>
      <c r="C1012" s="19">
        <v>7009010</v>
      </c>
    </row>
    <row r="1013" spans="1:3" x14ac:dyDescent="0.25">
      <c r="A1013" s="1">
        <v>40563</v>
      </c>
      <c r="B1013">
        <v>155.80000000000001</v>
      </c>
      <c r="C1013" s="19">
        <v>7441447</v>
      </c>
    </row>
    <row r="1014" spans="1:3" x14ac:dyDescent="0.25">
      <c r="A1014" s="1">
        <v>40562</v>
      </c>
      <c r="B1014">
        <v>155.69</v>
      </c>
      <c r="C1014" s="19">
        <v>12143650</v>
      </c>
    </row>
    <row r="1015" spans="1:3" x14ac:dyDescent="0.25">
      <c r="A1015" s="1">
        <v>40561</v>
      </c>
      <c r="B1015">
        <v>150.65</v>
      </c>
      <c r="C1015" s="19">
        <v>9176829</v>
      </c>
    </row>
    <row r="1016" spans="1:3" x14ac:dyDescent="0.25">
      <c r="A1016" s="1">
        <v>40557</v>
      </c>
      <c r="B1016">
        <v>150</v>
      </c>
      <c r="C1016" s="19">
        <v>4546899</v>
      </c>
    </row>
    <row r="1017" spans="1:3" x14ac:dyDescent="0.25">
      <c r="A1017" s="1">
        <v>40556</v>
      </c>
      <c r="B1017">
        <v>148.82</v>
      </c>
      <c r="C1017" s="19">
        <v>3445785</v>
      </c>
    </row>
    <row r="1018" spans="1:3" x14ac:dyDescent="0.25">
      <c r="A1018" s="1">
        <v>40555</v>
      </c>
      <c r="B1018">
        <v>149.1</v>
      </c>
      <c r="C1018" s="19">
        <v>4091442</v>
      </c>
    </row>
    <row r="1019" spans="1:3" x14ac:dyDescent="0.25">
      <c r="A1019" s="1">
        <v>40554</v>
      </c>
      <c r="B1019">
        <v>147.28</v>
      </c>
      <c r="C1019" s="19">
        <v>4164771</v>
      </c>
    </row>
    <row r="1020" spans="1:3" x14ac:dyDescent="0.25">
      <c r="A1020" s="1">
        <v>40553</v>
      </c>
      <c r="B1020">
        <v>147.63999999999999</v>
      </c>
      <c r="C1020" s="19">
        <v>3633350</v>
      </c>
    </row>
    <row r="1021" spans="1:3" x14ac:dyDescent="0.25">
      <c r="A1021" s="1">
        <v>40550</v>
      </c>
      <c r="B1021">
        <v>147.93</v>
      </c>
      <c r="C1021" s="19">
        <v>4136379</v>
      </c>
    </row>
    <row r="1022" spans="1:3" x14ac:dyDescent="0.25">
      <c r="A1022" s="1">
        <v>40549</v>
      </c>
      <c r="B1022">
        <v>148.66</v>
      </c>
      <c r="C1022" s="19">
        <v>5032270</v>
      </c>
    </row>
    <row r="1023" spans="1:3" x14ac:dyDescent="0.25">
      <c r="A1023" s="1">
        <v>40548</v>
      </c>
      <c r="B1023">
        <v>147.05000000000001</v>
      </c>
      <c r="C1023" s="19">
        <v>4659195</v>
      </c>
    </row>
    <row r="1024" spans="1:3" x14ac:dyDescent="0.25">
      <c r="A1024" s="1">
        <v>40547</v>
      </c>
      <c r="B1024">
        <v>147.63999999999999</v>
      </c>
      <c r="C1024" s="19">
        <v>5060088</v>
      </c>
    </row>
    <row r="1025" spans="1:3" x14ac:dyDescent="0.25">
      <c r="A1025" s="1">
        <v>40546</v>
      </c>
      <c r="B1025">
        <v>147.47999999999999</v>
      </c>
      <c r="C1025" s="19">
        <v>4604911</v>
      </c>
    </row>
    <row r="1026" spans="1:3" x14ac:dyDescent="0.25">
      <c r="A1026" s="1">
        <v>40543</v>
      </c>
      <c r="B1026">
        <v>146.76</v>
      </c>
      <c r="C1026" s="19">
        <v>2969933</v>
      </c>
    </row>
    <row r="1027" spans="1:3" x14ac:dyDescent="0.25">
      <c r="A1027" s="1">
        <v>40542</v>
      </c>
      <c r="B1027">
        <v>146.66999999999999</v>
      </c>
      <c r="C1027" s="19">
        <v>3039004</v>
      </c>
    </row>
    <row r="1028" spans="1:3" x14ac:dyDescent="0.25">
      <c r="A1028" s="1">
        <v>40541</v>
      </c>
      <c r="B1028">
        <v>146.52000000000001</v>
      </c>
      <c r="C1028" s="19">
        <v>3662739</v>
      </c>
    </row>
    <row r="1029" spans="1:3" x14ac:dyDescent="0.25">
      <c r="A1029" s="1">
        <v>40540</v>
      </c>
      <c r="B1029">
        <v>145.71</v>
      </c>
      <c r="C1029" s="19">
        <v>2700968</v>
      </c>
    </row>
    <row r="1030" spans="1:3" x14ac:dyDescent="0.25">
      <c r="A1030" s="1">
        <v>40539</v>
      </c>
      <c r="B1030">
        <v>145.34</v>
      </c>
      <c r="C1030" s="19">
        <v>2314687</v>
      </c>
    </row>
    <row r="1031" spans="1:3" x14ac:dyDescent="0.25">
      <c r="A1031" s="1">
        <v>40535</v>
      </c>
      <c r="B1031">
        <v>145.88999999999999</v>
      </c>
      <c r="C1031" s="19">
        <v>2425301</v>
      </c>
    </row>
    <row r="1032" spans="1:3" x14ac:dyDescent="0.25">
      <c r="A1032" s="1">
        <v>40534</v>
      </c>
      <c r="B1032">
        <v>145.94999999999999</v>
      </c>
      <c r="C1032" s="19">
        <v>3388801</v>
      </c>
    </row>
    <row r="1033" spans="1:3" x14ac:dyDescent="0.25">
      <c r="A1033" s="1">
        <v>40533</v>
      </c>
      <c r="B1033">
        <v>145.74</v>
      </c>
      <c r="C1033" s="19">
        <v>3779240</v>
      </c>
    </row>
    <row r="1034" spans="1:3" x14ac:dyDescent="0.25">
      <c r="A1034" s="1">
        <v>40532</v>
      </c>
      <c r="B1034">
        <v>144.51</v>
      </c>
      <c r="C1034" s="19">
        <v>3994963</v>
      </c>
    </row>
    <row r="1035" spans="1:3" x14ac:dyDescent="0.25">
      <c r="A1035" s="1">
        <v>40529</v>
      </c>
      <c r="B1035">
        <v>145</v>
      </c>
      <c r="C1035" s="19">
        <v>10026950</v>
      </c>
    </row>
    <row r="1036" spans="1:3" x14ac:dyDescent="0.25">
      <c r="A1036" s="1">
        <v>40528</v>
      </c>
      <c r="B1036">
        <v>144.55000000000001</v>
      </c>
      <c r="C1036" s="19">
        <v>4178664</v>
      </c>
    </row>
    <row r="1037" spans="1:3" x14ac:dyDescent="0.25">
      <c r="A1037" s="1">
        <v>40527</v>
      </c>
      <c r="B1037">
        <v>144.72</v>
      </c>
      <c r="C1037" s="19">
        <v>4447397</v>
      </c>
    </row>
    <row r="1038" spans="1:3" x14ac:dyDescent="0.25">
      <c r="A1038" s="1">
        <v>40526</v>
      </c>
      <c r="B1038">
        <v>145.82</v>
      </c>
      <c r="C1038" s="19">
        <v>4804172</v>
      </c>
    </row>
    <row r="1039" spans="1:3" x14ac:dyDescent="0.25">
      <c r="A1039" s="1">
        <v>40525</v>
      </c>
      <c r="B1039">
        <v>144.28</v>
      </c>
      <c r="C1039" s="19">
        <v>4741876</v>
      </c>
    </row>
    <row r="1040" spans="1:3" x14ac:dyDescent="0.25">
      <c r="A1040" s="1">
        <v>40522</v>
      </c>
      <c r="B1040">
        <v>144.82</v>
      </c>
      <c r="C1040" s="19">
        <v>3503880</v>
      </c>
    </row>
    <row r="1041" spans="1:3" x14ac:dyDescent="0.25">
      <c r="A1041" s="1">
        <v>40521</v>
      </c>
      <c r="B1041">
        <v>144.30000000000001</v>
      </c>
      <c r="C1041" s="19">
        <v>4406114</v>
      </c>
    </row>
    <row r="1042" spans="1:3" x14ac:dyDescent="0.25">
      <c r="A1042" s="1">
        <v>40520</v>
      </c>
      <c r="B1042">
        <v>144.97999999999999</v>
      </c>
      <c r="C1042" s="19">
        <v>4962115</v>
      </c>
    </row>
    <row r="1043" spans="1:3" x14ac:dyDescent="0.25">
      <c r="A1043" s="1">
        <v>40519</v>
      </c>
      <c r="B1043">
        <v>144.02000000000001</v>
      </c>
      <c r="C1043" s="19">
        <v>4830430</v>
      </c>
    </row>
    <row r="1044" spans="1:3" x14ac:dyDescent="0.25">
      <c r="A1044" s="1">
        <v>40518</v>
      </c>
      <c r="B1044">
        <v>144.99</v>
      </c>
      <c r="C1044" s="19">
        <v>3321951</v>
      </c>
    </row>
    <row r="1045" spans="1:3" x14ac:dyDescent="0.25">
      <c r="A1045" s="1">
        <v>40515</v>
      </c>
      <c r="B1045">
        <v>145.38</v>
      </c>
      <c r="C1045" s="19">
        <v>3710884</v>
      </c>
    </row>
    <row r="1046" spans="1:3" x14ac:dyDescent="0.25">
      <c r="A1046" s="1">
        <v>40514</v>
      </c>
      <c r="B1046">
        <v>145.18</v>
      </c>
      <c r="C1046" s="19">
        <v>5375523</v>
      </c>
    </row>
    <row r="1047" spans="1:3" x14ac:dyDescent="0.25">
      <c r="A1047" s="1">
        <v>40513</v>
      </c>
      <c r="B1047">
        <v>144.41</v>
      </c>
      <c r="C1047" s="19">
        <v>6826974</v>
      </c>
    </row>
    <row r="1048" spans="1:3" x14ac:dyDescent="0.25">
      <c r="A1048" s="1">
        <v>40512</v>
      </c>
      <c r="B1048">
        <v>141.46</v>
      </c>
      <c r="C1048" s="19">
        <v>7676320</v>
      </c>
    </row>
    <row r="1049" spans="1:3" x14ac:dyDescent="0.25">
      <c r="A1049" s="1">
        <v>40511</v>
      </c>
      <c r="B1049">
        <v>142.88999999999999</v>
      </c>
      <c r="C1049" s="19">
        <v>5040206</v>
      </c>
    </row>
    <row r="1050" spans="1:3" x14ac:dyDescent="0.25">
      <c r="A1050" s="1">
        <v>40508</v>
      </c>
      <c r="B1050">
        <v>143.9</v>
      </c>
      <c r="C1050" s="19">
        <v>2081260</v>
      </c>
    </row>
    <row r="1051" spans="1:3" x14ac:dyDescent="0.25">
      <c r="A1051" s="1">
        <v>40506</v>
      </c>
      <c r="B1051">
        <v>145.81</v>
      </c>
      <c r="C1051" s="19">
        <v>4877219</v>
      </c>
    </row>
    <row r="1052" spans="1:3" x14ac:dyDescent="0.25">
      <c r="A1052" s="1">
        <v>40505</v>
      </c>
      <c r="B1052">
        <v>143.18</v>
      </c>
      <c r="C1052" s="19">
        <v>4573145</v>
      </c>
    </row>
    <row r="1053" spans="1:3" x14ac:dyDescent="0.25">
      <c r="A1053" s="1">
        <v>40504</v>
      </c>
      <c r="B1053">
        <v>145.38999999999999</v>
      </c>
      <c r="C1053" s="19">
        <v>3730686</v>
      </c>
    </row>
    <row r="1054" spans="1:3" x14ac:dyDescent="0.25">
      <c r="A1054" s="1">
        <v>40501</v>
      </c>
      <c r="B1054">
        <v>145.05000000000001</v>
      </c>
      <c r="C1054" s="19">
        <v>5015957</v>
      </c>
    </row>
    <row r="1055" spans="1:3" x14ac:dyDescent="0.25">
      <c r="A1055" s="1">
        <v>40500</v>
      </c>
      <c r="B1055">
        <v>144.36000000000001</v>
      </c>
      <c r="C1055" s="19">
        <v>4238874</v>
      </c>
    </row>
    <row r="1056" spans="1:3" x14ac:dyDescent="0.25">
      <c r="A1056" s="1">
        <v>40499</v>
      </c>
      <c r="B1056">
        <v>141.94999999999999</v>
      </c>
      <c r="C1056" s="19">
        <v>4787048</v>
      </c>
    </row>
    <row r="1057" spans="1:3" x14ac:dyDescent="0.25">
      <c r="A1057" s="1">
        <v>40498</v>
      </c>
      <c r="B1057">
        <v>142.24</v>
      </c>
      <c r="C1057" s="19">
        <v>6350519</v>
      </c>
    </row>
    <row r="1058" spans="1:3" x14ac:dyDescent="0.25">
      <c r="A1058" s="1">
        <v>40497</v>
      </c>
      <c r="B1058">
        <v>143.63999999999999</v>
      </c>
      <c r="C1058" s="19">
        <v>3828151</v>
      </c>
    </row>
    <row r="1059" spans="1:3" x14ac:dyDescent="0.25">
      <c r="A1059" s="1">
        <v>40494</v>
      </c>
      <c r="B1059">
        <v>143.74</v>
      </c>
      <c r="C1059" s="19">
        <v>4732937</v>
      </c>
    </row>
    <row r="1060" spans="1:3" x14ac:dyDescent="0.25">
      <c r="A1060" s="1">
        <v>40493</v>
      </c>
      <c r="B1060">
        <v>145.43</v>
      </c>
      <c r="C1060" s="19">
        <v>4752261</v>
      </c>
    </row>
    <row r="1061" spans="1:3" x14ac:dyDescent="0.25">
      <c r="A1061" s="1">
        <v>40492</v>
      </c>
      <c r="B1061">
        <v>146.55000000000001</v>
      </c>
      <c r="C1061" s="19">
        <v>5175737</v>
      </c>
    </row>
    <row r="1062" spans="1:3" x14ac:dyDescent="0.25">
      <c r="A1062" s="1">
        <v>40491</v>
      </c>
      <c r="B1062">
        <v>146.13999999999999</v>
      </c>
      <c r="C1062" s="19">
        <v>5701284</v>
      </c>
    </row>
    <row r="1063" spans="1:3" x14ac:dyDescent="0.25">
      <c r="A1063" s="1">
        <v>40490</v>
      </c>
      <c r="B1063">
        <v>146.46</v>
      </c>
      <c r="C1063" s="19">
        <v>4459904</v>
      </c>
    </row>
    <row r="1064" spans="1:3" x14ac:dyDescent="0.25">
      <c r="A1064" s="1">
        <v>40487</v>
      </c>
      <c r="B1064">
        <v>146.91999999999999</v>
      </c>
      <c r="C1064" s="19">
        <v>4996376</v>
      </c>
    </row>
    <row r="1065" spans="1:3" x14ac:dyDescent="0.25">
      <c r="A1065" s="1">
        <v>40486</v>
      </c>
      <c r="B1065">
        <v>146.79</v>
      </c>
      <c r="C1065" s="19">
        <v>6626305</v>
      </c>
    </row>
    <row r="1066" spans="1:3" x14ac:dyDescent="0.25">
      <c r="A1066" s="1">
        <v>40485</v>
      </c>
      <c r="B1066">
        <v>144.16999999999999</v>
      </c>
      <c r="C1066" s="19">
        <v>5182447</v>
      </c>
    </row>
    <row r="1067" spans="1:3" x14ac:dyDescent="0.25">
      <c r="A1067" s="1">
        <v>40484</v>
      </c>
      <c r="B1067">
        <v>143.84</v>
      </c>
      <c r="C1067" s="19">
        <v>4626496</v>
      </c>
    </row>
    <row r="1068" spans="1:3" x14ac:dyDescent="0.25">
      <c r="A1068" s="1">
        <v>40483</v>
      </c>
      <c r="B1068">
        <v>143.32</v>
      </c>
      <c r="C1068" s="19">
        <v>5676036</v>
      </c>
    </row>
    <row r="1069" spans="1:3" x14ac:dyDescent="0.25">
      <c r="A1069" s="1">
        <v>40480</v>
      </c>
      <c r="B1069">
        <v>143.6</v>
      </c>
      <c r="C1069" s="19">
        <v>8444096</v>
      </c>
    </row>
    <row r="1070" spans="1:3" x14ac:dyDescent="0.25">
      <c r="A1070" s="1">
        <v>40479</v>
      </c>
      <c r="B1070">
        <v>140.9</v>
      </c>
      <c r="C1070" s="19">
        <v>5482601</v>
      </c>
    </row>
    <row r="1071" spans="1:3" x14ac:dyDescent="0.25">
      <c r="A1071" s="1">
        <v>40478</v>
      </c>
      <c r="B1071">
        <v>141.43</v>
      </c>
      <c r="C1071" s="19">
        <v>6467113</v>
      </c>
    </row>
    <row r="1072" spans="1:3" x14ac:dyDescent="0.25">
      <c r="A1072" s="1">
        <v>40477</v>
      </c>
      <c r="B1072">
        <v>140.66999999999999</v>
      </c>
      <c r="C1072" s="19">
        <v>7328198</v>
      </c>
    </row>
    <row r="1073" spans="1:3" x14ac:dyDescent="0.25">
      <c r="A1073" s="1">
        <v>40476</v>
      </c>
      <c r="B1073">
        <v>139.84</v>
      </c>
      <c r="C1073" s="19">
        <v>4870212</v>
      </c>
    </row>
    <row r="1074" spans="1:3" x14ac:dyDescent="0.25">
      <c r="A1074" s="1">
        <v>40473</v>
      </c>
      <c r="B1074">
        <v>139.66999999999999</v>
      </c>
      <c r="C1074" s="19">
        <v>4105312</v>
      </c>
    </row>
    <row r="1075" spans="1:3" x14ac:dyDescent="0.25">
      <c r="A1075" s="1">
        <v>40472</v>
      </c>
      <c r="B1075">
        <v>139.83000000000001</v>
      </c>
      <c r="C1075" s="19">
        <v>6230393</v>
      </c>
    </row>
    <row r="1076" spans="1:3" x14ac:dyDescent="0.25">
      <c r="A1076" s="1">
        <v>40471</v>
      </c>
      <c r="B1076">
        <v>139.07</v>
      </c>
      <c r="C1076" s="19">
        <v>6954831</v>
      </c>
    </row>
    <row r="1077" spans="1:3" x14ac:dyDescent="0.25">
      <c r="A1077" s="1">
        <v>40470</v>
      </c>
      <c r="B1077">
        <v>138.03</v>
      </c>
      <c r="C1077" s="19">
        <v>14160550</v>
      </c>
    </row>
    <row r="1078" spans="1:3" x14ac:dyDescent="0.25">
      <c r="A1078" s="1">
        <v>40469</v>
      </c>
      <c r="B1078">
        <v>142.83000000000001</v>
      </c>
      <c r="C1078" s="19">
        <v>10341160</v>
      </c>
    </row>
    <row r="1079" spans="1:3" x14ac:dyDescent="0.25">
      <c r="A1079" s="1">
        <v>40466</v>
      </c>
      <c r="B1079">
        <v>141.06</v>
      </c>
      <c r="C1079" s="19">
        <v>7224057</v>
      </c>
    </row>
    <row r="1080" spans="1:3" x14ac:dyDescent="0.25">
      <c r="A1080" s="1">
        <v>40465</v>
      </c>
      <c r="B1080">
        <v>141.5</v>
      </c>
      <c r="C1080" s="19">
        <v>5658943</v>
      </c>
    </row>
    <row r="1081" spans="1:3" x14ac:dyDescent="0.25">
      <c r="A1081" s="1">
        <v>40464</v>
      </c>
      <c r="B1081">
        <v>140.37</v>
      </c>
      <c r="C1081" s="19">
        <v>8788326</v>
      </c>
    </row>
    <row r="1082" spans="1:3" x14ac:dyDescent="0.25">
      <c r="A1082" s="1">
        <v>40463</v>
      </c>
      <c r="B1082">
        <v>139.85</v>
      </c>
      <c r="C1082" s="19">
        <v>5639174</v>
      </c>
    </row>
    <row r="1083" spans="1:3" x14ac:dyDescent="0.25">
      <c r="A1083" s="1">
        <v>40462</v>
      </c>
      <c r="B1083">
        <v>139.66</v>
      </c>
      <c r="C1083" s="19">
        <v>4009658</v>
      </c>
    </row>
    <row r="1084" spans="1:3" x14ac:dyDescent="0.25">
      <c r="A1084" s="1">
        <v>40459</v>
      </c>
      <c r="B1084">
        <v>138.85</v>
      </c>
      <c r="C1084" s="19">
        <v>4543943</v>
      </c>
    </row>
    <row r="1085" spans="1:3" x14ac:dyDescent="0.25">
      <c r="A1085" s="1">
        <v>40458</v>
      </c>
      <c r="B1085">
        <v>138.72</v>
      </c>
      <c r="C1085" s="19">
        <v>6440718</v>
      </c>
    </row>
    <row r="1086" spans="1:3" x14ac:dyDescent="0.25">
      <c r="A1086" s="1">
        <v>40457</v>
      </c>
      <c r="B1086">
        <v>137.84</v>
      </c>
      <c r="C1086" s="19">
        <v>4782906</v>
      </c>
    </row>
    <row r="1087" spans="1:3" x14ac:dyDescent="0.25">
      <c r="A1087" s="1">
        <v>40456</v>
      </c>
      <c r="B1087">
        <v>137.66</v>
      </c>
      <c r="C1087" s="19">
        <v>6202496</v>
      </c>
    </row>
    <row r="1088" spans="1:3" x14ac:dyDescent="0.25">
      <c r="A1088" s="1">
        <v>40455</v>
      </c>
      <c r="B1088">
        <v>135.25</v>
      </c>
      <c r="C1088" s="19">
        <v>4063858</v>
      </c>
    </row>
    <row r="1089" spans="1:3" x14ac:dyDescent="0.25">
      <c r="A1089" s="1">
        <v>40452</v>
      </c>
      <c r="B1089">
        <v>135.63999999999999</v>
      </c>
      <c r="C1089" s="19">
        <v>5621197</v>
      </c>
    </row>
    <row r="1090" spans="1:3" x14ac:dyDescent="0.25">
      <c r="A1090" s="1">
        <v>40451</v>
      </c>
      <c r="B1090">
        <v>134.13999999999999</v>
      </c>
      <c r="C1090" s="19">
        <v>6432129</v>
      </c>
    </row>
    <row r="1091" spans="1:3" x14ac:dyDescent="0.25">
      <c r="A1091" s="1">
        <v>40450</v>
      </c>
      <c r="B1091">
        <v>135.47999999999999</v>
      </c>
      <c r="C1091" s="19">
        <v>5151624</v>
      </c>
    </row>
    <row r="1092" spans="1:3" x14ac:dyDescent="0.25">
      <c r="A1092" s="1">
        <v>40449</v>
      </c>
      <c r="B1092">
        <v>134.88999999999999</v>
      </c>
      <c r="C1092" s="19">
        <v>7484022</v>
      </c>
    </row>
    <row r="1093" spans="1:3" x14ac:dyDescent="0.25">
      <c r="A1093" s="1">
        <v>40448</v>
      </c>
      <c r="B1093">
        <v>134.65</v>
      </c>
      <c r="C1093" s="19">
        <v>6155512</v>
      </c>
    </row>
    <row r="1094" spans="1:3" x14ac:dyDescent="0.25">
      <c r="A1094" s="1">
        <v>40445</v>
      </c>
      <c r="B1094">
        <v>134.11000000000001</v>
      </c>
      <c r="C1094" s="19">
        <v>7122325</v>
      </c>
    </row>
    <row r="1095" spans="1:3" x14ac:dyDescent="0.25">
      <c r="A1095" s="1">
        <v>40444</v>
      </c>
      <c r="B1095">
        <v>131.66999999999999</v>
      </c>
      <c r="C1095" s="19">
        <v>3898904</v>
      </c>
    </row>
    <row r="1096" spans="1:3" x14ac:dyDescent="0.25">
      <c r="A1096" s="1">
        <v>40443</v>
      </c>
      <c r="B1096">
        <v>132.57</v>
      </c>
      <c r="C1096" s="19">
        <v>4922526</v>
      </c>
    </row>
    <row r="1097" spans="1:3" x14ac:dyDescent="0.25">
      <c r="A1097" s="1">
        <v>40442</v>
      </c>
      <c r="B1097">
        <v>131.97999999999999</v>
      </c>
      <c r="C1097" s="19">
        <v>5268605</v>
      </c>
    </row>
    <row r="1098" spans="1:3" x14ac:dyDescent="0.25">
      <c r="A1098" s="1">
        <v>40441</v>
      </c>
      <c r="B1098">
        <v>131.79</v>
      </c>
      <c r="C1098" s="19">
        <v>7214702</v>
      </c>
    </row>
    <row r="1099" spans="1:3" x14ac:dyDescent="0.25">
      <c r="A1099" s="1">
        <v>40438</v>
      </c>
      <c r="B1099">
        <v>130.19</v>
      </c>
      <c r="C1099" s="19">
        <v>10397660</v>
      </c>
    </row>
    <row r="1100" spans="1:3" x14ac:dyDescent="0.25">
      <c r="A1100" s="1">
        <v>40437</v>
      </c>
      <c r="B1100">
        <v>129.66999999999999</v>
      </c>
      <c r="C1100" s="19">
        <v>4685578</v>
      </c>
    </row>
    <row r="1101" spans="1:3" x14ac:dyDescent="0.25">
      <c r="A1101" s="1">
        <v>40436</v>
      </c>
      <c r="B1101">
        <v>129.43</v>
      </c>
      <c r="C1101" s="19">
        <v>4762454</v>
      </c>
    </row>
    <row r="1102" spans="1:3" x14ac:dyDescent="0.25">
      <c r="A1102" s="1">
        <v>40435</v>
      </c>
      <c r="B1102">
        <v>128.85</v>
      </c>
      <c r="C1102" s="19">
        <v>4851469</v>
      </c>
    </row>
    <row r="1103" spans="1:3" x14ac:dyDescent="0.25">
      <c r="A1103" s="1">
        <v>40434</v>
      </c>
      <c r="B1103">
        <v>129.61000000000001</v>
      </c>
      <c r="C1103" s="19">
        <v>5272370</v>
      </c>
    </row>
    <row r="1104" spans="1:3" x14ac:dyDescent="0.25">
      <c r="A1104" s="1">
        <v>40431</v>
      </c>
      <c r="B1104">
        <v>127.99</v>
      </c>
      <c r="C1104" s="19">
        <v>4419379</v>
      </c>
    </row>
    <row r="1105" spans="1:3" x14ac:dyDescent="0.25">
      <c r="A1105" s="1">
        <v>40430</v>
      </c>
      <c r="B1105">
        <v>126.36</v>
      </c>
      <c r="C1105" s="19">
        <v>3437612</v>
      </c>
    </row>
    <row r="1106" spans="1:3" x14ac:dyDescent="0.25">
      <c r="A1106" s="1">
        <v>40429</v>
      </c>
      <c r="B1106">
        <v>126.08</v>
      </c>
      <c r="C1106" s="19">
        <v>4486438</v>
      </c>
    </row>
    <row r="1107" spans="1:3" x14ac:dyDescent="0.25">
      <c r="A1107" s="1">
        <v>40428</v>
      </c>
      <c r="B1107">
        <v>125.95</v>
      </c>
      <c r="C1107" s="19">
        <v>4353927</v>
      </c>
    </row>
    <row r="1108" spans="1:3" x14ac:dyDescent="0.25">
      <c r="A1108" s="1">
        <v>40424</v>
      </c>
      <c r="B1108">
        <v>127.58</v>
      </c>
      <c r="C1108" s="19">
        <v>5144355</v>
      </c>
    </row>
    <row r="1109" spans="1:3" x14ac:dyDescent="0.25">
      <c r="A1109" s="1">
        <v>40423</v>
      </c>
      <c r="B1109">
        <v>125.04</v>
      </c>
      <c r="C1109" s="19">
        <v>5104538</v>
      </c>
    </row>
    <row r="1110" spans="1:3" x14ac:dyDescent="0.25">
      <c r="A1110" s="1">
        <v>40422</v>
      </c>
      <c r="B1110">
        <v>125.77</v>
      </c>
      <c r="C1110" s="19">
        <v>5624070</v>
      </c>
    </row>
    <row r="1111" spans="1:3" x14ac:dyDescent="0.25">
      <c r="A1111" s="1">
        <v>40421</v>
      </c>
      <c r="B1111">
        <v>123.13</v>
      </c>
      <c r="C1111" s="19">
        <v>5624125</v>
      </c>
    </row>
    <row r="1112" spans="1:3" x14ac:dyDescent="0.25">
      <c r="A1112" s="1">
        <v>40420</v>
      </c>
      <c r="B1112">
        <v>123.4</v>
      </c>
      <c r="C1112" s="19">
        <v>3603963</v>
      </c>
    </row>
    <row r="1113" spans="1:3" x14ac:dyDescent="0.25">
      <c r="A1113" s="1">
        <v>40417</v>
      </c>
      <c r="B1113">
        <v>124.73</v>
      </c>
      <c r="C1113" s="19">
        <v>6214197</v>
      </c>
    </row>
    <row r="1114" spans="1:3" x14ac:dyDescent="0.25">
      <c r="A1114" s="1">
        <v>40416</v>
      </c>
      <c r="B1114">
        <v>122.78</v>
      </c>
      <c r="C1114" s="19">
        <v>7748597</v>
      </c>
    </row>
    <row r="1115" spans="1:3" x14ac:dyDescent="0.25">
      <c r="A1115" s="1">
        <v>40415</v>
      </c>
      <c r="B1115">
        <v>125.27</v>
      </c>
      <c r="C1115" s="19">
        <v>5239579</v>
      </c>
    </row>
    <row r="1116" spans="1:3" x14ac:dyDescent="0.25">
      <c r="A1116" s="1">
        <v>40414</v>
      </c>
      <c r="B1116">
        <v>124.9</v>
      </c>
      <c r="C1116" s="19">
        <v>5624039</v>
      </c>
    </row>
    <row r="1117" spans="1:3" x14ac:dyDescent="0.25">
      <c r="A1117" s="1">
        <v>40413</v>
      </c>
      <c r="B1117">
        <v>126.47</v>
      </c>
      <c r="C1117" s="19">
        <v>4034693</v>
      </c>
    </row>
    <row r="1118" spans="1:3" x14ac:dyDescent="0.25">
      <c r="A1118" s="1">
        <v>40410</v>
      </c>
      <c r="B1118">
        <v>127.5</v>
      </c>
      <c r="C1118" s="19">
        <v>6246279</v>
      </c>
    </row>
    <row r="1119" spans="1:3" x14ac:dyDescent="0.25">
      <c r="A1119" s="1">
        <v>40409</v>
      </c>
      <c r="B1119">
        <v>128.9</v>
      </c>
      <c r="C1119" s="19">
        <v>5402547</v>
      </c>
    </row>
    <row r="1120" spans="1:3" x14ac:dyDescent="0.25">
      <c r="A1120" s="1">
        <v>40408</v>
      </c>
      <c r="B1120">
        <v>129.39250000000001</v>
      </c>
      <c r="C1120" s="19">
        <v>4883300</v>
      </c>
    </row>
    <row r="1121" spans="1:3" x14ac:dyDescent="0.25">
      <c r="A1121" s="1">
        <v>40407</v>
      </c>
      <c r="B1121">
        <v>128.44999999999999</v>
      </c>
      <c r="C1121" s="19">
        <v>4298556</v>
      </c>
    </row>
    <row r="1122" spans="1:3" x14ac:dyDescent="0.25">
      <c r="A1122" s="1">
        <v>40406</v>
      </c>
      <c r="B1122">
        <v>127.77</v>
      </c>
      <c r="C1122" s="19">
        <v>4009130</v>
      </c>
    </row>
    <row r="1123" spans="1:3" x14ac:dyDescent="0.25">
      <c r="A1123" s="1">
        <v>40403</v>
      </c>
      <c r="B1123">
        <v>127.87</v>
      </c>
      <c r="C1123" s="19">
        <v>4670519</v>
      </c>
    </row>
    <row r="1124" spans="1:3" x14ac:dyDescent="0.25">
      <c r="A1124" s="1">
        <v>40402</v>
      </c>
      <c r="B1124">
        <v>128.30000000000001</v>
      </c>
      <c r="C1124" s="19">
        <v>5132391</v>
      </c>
    </row>
    <row r="1125" spans="1:3" x14ac:dyDescent="0.25">
      <c r="A1125" s="1">
        <v>40401</v>
      </c>
      <c r="B1125">
        <v>129.83000000000001</v>
      </c>
      <c r="C1125" s="19">
        <v>6318083</v>
      </c>
    </row>
    <row r="1126" spans="1:3" x14ac:dyDescent="0.25">
      <c r="A1126" s="1">
        <v>40400</v>
      </c>
      <c r="B1126">
        <v>131.84</v>
      </c>
      <c r="C1126" s="19">
        <v>5471688</v>
      </c>
    </row>
    <row r="1127" spans="1:3" x14ac:dyDescent="0.25">
      <c r="A1127" s="1">
        <v>40399</v>
      </c>
      <c r="B1127">
        <v>132</v>
      </c>
      <c r="C1127" s="19">
        <v>6135341</v>
      </c>
    </row>
    <row r="1128" spans="1:3" x14ac:dyDescent="0.25">
      <c r="A1128" s="1">
        <v>40396</v>
      </c>
      <c r="B1128">
        <v>130.13999999999999</v>
      </c>
      <c r="C1128" s="19">
        <v>6137850</v>
      </c>
    </row>
    <row r="1129" spans="1:3" x14ac:dyDescent="0.25">
      <c r="A1129" s="1">
        <v>40395</v>
      </c>
      <c r="B1129">
        <v>131.83000000000001</v>
      </c>
      <c r="C1129" s="19">
        <v>4523103</v>
      </c>
    </row>
    <row r="1130" spans="1:3" x14ac:dyDescent="0.25">
      <c r="A1130" s="1">
        <v>40394</v>
      </c>
      <c r="B1130">
        <v>131.27000000000001</v>
      </c>
      <c r="C1130" s="19">
        <v>4573074</v>
      </c>
    </row>
    <row r="1131" spans="1:3" x14ac:dyDescent="0.25">
      <c r="A1131" s="1">
        <v>40393</v>
      </c>
      <c r="B1131">
        <v>130.37</v>
      </c>
      <c r="C1131" s="19">
        <v>5091953</v>
      </c>
    </row>
    <row r="1132" spans="1:3" x14ac:dyDescent="0.25">
      <c r="A1132" s="1">
        <v>40392</v>
      </c>
      <c r="B1132">
        <v>130.76</v>
      </c>
      <c r="C1132" s="19">
        <v>6437441</v>
      </c>
    </row>
    <row r="1133" spans="1:3" x14ac:dyDescent="0.25">
      <c r="A1133" s="1">
        <v>40389</v>
      </c>
      <c r="B1133">
        <v>128.4</v>
      </c>
      <c r="C1133" s="19">
        <v>6025837</v>
      </c>
    </row>
    <row r="1134" spans="1:3" x14ac:dyDescent="0.25">
      <c r="A1134" s="1">
        <v>40388</v>
      </c>
      <c r="B1134">
        <v>128.02000000000001</v>
      </c>
      <c r="C1134" s="19">
        <v>8997318</v>
      </c>
    </row>
    <row r="1135" spans="1:3" x14ac:dyDescent="0.25">
      <c r="A1135" s="1">
        <v>40387</v>
      </c>
      <c r="B1135">
        <v>128.43</v>
      </c>
      <c r="C1135" s="19">
        <v>4252631</v>
      </c>
    </row>
    <row r="1136" spans="1:3" x14ac:dyDescent="0.25">
      <c r="A1136" s="1">
        <v>40386</v>
      </c>
      <c r="B1136">
        <v>128.63</v>
      </c>
      <c r="C1136" s="19">
        <v>4648527</v>
      </c>
    </row>
    <row r="1137" spans="1:3" x14ac:dyDescent="0.25">
      <c r="A1137" s="1">
        <v>40385</v>
      </c>
      <c r="B1137">
        <v>128.41</v>
      </c>
      <c r="C1137" s="19">
        <v>5172270</v>
      </c>
    </row>
    <row r="1138" spans="1:3" x14ac:dyDescent="0.25">
      <c r="A1138" s="1">
        <v>40382</v>
      </c>
      <c r="B1138">
        <v>128.38</v>
      </c>
      <c r="C1138" s="19">
        <v>5077974</v>
      </c>
    </row>
    <row r="1139" spans="1:3" x14ac:dyDescent="0.25">
      <c r="A1139" s="1">
        <v>40381</v>
      </c>
      <c r="B1139">
        <v>127.47</v>
      </c>
      <c r="C1139" s="19">
        <v>6909088</v>
      </c>
    </row>
    <row r="1140" spans="1:3" x14ac:dyDescent="0.25">
      <c r="A1140" s="1">
        <v>40380</v>
      </c>
      <c r="B1140">
        <v>125.27</v>
      </c>
      <c r="C1140" s="19">
        <v>8615430</v>
      </c>
    </row>
    <row r="1141" spans="1:3" x14ac:dyDescent="0.25">
      <c r="A1141" s="1">
        <v>40379</v>
      </c>
      <c r="B1141">
        <v>126.55</v>
      </c>
      <c r="C1141" s="19">
        <v>16340310</v>
      </c>
    </row>
    <row r="1142" spans="1:3" x14ac:dyDescent="0.25">
      <c r="A1142" s="1">
        <v>40378</v>
      </c>
      <c r="B1142">
        <v>129.79</v>
      </c>
      <c r="C1142" s="19">
        <v>8388587</v>
      </c>
    </row>
    <row r="1143" spans="1:3" x14ac:dyDescent="0.25">
      <c r="A1143" s="1">
        <v>40375</v>
      </c>
      <c r="B1143">
        <v>128.03</v>
      </c>
      <c r="C1143" s="19">
        <v>7002854</v>
      </c>
    </row>
    <row r="1144" spans="1:3" x14ac:dyDescent="0.25">
      <c r="A1144" s="1">
        <v>40374</v>
      </c>
      <c r="B1144">
        <v>130.72</v>
      </c>
      <c r="C1144" s="19">
        <v>6187523</v>
      </c>
    </row>
    <row r="1145" spans="1:3" x14ac:dyDescent="0.25">
      <c r="A1145" s="1">
        <v>40373</v>
      </c>
      <c r="B1145">
        <v>130.72</v>
      </c>
      <c r="C1145" s="19">
        <v>6607133</v>
      </c>
    </row>
    <row r="1146" spans="1:3" x14ac:dyDescent="0.25">
      <c r="A1146" s="1">
        <v>40372</v>
      </c>
      <c r="B1146">
        <v>130.47999999999999</v>
      </c>
      <c r="C1146" s="19">
        <v>6687660</v>
      </c>
    </row>
    <row r="1147" spans="1:3" x14ac:dyDescent="0.25">
      <c r="A1147" s="1">
        <v>40371</v>
      </c>
      <c r="B1147">
        <v>128.66999999999999</v>
      </c>
      <c r="C1147" s="19">
        <v>4206871</v>
      </c>
    </row>
    <row r="1148" spans="1:3" x14ac:dyDescent="0.25">
      <c r="A1148" s="1">
        <v>40368</v>
      </c>
      <c r="B1148">
        <v>127.96</v>
      </c>
      <c r="C1148" s="19">
        <v>3898464</v>
      </c>
    </row>
    <row r="1149" spans="1:3" x14ac:dyDescent="0.25">
      <c r="A1149" s="1">
        <v>40367</v>
      </c>
      <c r="B1149">
        <v>127.97</v>
      </c>
      <c r="C1149" s="19">
        <v>5439963</v>
      </c>
    </row>
    <row r="1150" spans="1:3" x14ac:dyDescent="0.25">
      <c r="A1150" s="1">
        <v>40366</v>
      </c>
      <c r="B1150">
        <v>127</v>
      </c>
      <c r="C1150" s="19">
        <v>7090291</v>
      </c>
    </row>
    <row r="1151" spans="1:3" x14ac:dyDescent="0.25">
      <c r="A1151" s="1">
        <v>40365</v>
      </c>
      <c r="B1151">
        <v>123.46</v>
      </c>
      <c r="C1151" s="19">
        <v>6348708</v>
      </c>
    </row>
    <row r="1152" spans="1:3" x14ac:dyDescent="0.25">
      <c r="A1152" s="1">
        <v>40361</v>
      </c>
      <c r="B1152">
        <v>121.86</v>
      </c>
      <c r="C1152" s="19">
        <v>6454413</v>
      </c>
    </row>
    <row r="1153" spans="1:3" x14ac:dyDescent="0.25">
      <c r="A1153" s="1">
        <v>40360</v>
      </c>
      <c r="B1153">
        <v>122.57</v>
      </c>
      <c r="C1153" s="19">
        <v>9742208</v>
      </c>
    </row>
    <row r="1154" spans="1:3" x14ac:dyDescent="0.25">
      <c r="A1154" s="1">
        <v>40359</v>
      </c>
      <c r="B1154">
        <v>123.48</v>
      </c>
      <c r="C1154" s="19">
        <v>8017939</v>
      </c>
    </row>
    <row r="1155" spans="1:3" x14ac:dyDescent="0.25">
      <c r="A1155" s="1">
        <v>40358</v>
      </c>
      <c r="B1155">
        <v>125.09</v>
      </c>
      <c r="C1155" s="19">
        <v>9378799</v>
      </c>
    </row>
    <row r="1156" spans="1:3" x14ac:dyDescent="0.25">
      <c r="A1156" s="1">
        <v>40357</v>
      </c>
      <c r="B1156">
        <v>128.97999999999999</v>
      </c>
      <c r="C1156" s="19">
        <v>6335135</v>
      </c>
    </row>
    <row r="1157" spans="1:3" x14ac:dyDescent="0.25">
      <c r="A1157" s="1">
        <v>40354</v>
      </c>
      <c r="B1157">
        <v>127.12</v>
      </c>
      <c r="C1157" s="19">
        <v>10420670</v>
      </c>
    </row>
    <row r="1158" spans="1:3" x14ac:dyDescent="0.25">
      <c r="A1158" s="1">
        <v>40353</v>
      </c>
      <c r="B1158">
        <v>128.19</v>
      </c>
      <c r="C1158" s="19">
        <v>5565558</v>
      </c>
    </row>
    <row r="1159" spans="1:3" x14ac:dyDescent="0.25">
      <c r="A1159" s="1">
        <v>40352</v>
      </c>
      <c r="B1159">
        <v>130.11000000000001</v>
      </c>
      <c r="C1159" s="19">
        <v>6855741</v>
      </c>
    </row>
    <row r="1160" spans="1:3" x14ac:dyDescent="0.25">
      <c r="A1160" s="1">
        <v>40351</v>
      </c>
      <c r="B1160">
        <v>129.30000000000001</v>
      </c>
      <c r="C1160" s="19">
        <v>6030623</v>
      </c>
    </row>
    <row r="1161" spans="1:3" x14ac:dyDescent="0.25">
      <c r="A1161" s="1">
        <v>40350</v>
      </c>
      <c r="B1161">
        <v>130.65</v>
      </c>
      <c r="C1161" s="19">
        <v>6857800</v>
      </c>
    </row>
    <row r="1162" spans="1:3" x14ac:dyDescent="0.25">
      <c r="A1162" s="1">
        <v>40347</v>
      </c>
      <c r="B1162">
        <v>130.15</v>
      </c>
      <c r="C1162" s="19">
        <v>9581587</v>
      </c>
    </row>
    <row r="1163" spans="1:3" x14ac:dyDescent="0.25">
      <c r="A1163" s="1">
        <v>40346</v>
      </c>
      <c r="B1163">
        <v>130.97999999999999</v>
      </c>
      <c r="C1163" s="19">
        <v>5575129</v>
      </c>
    </row>
    <row r="1164" spans="1:3" x14ac:dyDescent="0.25">
      <c r="A1164" s="1">
        <v>40345</v>
      </c>
      <c r="B1164">
        <v>130.35</v>
      </c>
      <c r="C1164" s="19">
        <v>6400971</v>
      </c>
    </row>
    <row r="1165" spans="1:3" x14ac:dyDescent="0.25">
      <c r="A1165" s="1">
        <v>40344</v>
      </c>
      <c r="B1165">
        <v>129.79</v>
      </c>
      <c r="C1165" s="19">
        <v>6652612</v>
      </c>
    </row>
    <row r="1166" spans="1:3" x14ac:dyDescent="0.25">
      <c r="A1166" s="1">
        <v>40343</v>
      </c>
      <c r="B1166">
        <v>128.5</v>
      </c>
      <c r="C1166" s="19">
        <v>6753113</v>
      </c>
    </row>
    <row r="1167" spans="1:3" x14ac:dyDescent="0.25">
      <c r="A1167" s="1">
        <v>40340</v>
      </c>
      <c r="B1167">
        <v>128.44999999999999</v>
      </c>
      <c r="C1167" s="19">
        <v>5827093</v>
      </c>
    </row>
    <row r="1168" spans="1:3" x14ac:dyDescent="0.25">
      <c r="A1168" s="1">
        <v>40339</v>
      </c>
      <c r="B1168">
        <v>127.68</v>
      </c>
      <c r="C1168" s="19">
        <v>7479610</v>
      </c>
    </row>
    <row r="1169" spans="1:3" x14ac:dyDescent="0.25">
      <c r="A1169" s="1">
        <v>40338</v>
      </c>
      <c r="B1169">
        <v>123.9</v>
      </c>
      <c r="C1169" s="19">
        <v>7800309</v>
      </c>
    </row>
    <row r="1170" spans="1:3" x14ac:dyDescent="0.25">
      <c r="A1170" s="1">
        <v>40337</v>
      </c>
      <c r="B1170">
        <v>123.72</v>
      </c>
      <c r="C1170" s="19">
        <v>8399126</v>
      </c>
    </row>
    <row r="1171" spans="1:3" x14ac:dyDescent="0.25">
      <c r="A1171" s="1">
        <v>40336</v>
      </c>
      <c r="B1171">
        <v>124.13</v>
      </c>
      <c r="C1171" s="19">
        <v>6951325</v>
      </c>
    </row>
    <row r="1172" spans="1:3" x14ac:dyDescent="0.25">
      <c r="A1172" s="1">
        <v>40333</v>
      </c>
      <c r="B1172">
        <v>125.28</v>
      </c>
      <c r="C1172" s="19">
        <v>9669111</v>
      </c>
    </row>
    <row r="1173" spans="1:3" x14ac:dyDescent="0.25">
      <c r="A1173" s="1">
        <v>40332</v>
      </c>
      <c r="B1173">
        <v>127.96</v>
      </c>
      <c r="C1173" s="19">
        <v>6645219</v>
      </c>
    </row>
    <row r="1174" spans="1:3" x14ac:dyDescent="0.25">
      <c r="A1174" s="1">
        <v>40331</v>
      </c>
      <c r="B1174">
        <v>127.41</v>
      </c>
      <c r="C1174" s="19">
        <v>7705556</v>
      </c>
    </row>
    <row r="1175" spans="1:3" x14ac:dyDescent="0.25">
      <c r="A1175" s="1">
        <v>40330</v>
      </c>
      <c r="B1175">
        <v>124.34</v>
      </c>
      <c r="C1175" s="19">
        <v>7135389</v>
      </c>
    </row>
    <row r="1176" spans="1:3" x14ac:dyDescent="0.25">
      <c r="A1176" s="1">
        <v>40326</v>
      </c>
      <c r="B1176">
        <v>125.26</v>
      </c>
      <c r="C1176" s="19">
        <v>7422373</v>
      </c>
    </row>
    <row r="1177" spans="1:3" x14ac:dyDescent="0.25">
      <c r="A1177" s="1">
        <v>40325</v>
      </c>
      <c r="B1177">
        <v>126.39</v>
      </c>
      <c r="C1177" s="19">
        <v>7726560</v>
      </c>
    </row>
    <row r="1178" spans="1:3" x14ac:dyDescent="0.25">
      <c r="A1178" s="1">
        <v>40324</v>
      </c>
      <c r="B1178">
        <v>123.23</v>
      </c>
      <c r="C1178" s="19">
        <v>9085936</v>
      </c>
    </row>
    <row r="1179" spans="1:3" x14ac:dyDescent="0.25">
      <c r="A1179" s="1">
        <v>40323</v>
      </c>
      <c r="B1179">
        <v>124.52</v>
      </c>
      <c r="C1179" s="19">
        <v>9498873</v>
      </c>
    </row>
    <row r="1180" spans="1:3" x14ac:dyDescent="0.25">
      <c r="A1180" s="1">
        <v>40322</v>
      </c>
      <c r="B1180">
        <v>124.45</v>
      </c>
      <c r="C1180" s="19">
        <v>6876074</v>
      </c>
    </row>
    <row r="1181" spans="1:3" x14ac:dyDescent="0.25">
      <c r="A1181" s="1">
        <v>40319</v>
      </c>
      <c r="B1181">
        <v>125.42</v>
      </c>
      <c r="C1181" s="19">
        <v>12639580</v>
      </c>
    </row>
    <row r="1182" spans="1:3" x14ac:dyDescent="0.25">
      <c r="A1182" s="1">
        <v>40318</v>
      </c>
      <c r="B1182">
        <v>123.8</v>
      </c>
      <c r="C1182" s="19">
        <v>13178150</v>
      </c>
    </row>
    <row r="1183" spans="1:3" x14ac:dyDescent="0.25">
      <c r="A1183" s="1">
        <v>40317</v>
      </c>
      <c r="B1183">
        <v>128.86000000000001</v>
      </c>
      <c r="C1183" s="19">
        <v>8669840</v>
      </c>
    </row>
    <row r="1184" spans="1:3" x14ac:dyDescent="0.25">
      <c r="A1184" s="1">
        <v>40316</v>
      </c>
      <c r="B1184">
        <v>129.94999999999999</v>
      </c>
      <c r="C1184" s="19">
        <v>9332110</v>
      </c>
    </row>
    <row r="1185" spans="1:3" x14ac:dyDescent="0.25">
      <c r="A1185" s="1">
        <v>40315</v>
      </c>
      <c r="B1185">
        <v>130.44</v>
      </c>
      <c r="C1185" s="19">
        <v>8924745</v>
      </c>
    </row>
    <row r="1186" spans="1:3" x14ac:dyDescent="0.25">
      <c r="A1186" s="1">
        <v>40312</v>
      </c>
      <c r="B1186">
        <v>131.19</v>
      </c>
      <c r="C1186" s="19">
        <v>9920567</v>
      </c>
    </row>
    <row r="1187" spans="1:3" x14ac:dyDescent="0.25">
      <c r="A1187" s="1">
        <v>40311</v>
      </c>
      <c r="B1187">
        <v>131.47999999999999</v>
      </c>
      <c r="C1187" s="19">
        <v>10498360</v>
      </c>
    </row>
    <row r="1188" spans="1:3" x14ac:dyDescent="0.25">
      <c r="A1188" s="1">
        <v>40310</v>
      </c>
      <c r="B1188">
        <v>132.68</v>
      </c>
      <c r="C1188" s="19">
        <v>16629700</v>
      </c>
    </row>
    <row r="1189" spans="1:3" x14ac:dyDescent="0.25">
      <c r="A1189" s="1">
        <v>40309</v>
      </c>
      <c r="B1189">
        <v>126.89</v>
      </c>
      <c r="C1189" s="19">
        <v>6499773</v>
      </c>
    </row>
    <row r="1190" spans="1:3" x14ac:dyDescent="0.25">
      <c r="A1190" s="1">
        <v>40308</v>
      </c>
      <c r="B1190">
        <v>126.27</v>
      </c>
      <c r="C1190" s="19">
        <v>8464250</v>
      </c>
    </row>
    <row r="1191" spans="1:3" x14ac:dyDescent="0.25">
      <c r="A1191" s="1">
        <v>40305</v>
      </c>
      <c r="B1191">
        <v>122.1</v>
      </c>
      <c r="C1191" s="19">
        <v>10585340</v>
      </c>
    </row>
    <row r="1192" spans="1:3" x14ac:dyDescent="0.25">
      <c r="A1192" s="1">
        <v>40304</v>
      </c>
      <c r="B1192">
        <v>123.92</v>
      </c>
      <c r="C1192" s="19">
        <v>13169700</v>
      </c>
    </row>
    <row r="1193" spans="1:3" x14ac:dyDescent="0.25">
      <c r="A1193" s="1">
        <v>40303</v>
      </c>
      <c r="B1193">
        <v>127.46</v>
      </c>
      <c r="C1193" s="19">
        <v>6072834</v>
      </c>
    </row>
    <row r="1194" spans="1:3" x14ac:dyDescent="0.25">
      <c r="A1194" s="1">
        <v>40302</v>
      </c>
      <c r="B1194">
        <v>128.12</v>
      </c>
      <c r="C1194" s="19">
        <v>8285289</v>
      </c>
    </row>
    <row r="1195" spans="1:3" x14ac:dyDescent="0.25">
      <c r="A1195" s="1">
        <v>40301</v>
      </c>
      <c r="B1195">
        <v>129.6</v>
      </c>
      <c r="C1195" s="19">
        <v>4992019</v>
      </c>
    </row>
    <row r="1196" spans="1:3" x14ac:dyDescent="0.25">
      <c r="A1196" s="1">
        <v>40298</v>
      </c>
      <c r="B1196">
        <v>129</v>
      </c>
      <c r="C1196" s="19">
        <v>6266689</v>
      </c>
    </row>
    <row r="1197" spans="1:3" x14ac:dyDescent="0.25">
      <c r="A1197" s="1">
        <v>40297</v>
      </c>
      <c r="B1197">
        <v>130.46</v>
      </c>
      <c r="C1197" s="19">
        <v>5786888</v>
      </c>
    </row>
    <row r="1198" spans="1:3" x14ac:dyDescent="0.25">
      <c r="A1198" s="1">
        <v>40296</v>
      </c>
      <c r="B1198">
        <v>130.1</v>
      </c>
      <c r="C1198" s="19">
        <v>7123602</v>
      </c>
    </row>
    <row r="1199" spans="1:3" x14ac:dyDescent="0.25">
      <c r="A1199" s="1">
        <v>40295</v>
      </c>
      <c r="B1199">
        <v>128.82</v>
      </c>
      <c r="C1199" s="19">
        <v>10917510</v>
      </c>
    </row>
    <row r="1200" spans="1:3" x14ac:dyDescent="0.25">
      <c r="A1200" s="1">
        <v>40294</v>
      </c>
      <c r="B1200">
        <v>130.72999999999999</v>
      </c>
      <c r="C1200" s="19">
        <v>5285484</v>
      </c>
    </row>
    <row r="1201" spans="1:3" x14ac:dyDescent="0.25">
      <c r="A1201" s="1">
        <v>40291</v>
      </c>
      <c r="B1201">
        <v>129.99</v>
      </c>
      <c r="C1201" s="19">
        <v>6197382</v>
      </c>
    </row>
    <row r="1202" spans="1:3" x14ac:dyDescent="0.25">
      <c r="A1202" s="1">
        <v>40290</v>
      </c>
      <c r="B1202">
        <v>129.13</v>
      </c>
      <c r="C1202" s="19">
        <v>6018690</v>
      </c>
    </row>
    <row r="1203" spans="1:3" x14ac:dyDescent="0.25">
      <c r="A1203" s="1">
        <v>40289</v>
      </c>
      <c r="B1203">
        <v>128.99</v>
      </c>
      <c r="C1203" s="19">
        <v>7560015</v>
      </c>
    </row>
    <row r="1204" spans="1:3" x14ac:dyDescent="0.25">
      <c r="A1204" s="1">
        <v>40288</v>
      </c>
      <c r="B1204">
        <v>129.69</v>
      </c>
      <c r="C1204" s="19">
        <v>15218570</v>
      </c>
    </row>
    <row r="1205" spans="1:3" x14ac:dyDescent="0.25">
      <c r="A1205" s="1">
        <v>40287</v>
      </c>
      <c r="B1205">
        <v>132.22999999999999</v>
      </c>
      <c r="C1205" s="19">
        <v>11353680</v>
      </c>
    </row>
    <row r="1206" spans="1:3" x14ac:dyDescent="0.25">
      <c r="A1206" s="1">
        <v>40284</v>
      </c>
      <c r="B1206">
        <v>130.63</v>
      </c>
      <c r="C1206" s="19">
        <v>9549798</v>
      </c>
    </row>
    <row r="1207" spans="1:3" x14ac:dyDescent="0.25">
      <c r="A1207" s="1">
        <v>40283</v>
      </c>
      <c r="B1207">
        <v>130.88999999999999</v>
      </c>
      <c r="C1207" s="19">
        <v>6425399</v>
      </c>
    </row>
    <row r="1208" spans="1:3" x14ac:dyDescent="0.25">
      <c r="A1208" s="1">
        <v>40282</v>
      </c>
      <c r="B1208">
        <v>131.25</v>
      </c>
      <c r="C1208" s="19">
        <v>8545857</v>
      </c>
    </row>
    <row r="1209" spans="1:3" x14ac:dyDescent="0.25">
      <c r="A1209" s="1">
        <v>40281</v>
      </c>
      <c r="B1209">
        <v>129.03</v>
      </c>
      <c r="C1209" s="19">
        <v>6821802</v>
      </c>
    </row>
    <row r="1210" spans="1:3" x14ac:dyDescent="0.25">
      <c r="A1210" s="1">
        <v>40280</v>
      </c>
      <c r="B1210">
        <v>128.36000000000001</v>
      </c>
      <c r="C1210" s="19">
        <v>3994168</v>
      </c>
    </row>
    <row r="1211" spans="1:3" x14ac:dyDescent="0.25">
      <c r="A1211" s="1">
        <v>40277</v>
      </c>
      <c r="B1211">
        <v>128.76</v>
      </c>
      <c r="C1211" s="19">
        <v>5186516</v>
      </c>
    </row>
    <row r="1212" spans="1:3" x14ac:dyDescent="0.25">
      <c r="A1212" s="1">
        <v>40276</v>
      </c>
      <c r="B1212">
        <v>127.61</v>
      </c>
      <c r="C1212" s="19">
        <v>6006833</v>
      </c>
    </row>
    <row r="1213" spans="1:3" x14ac:dyDescent="0.25">
      <c r="A1213" s="1">
        <v>40275</v>
      </c>
      <c r="B1213">
        <v>128.47999999999999</v>
      </c>
      <c r="C1213" s="19">
        <v>5157358</v>
      </c>
    </row>
    <row r="1214" spans="1:3" x14ac:dyDescent="0.25">
      <c r="A1214" s="1">
        <v>40274</v>
      </c>
      <c r="B1214">
        <v>128.93</v>
      </c>
      <c r="C1214" s="19">
        <v>3926409</v>
      </c>
    </row>
    <row r="1215" spans="1:3" x14ac:dyDescent="0.25">
      <c r="A1215" s="1">
        <v>40273</v>
      </c>
      <c r="B1215">
        <v>129.35</v>
      </c>
      <c r="C1215" s="19">
        <v>4118884</v>
      </c>
    </row>
    <row r="1216" spans="1:3" x14ac:dyDescent="0.25">
      <c r="A1216" s="1">
        <v>40269</v>
      </c>
      <c r="B1216">
        <v>128.25</v>
      </c>
      <c r="C1216" s="19">
        <v>4980625</v>
      </c>
    </row>
    <row r="1217" spans="1:3" x14ac:dyDescent="0.25">
      <c r="A1217" s="1">
        <v>40268</v>
      </c>
      <c r="B1217">
        <v>128.25</v>
      </c>
      <c r="C1217" s="19">
        <v>4904711</v>
      </c>
    </row>
    <row r="1218" spans="1:3" x14ac:dyDescent="0.25">
      <c r="A1218" s="1">
        <v>40267</v>
      </c>
      <c r="B1218">
        <v>128.77000000000001</v>
      </c>
      <c r="C1218" s="19">
        <v>3426538</v>
      </c>
    </row>
    <row r="1219" spans="1:3" x14ac:dyDescent="0.25">
      <c r="A1219" s="1">
        <v>40266</v>
      </c>
      <c r="B1219">
        <v>128.59</v>
      </c>
      <c r="C1219" s="19">
        <v>4643265</v>
      </c>
    </row>
    <row r="1220" spans="1:3" x14ac:dyDescent="0.25">
      <c r="A1220" s="1">
        <v>40263</v>
      </c>
      <c r="B1220">
        <v>129.26</v>
      </c>
      <c r="C1220" s="19">
        <v>5550705</v>
      </c>
    </row>
    <row r="1221" spans="1:3" x14ac:dyDescent="0.25">
      <c r="A1221" s="1">
        <v>40262</v>
      </c>
      <c r="B1221">
        <v>129.24</v>
      </c>
      <c r="C1221" s="19">
        <v>7605394</v>
      </c>
    </row>
    <row r="1222" spans="1:3" x14ac:dyDescent="0.25">
      <c r="A1222" s="1">
        <v>40261</v>
      </c>
      <c r="B1222">
        <v>128.53</v>
      </c>
      <c r="C1222" s="19">
        <v>6669246</v>
      </c>
    </row>
    <row r="1223" spans="1:3" x14ac:dyDescent="0.25">
      <c r="A1223" s="1">
        <v>40260</v>
      </c>
      <c r="B1223">
        <v>129.37</v>
      </c>
      <c r="C1223" s="19">
        <v>5979298</v>
      </c>
    </row>
    <row r="1224" spans="1:3" x14ac:dyDescent="0.25">
      <c r="A1224" s="1">
        <v>40259</v>
      </c>
      <c r="B1224">
        <v>127.98</v>
      </c>
      <c r="C1224" s="19">
        <v>5651866</v>
      </c>
    </row>
    <row r="1225" spans="1:3" x14ac:dyDescent="0.25">
      <c r="A1225" s="1">
        <v>40256</v>
      </c>
      <c r="B1225">
        <v>127.71</v>
      </c>
      <c r="C1225" s="19">
        <v>10744290</v>
      </c>
    </row>
    <row r="1226" spans="1:3" x14ac:dyDescent="0.25">
      <c r="A1226" s="1">
        <v>40255</v>
      </c>
      <c r="B1226">
        <v>128.38</v>
      </c>
      <c r="C1226" s="19">
        <v>4954633</v>
      </c>
    </row>
    <row r="1227" spans="1:3" x14ac:dyDescent="0.25">
      <c r="A1227" s="1">
        <v>40254</v>
      </c>
      <c r="B1227">
        <v>127.76</v>
      </c>
      <c r="C1227" s="19">
        <v>6348995</v>
      </c>
    </row>
    <row r="1228" spans="1:3" x14ac:dyDescent="0.25">
      <c r="A1228" s="1">
        <v>40253</v>
      </c>
      <c r="B1228">
        <v>128.66999999999999</v>
      </c>
      <c r="C1228" s="19">
        <v>6135031</v>
      </c>
    </row>
    <row r="1229" spans="1:3" x14ac:dyDescent="0.25">
      <c r="A1229" s="1">
        <v>40252</v>
      </c>
      <c r="B1229">
        <v>127.83</v>
      </c>
      <c r="C1229" s="19">
        <v>4544089</v>
      </c>
    </row>
    <row r="1230" spans="1:3" x14ac:dyDescent="0.25">
      <c r="A1230" s="1">
        <v>40249</v>
      </c>
      <c r="B1230">
        <v>127.94</v>
      </c>
      <c r="C1230" s="19">
        <v>5170094</v>
      </c>
    </row>
    <row r="1231" spans="1:3" x14ac:dyDescent="0.25">
      <c r="A1231" s="1">
        <v>40248</v>
      </c>
      <c r="B1231">
        <v>127.6</v>
      </c>
      <c r="C1231" s="19">
        <v>7929401</v>
      </c>
    </row>
    <row r="1232" spans="1:3" x14ac:dyDescent="0.25">
      <c r="A1232" s="1">
        <v>40247</v>
      </c>
      <c r="B1232">
        <v>125.62</v>
      </c>
      <c r="C1232" s="19">
        <v>6917512</v>
      </c>
    </row>
    <row r="1233" spans="1:3" x14ac:dyDescent="0.25">
      <c r="A1233" s="1">
        <v>40246</v>
      </c>
      <c r="B1233">
        <v>125.55</v>
      </c>
      <c r="C1233" s="19">
        <v>7529306</v>
      </c>
    </row>
    <row r="1234" spans="1:3" x14ac:dyDescent="0.25">
      <c r="A1234" s="1">
        <v>40245</v>
      </c>
      <c r="B1234">
        <v>126.41</v>
      </c>
      <c r="C1234" s="19">
        <v>6199570</v>
      </c>
    </row>
    <row r="1235" spans="1:3" x14ac:dyDescent="0.25">
      <c r="A1235" s="1">
        <v>40242</v>
      </c>
      <c r="B1235">
        <v>127.25</v>
      </c>
      <c r="C1235" s="19">
        <v>6140472</v>
      </c>
    </row>
    <row r="1236" spans="1:3" x14ac:dyDescent="0.25">
      <c r="A1236" s="1">
        <v>40241</v>
      </c>
      <c r="B1236">
        <v>126.72</v>
      </c>
      <c r="C1236" s="19">
        <v>6032328</v>
      </c>
    </row>
    <row r="1237" spans="1:3" x14ac:dyDescent="0.25">
      <c r="A1237" s="1">
        <v>40240</v>
      </c>
      <c r="B1237">
        <v>126.88</v>
      </c>
      <c r="C1237" s="19">
        <v>6389967</v>
      </c>
    </row>
    <row r="1238" spans="1:3" x14ac:dyDescent="0.25">
      <c r="A1238" s="1">
        <v>40239</v>
      </c>
      <c r="B1238">
        <v>127.42</v>
      </c>
      <c r="C1238" s="19">
        <v>6013437</v>
      </c>
    </row>
    <row r="1239" spans="1:3" x14ac:dyDescent="0.25">
      <c r="A1239" s="1">
        <v>40238</v>
      </c>
      <c r="B1239">
        <v>128.57</v>
      </c>
      <c r="C1239" s="19">
        <v>4577715</v>
      </c>
    </row>
    <row r="1240" spans="1:3" x14ac:dyDescent="0.25">
      <c r="A1240" s="1">
        <v>40235</v>
      </c>
      <c r="B1240">
        <v>127.16</v>
      </c>
      <c r="C1240" s="19">
        <v>4784139</v>
      </c>
    </row>
    <row r="1241" spans="1:3" x14ac:dyDescent="0.25">
      <c r="A1241" s="1">
        <v>40234</v>
      </c>
      <c r="B1241">
        <v>127.07</v>
      </c>
      <c r="C1241" s="19">
        <v>5658776</v>
      </c>
    </row>
    <row r="1242" spans="1:3" x14ac:dyDescent="0.25">
      <c r="A1242" s="1">
        <v>40233</v>
      </c>
      <c r="B1242">
        <v>127.59</v>
      </c>
      <c r="C1242" s="19">
        <v>4782100</v>
      </c>
    </row>
    <row r="1243" spans="1:3" x14ac:dyDescent="0.25">
      <c r="A1243" s="1">
        <v>40232</v>
      </c>
      <c r="B1243">
        <v>126.46</v>
      </c>
      <c r="C1243" s="19">
        <v>4594376</v>
      </c>
    </row>
    <row r="1244" spans="1:3" x14ac:dyDescent="0.25">
      <c r="A1244" s="1">
        <v>40231</v>
      </c>
      <c r="B1244">
        <v>126.85</v>
      </c>
      <c r="C1244" s="19">
        <v>3808077</v>
      </c>
    </row>
    <row r="1245" spans="1:3" x14ac:dyDescent="0.25">
      <c r="A1245" s="1">
        <v>40228</v>
      </c>
      <c r="B1245">
        <v>127.19</v>
      </c>
      <c r="C1245" s="19">
        <v>6303678</v>
      </c>
    </row>
    <row r="1246" spans="1:3" x14ac:dyDescent="0.25">
      <c r="A1246" s="1">
        <v>40227</v>
      </c>
      <c r="B1246">
        <v>127.81</v>
      </c>
      <c r="C1246" s="19">
        <v>5527576</v>
      </c>
    </row>
    <row r="1247" spans="1:3" x14ac:dyDescent="0.25">
      <c r="A1247" s="1">
        <v>40226</v>
      </c>
      <c r="B1247">
        <v>126.33</v>
      </c>
      <c r="C1247" s="19">
        <v>5827357</v>
      </c>
    </row>
    <row r="1248" spans="1:3" x14ac:dyDescent="0.25">
      <c r="A1248" s="1">
        <v>40225</v>
      </c>
      <c r="B1248">
        <v>125.23</v>
      </c>
      <c r="C1248" s="19">
        <v>6777265</v>
      </c>
    </row>
    <row r="1249" spans="1:3" x14ac:dyDescent="0.25">
      <c r="A1249" s="1">
        <v>40221</v>
      </c>
      <c r="B1249">
        <v>124</v>
      </c>
      <c r="C1249" s="19">
        <v>8018236</v>
      </c>
    </row>
    <row r="1250" spans="1:3" x14ac:dyDescent="0.25">
      <c r="A1250" s="1">
        <v>40220</v>
      </c>
      <c r="B1250">
        <v>123.73</v>
      </c>
      <c r="C1250" s="19">
        <v>5091096</v>
      </c>
    </row>
    <row r="1251" spans="1:3" x14ac:dyDescent="0.25">
      <c r="A1251" s="1">
        <v>40219</v>
      </c>
      <c r="B1251">
        <v>122.81</v>
      </c>
      <c r="C1251" s="19">
        <v>5219260</v>
      </c>
    </row>
    <row r="1252" spans="1:3" x14ac:dyDescent="0.25">
      <c r="A1252" s="1">
        <v>40218</v>
      </c>
      <c r="B1252">
        <v>123.21</v>
      </c>
      <c r="C1252" s="19">
        <v>6044966</v>
      </c>
    </row>
    <row r="1253" spans="1:3" x14ac:dyDescent="0.25">
      <c r="A1253" s="1">
        <v>40217</v>
      </c>
      <c r="B1253">
        <v>121.88</v>
      </c>
      <c r="C1253" s="19">
        <v>5719389</v>
      </c>
    </row>
    <row r="1254" spans="1:3" x14ac:dyDescent="0.25">
      <c r="A1254" s="1">
        <v>40214</v>
      </c>
      <c r="B1254">
        <v>123.52</v>
      </c>
      <c r="C1254" s="19">
        <v>8618019</v>
      </c>
    </row>
    <row r="1255" spans="1:3" x14ac:dyDescent="0.25">
      <c r="A1255" s="1">
        <v>40213</v>
      </c>
      <c r="B1255">
        <v>123</v>
      </c>
      <c r="C1255" s="19">
        <v>9129991</v>
      </c>
    </row>
    <row r="1256" spans="1:3" x14ac:dyDescent="0.25">
      <c r="A1256" s="1">
        <v>40212</v>
      </c>
      <c r="B1256">
        <v>125.66</v>
      </c>
      <c r="C1256" s="19">
        <v>4177981</v>
      </c>
    </row>
    <row r="1257" spans="1:3" x14ac:dyDescent="0.25">
      <c r="A1257" s="1">
        <v>40211</v>
      </c>
      <c r="B1257">
        <v>125.53</v>
      </c>
      <c r="C1257" s="19">
        <v>5900187</v>
      </c>
    </row>
    <row r="1258" spans="1:3" x14ac:dyDescent="0.25">
      <c r="A1258" s="1">
        <v>40210</v>
      </c>
      <c r="B1258">
        <v>124.67</v>
      </c>
      <c r="C1258" s="19">
        <v>7249873</v>
      </c>
    </row>
    <row r="1259" spans="1:3" x14ac:dyDescent="0.25">
      <c r="A1259" s="1">
        <v>40207</v>
      </c>
      <c r="B1259">
        <v>122.39</v>
      </c>
      <c r="C1259" s="19">
        <v>11572390</v>
      </c>
    </row>
  </sheetData>
  <sortState xmlns:xlrd2="http://schemas.microsoft.com/office/spreadsheetml/2017/richdata2" ref="A2:B1259">
    <sortCondition descending="1" ref="A2"/>
  </sortState>
  <phoneticPr fontId="0" type="noConversion"/>
  <printOptions gridLinesSet="0"/>
  <pageMargins left="0.75" right="0.75" top="1" bottom="1" header="0.5" footer="0.5"/>
  <pageSetup paperSize="0" fitToWidth="0" fitToHeight="0" orientation="landscape" horizontalDpi="0" verticalDpi="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D26"/>
  <sheetViews>
    <sheetView showGridLines="0" workbookViewId="0"/>
  </sheetViews>
  <sheetFormatPr defaultRowHeight="12.5" x14ac:dyDescent="0.25"/>
  <cols>
    <col min="1" max="1" width="3" customWidth="1"/>
    <col min="2" max="2" width="34.54296875" bestFit="1" customWidth="1"/>
    <col min="3" max="3" width="2.6328125" bestFit="1" customWidth="1"/>
    <col min="4" max="4" width="13.453125" customWidth="1"/>
  </cols>
  <sheetData>
    <row r="1" spans="1:4" ht="14.15" customHeight="1" thickBot="1" x14ac:dyDescent="0.3">
      <c r="A1" s="2"/>
      <c r="B1" s="26" t="s">
        <v>6</v>
      </c>
      <c r="C1" s="3"/>
      <c r="D1" s="3"/>
    </row>
    <row r="2" spans="1:4" ht="12" customHeight="1" x14ac:dyDescent="0.25">
      <c r="A2" s="2"/>
      <c r="B2" s="4"/>
      <c r="C2" s="4"/>
      <c r="D2" s="4"/>
    </row>
    <row r="3" spans="1:4" ht="12" customHeight="1" x14ac:dyDescent="0.25">
      <c r="A3" s="2"/>
      <c r="B3" s="2"/>
      <c r="C3" s="5"/>
      <c r="D3" s="6" t="s">
        <v>1</v>
      </c>
    </row>
    <row r="4" spans="1:4" ht="12" customHeight="1" x14ac:dyDescent="0.25">
      <c r="A4" s="2"/>
      <c r="B4" s="7" t="s">
        <v>2</v>
      </c>
      <c r="C4" s="8"/>
      <c r="D4" s="9">
        <v>42028</v>
      </c>
    </row>
    <row r="5" spans="1:4" ht="12" customHeight="1" x14ac:dyDescent="0.25">
      <c r="A5" s="2"/>
      <c r="B5" s="10"/>
      <c r="C5" s="8"/>
      <c r="D5" s="10"/>
    </row>
    <row r="6" spans="1:4" ht="12" customHeight="1" x14ac:dyDescent="0.25">
      <c r="A6" s="11">
        <f>IF(SUBTOTAL(103,D6)=0,"",MAX(A$1:A5)+1)</f>
        <v>1</v>
      </c>
      <c r="B6" s="12" t="s">
        <v>3</v>
      </c>
      <c r="C6" s="8">
        <f>1/12</f>
        <v>8.3333333333333329E-2</v>
      </c>
      <c r="D6" s="25">
        <v>2.0000000000000001E-4</v>
      </c>
    </row>
    <row r="7" spans="1:4" ht="12" customHeight="1" x14ac:dyDescent="0.25">
      <c r="A7" s="11">
        <f>IF(SUBTOTAL(103,D7)=0,"",MAX(A$1:A6)+1)</f>
        <v>2</v>
      </c>
      <c r="B7" s="12" t="s">
        <v>4</v>
      </c>
      <c r="C7" s="8">
        <f>0.25</f>
        <v>0.25</v>
      </c>
      <c r="D7" s="25">
        <v>2.0000000000000001E-4</v>
      </c>
    </row>
    <row r="8" spans="1:4" ht="12" customHeight="1" x14ac:dyDescent="0.25">
      <c r="A8" s="11">
        <f>IF(SUBTOTAL(103,D8)=0,"",MAX(A$1:A7)+1)</f>
        <v>3</v>
      </c>
      <c r="B8" s="12" t="s">
        <v>5</v>
      </c>
      <c r="C8" s="8">
        <v>0.5</v>
      </c>
      <c r="D8" s="25">
        <v>7.000000000000001E-4</v>
      </c>
    </row>
    <row r="9" spans="1:4" ht="12" customHeight="1" x14ac:dyDescent="0.25">
      <c r="A9" s="11">
        <f>IF(SUBTOTAL(103,D9)=0,"",MAX(A$1:A8)+1)</f>
        <v>4</v>
      </c>
      <c r="B9" s="13">
        <v>1</v>
      </c>
      <c r="C9" s="8">
        <v>1</v>
      </c>
      <c r="D9" s="25">
        <v>1.7000000000000001E-3</v>
      </c>
    </row>
    <row r="10" spans="1:4" ht="12" customHeight="1" x14ac:dyDescent="0.25">
      <c r="A10" s="11">
        <f>IF(SUBTOTAL(103,D10)=0,"",MAX(A$1:A9)+1)</f>
        <v>5</v>
      </c>
      <c r="B10" s="13">
        <v>2</v>
      </c>
      <c r="C10" s="8">
        <v>2</v>
      </c>
      <c r="D10" s="25">
        <v>5.1999999999999998E-3</v>
      </c>
    </row>
    <row r="11" spans="1:4" ht="12" customHeight="1" x14ac:dyDescent="0.25">
      <c r="A11" s="11">
        <f>IF(SUBTOTAL(103,D11)=0,"",MAX(A$1:A10)+1)</f>
        <v>6</v>
      </c>
      <c r="B11" s="13">
        <v>3</v>
      </c>
      <c r="C11" s="8">
        <v>3</v>
      </c>
      <c r="D11" s="25">
        <v>8.6E-3</v>
      </c>
    </row>
    <row r="12" spans="1:4" ht="12" customHeight="1" x14ac:dyDescent="0.25">
      <c r="A12" s="11">
        <f>IF(SUBTOTAL(103,D12)=0,"",MAX(A$1:A11)+1)</f>
        <v>7</v>
      </c>
      <c r="B12" s="13">
        <v>5</v>
      </c>
      <c r="C12" s="8">
        <v>5</v>
      </c>
      <c r="D12" s="25">
        <v>1.3300000000000001E-2</v>
      </c>
    </row>
    <row r="13" spans="1:4" ht="12" customHeight="1" x14ac:dyDescent="0.25">
      <c r="A13" s="11">
        <f>IF(SUBTOTAL(103,D13)=0,"",MAX(A$1:A12)+1)</f>
        <v>8</v>
      </c>
      <c r="B13" s="13">
        <v>7</v>
      </c>
      <c r="C13" s="8">
        <v>7</v>
      </c>
      <c r="D13" s="25">
        <v>1.6200000000000003E-2</v>
      </c>
    </row>
    <row r="14" spans="1:4" ht="12" customHeight="1" x14ac:dyDescent="0.25">
      <c r="A14" s="11">
        <f>IF(SUBTOTAL(103,D14)=0,"",MAX(A$1:A13)+1)</f>
        <v>9</v>
      </c>
      <c r="B14" s="13">
        <v>10</v>
      </c>
      <c r="C14" s="8">
        <v>10</v>
      </c>
      <c r="D14" s="25">
        <v>1.8100000000000002E-2</v>
      </c>
    </row>
    <row r="15" spans="1:4" ht="12" customHeight="1" x14ac:dyDescent="0.25">
      <c r="A15" s="11">
        <f>IF(SUBTOTAL(103,D15)=0,"",MAX(A$1:A14)+1)</f>
        <v>10</v>
      </c>
      <c r="B15" s="13">
        <v>20</v>
      </c>
      <c r="C15" s="8">
        <v>10</v>
      </c>
      <c r="D15" s="25">
        <v>2.12E-2</v>
      </c>
    </row>
    <row r="16" spans="1:4" ht="12" customHeight="1" x14ac:dyDescent="0.25">
      <c r="A16" s="11">
        <f>IF(SUBTOTAL(103,D16)=0,"",MAX(A$1:A15)+1)</f>
        <v>11</v>
      </c>
      <c r="B16" s="13">
        <v>30</v>
      </c>
      <c r="C16" s="8">
        <v>10</v>
      </c>
      <c r="D16" s="25">
        <v>2.3799999999999998E-2</v>
      </c>
    </row>
    <row r="17" spans="1:4" ht="12" customHeight="1" x14ac:dyDescent="0.25">
      <c r="A17" s="11"/>
      <c r="B17" s="22"/>
      <c r="C17" s="23"/>
      <c r="D17" s="24"/>
    </row>
    <row r="18" spans="1:4" ht="12" customHeight="1" x14ac:dyDescent="0.25">
      <c r="A18" s="11"/>
      <c r="B18" s="21" t="s">
        <v>7</v>
      </c>
      <c r="C18" s="8"/>
      <c r="D18" s="8"/>
    </row>
    <row r="19" spans="1:4" ht="12" customHeight="1" x14ac:dyDescent="0.25">
      <c r="A19" s="15"/>
      <c r="B19" s="14"/>
      <c r="C19" s="14"/>
      <c r="D19" s="14"/>
    </row>
    <row r="20" spans="1:4" ht="12" customHeight="1" x14ac:dyDescent="0.25">
      <c r="A20" s="15"/>
      <c r="B20" s="14"/>
      <c r="C20" s="14"/>
      <c r="D20" s="14"/>
    </row>
    <row r="21" spans="1:4" ht="12" customHeight="1" x14ac:dyDescent="0.25">
      <c r="A21" s="14"/>
      <c r="B21" s="16"/>
      <c r="C21" s="14"/>
      <c r="D21" s="14"/>
    </row>
    <row r="22" spans="1:4" ht="12" customHeight="1" x14ac:dyDescent="0.25"/>
    <row r="23" spans="1:4" ht="12" customHeight="1" x14ac:dyDescent="0.25"/>
    <row r="24" spans="1:4" ht="12" customHeight="1" x14ac:dyDescent="0.25">
      <c r="D24" s="17"/>
    </row>
    <row r="25" spans="1:4" ht="12" customHeight="1" x14ac:dyDescent="0.25">
      <c r="D25" s="18"/>
    </row>
    <row r="26" spans="1:4" ht="12" customHeight="1"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Black Scholes Model Question</vt:lpstr>
      <vt:lpstr>Black Scholes Model </vt:lpstr>
      <vt:lpstr>Binomial Model Question</vt:lpstr>
      <vt:lpstr>Binomial Model</vt:lpstr>
      <vt:lpstr>Data---&gt;</vt:lpstr>
      <vt:lpstr>Share Price</vt:lpstr>
      <vt:lpstr>Risk-Free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2004-07-20T21:40:42Z</dcterms:created>
  <dcterms:modified xsi:type="dcterms:W3CDTF">2024-09-15T19:39:48Z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